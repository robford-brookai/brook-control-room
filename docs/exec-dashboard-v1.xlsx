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be Index" sheetId="1" r:id="rId4"/>
    <sheet state="visible" name="cube_unified" sheetId="2" r:id="rId5"/>
    <sheet state="visible" name="dim_date" sheetId="3" r:id="rId6"/>
    <sheet state="visible" name="dim_kpi" sheetId="4" r:id="rId7"/>
    <sheet state="visible" name="dim_initiative" sheetId="5" r:id="rId8"/>
    <sheet state="visible" name="fact_kpi_weekly" sheetId="6" r:id="rId9"/>
    <sheet state="visible" name="fact_initiative_event" sheetId="7" r:id="rId10"/>
    <sheet state="visible" name="ref_monthly_narrative" sheetId="8" r:id="rId11"/>
    <sheet state="visible" name="enrollment - combined (New)" sheetId="9" r:id="rId12"/>
  </sheets>
  <definedNames/>
  <calcPr/>
  <pivotCaches>
    <pivotCache cacheId="0" r:id="rId13"/>
  </pivotCaches>
  <extLst>
    <ext uri="GoogleSheetsCustomDataVersion2">
      <go:sheetsCustomData xmlns:go="http://customooxmlschemas.google.com/" r:id="rId14" roundtripDataChecksum="1Tb1jElqWBb4M6O7FkGWdBoXGWdQRC8X6xnIxw++xFY="/>
    </ext>
  </extLst>
</workbook>
</file>

<file path=xl/sharedStrings.xml><?xml version="1.0" encoding="utf-8"?>
<sst xmlns="http://schemas.openxmlformats.org/spreadsheetml/2006/main" count="15585" uniqueCount="1796">
  <si>
    <t>📊 Cube Model Index</t>
  </si>
  <si>
    <t>Generated from WIP 4 — Brook Executive Dashboard 2026</t>
  </si>
  <si>
    <t>Dimensions</t>
  </si>
  <si>
    <t>Sheet</t>
  </si>
  <si>
    <t>Description</t>
  </si>
  <si>
    <t>Rows</t>
  </si>
  <si>
    <t>Key Columns</t>
  </si>
  <si>
    <t>dim_date</t>
  </si>
  <si>
    <t>Daily calendar grain for 2024–2026. Supports week (Sun–Sat) and month rollups.</t>
  </si>
  <si>
    <t>date_id (DDMMYY), week_start_sunday, month_name, quarter</t>
  </si>
  <si>
    <t>dim_kpi</t>
  </si>
  <si>
    <t>KPI catalog with domain, owner, unit type, cumulative flag.</t>
  </si>
  <si>
    <t>kpi_id, domain, kpi_name, owner, unit, store_segment</t>
  </si>
  <si>
    <t>dim_initiative</t>
  </si>
  <si>
    <t>Initiative dimension across Tier 1, Product &amp; Eng, People &amp; Culture.</t>
  </si>
  <si>
    <t>initiative_id, domain, initiative_name, owner, current_status</t>
  </si>
  <si>
    <t>Fact Tables</t>
  </si>
  <si>
    <t>fact_kpi_weekly</t>
  </si>
  <si>
    <t>Core numeric fact table — one row per KPI × measure × week.</t>
  </si>
  <si>
    <t>date_id, kpi_name, measure_class, forecast_type, value, value_numeric</t>
  </si>
  <si>
    <t>fact_initiative_event</t>
  </si>
  <si>
    <t>Milestone events — one row per initiative × week with text + score.</t>
  </si>
  <si>
    <t>date_id, initiative_id, milestone_text, status_score, status_label</t>
  </si>
  <si>
    <t>cube_unified</t>
  </si>
  <si>
    <t>Denormalized flat table joining facts + dimensions via INDEX/MATCH. Pivot-ready.</t>
  </si>
  <si>
    <t>All fact_kpi_weekly cols + month_name, quarter, week_num, week_label, unit, is_cumulative</t>
  </si>
  <si>
    <t>Reference</t>
  </si>
  <si>
    <t>ref_monthly_narrative</t>
  </si>
  <si>
    <t>Monthly Big Picture commentary (March–December 2026).</t>
  </si>
  <si>
    <t>month, year, narrative_text</t>
  </si>
  <si>
    <t>WIP 4</t>
  </si>
  <si>
    <t>Original source dashboard (preserved as-is).</t>
  </si>
  <si>
    <t>—</t>
  </si>
  <si>
    <t>WIP 4 (Cube)</t>
  </si>
  <si>
    <t>Reproduction of WIP 4 layout, fully driven by INDEX/MATCH from fact_kpi_weekly.</t>
  </si>
  <si>
    <t>Same layout as WIP 4 — all data cells are formulas referencing the cube</t>
  </si>
  <si>
    <t>Schema Notes</t>
  </si>
  <si>
    <t>Join Keys</t>
  </si>
  <si>
    <t>fact_kpi_weekly.date_id → dim_date.date_id  |  fact_kpi_weekly.kpi_name → dim_kpi.kpi_name</t>
  </si>
  <si>
    <t>fact_initiative_event.initiative_id → dim_initiative.initiative_id</t>
  </si>
  <si>
    <t>Measure Structure</t>
  </si>
  <si>
    <t>measure_class (Goal / Forecast / Actual) + forecast_type (Internal / Board / Projection / blank)</t>
  </si>
  <si>
    <t>Status Scoring</t>
  </si>
  <si>
    <t>1.0 = Complete, 0.75 = Near Complete, 0.5 = In Progress, 0.25 = Early Stage, 0.0 = Planned</t>
  </si>
  <si>
    <t>date_id Format</t>
  </si>
  <si>
    <t>YYMMDD (e.g., 260301 = March 1, 2026). Week starts Sunday.</t>
  </si>
  <si>
    <t>date_id</t>
  </si>
  <si>
    <t>week_start</t>
  </si>
  <si>
    <t>domain</t>
  </si>
  <si>
    <t>kpi_name</t>
  </si>
  <si>
    <t>measure_class</t>
  </si>
  <si>
    <t>forecast_type</t>
  </si>
  <si>
    <t>store_segment</t>
  </si>
  <si>
    <t>owner</t>
  </si>
  <si>
    <t>value</t>
  </si>
  <si>
    <t>value_numeric</t>
  </si>
  <si>
    <t>month_name</t>
  </si>
  <si>
    <t>month_num</t>
  </si>
  <si>
    <t>quarter</t>
  </si>
  <si>
    <t>week_num</t>
  </si>
  <si>
    <t>week_label</t>
  </si>
  <si>
    <t>unit</t>
  </si>
  <si>
    <t>is_cumulative</t>
  </si>
  <si>
    <t>Sum of value_numeric</t>
  </si>
  <si>
    <t>Apr</t>
  </si>
  <si>
    <t>Aug</t>
  </si>
  <si>
    <t>Dec</t>
  </si>
  <si>
    <t>Jul</t>
  </si>
  <si>
    <t>Jun</t>
  </si>
  <si>
    <t>Mar</t>
  </si>
  <si>
    <t>May</t>
  </si>
  <si>
    <t>Nov</t>
  </si>
  <si>
    <t>Oct</t>
  </si>
  <si>
    <t>Sep</t>
  </si>
  <si>
    <t>15</t>
  </si>
  <si>
    <t>16</t>
  </si>
  <si>
    <t>17</t>
  </si>
  <si>
    <t>18</t>
  </si>
  <si>
    <t>32</t>
  </si>
  <si>
    <t>33</t>
  </si>
  <si>
    <t>34</t>
  </si>
  <si>
    <t>35</t>
  </si>
  <si>
    <t>36</t>
  </si>
  <si>
    <t>50</t>
  </si>
  <si>
    <t>51</t>
  </si>
  <si>
    <t>52</t>
  </si>
  <si>
    <t>53</t>
  </si>
  <si>
    <t>28</t>
  </si>
  <si>
    <t>29</t>
  </si>
  <si>
    <t>30</t>
  </si>
  <si>
    <t>31</t>
  </si>
  <si>
    <t>23</t>
  </si>
  <si>
    <t>24</t>
  </si>
  <si>
    <t>25</t>
  </si>
  <si>
    <t>26</t>
  </si>
  <si>
    <t>27</t>
  </si>
  <si>
    <t>10</t>
  </si>
  <si>
    <t>11</t>
  </si>
  <si>
    <t>12</t>
  </si>
  <si>
    <t>13</t>
  </si>
  <si>
    <t>14</t>
  </si>
  <si>
    <t>19</t>
  </si>
  <si>
    <t>20</t>
  </si>
  <si>
    <t>21</t>
  </si>
  <si>
    <t>22</t>
  </si>
  <si>
    <t>45</t>
  </si>
  <si>
    <t>46</t>
  </si>
  <si>
    <t>47</t>
  </si>
  <si>
    <t>48</t>
  </si>
  <si>
    <t>49</t>
  </si>
  <si>
    <t>41</t>
  </si>
  <si>
    <t>42</t>
  </si>
  <si>
    <t>43</t>
  </si>
  <si>
    <t>44</t>
  </si>
  <si>
    <t>37</t>
  </si>
  <si>
    <t>38</t>
  </si>
  <si>
    <t>39</t>
  </si>
  <si>
    <t>40</t>
  </si>
  <si>
    <t>Growth</t>
  </si>
  <si>
    <t>Total Actives</t>
  </si>
  <si>
    <t>Goal</t>
  </si>
  <si>
    <t>Board</t>
  </si>
  <si>
    <t>N/A</t>
  </si>
  <si>
    <t>Internal</t>
  </si>
  <si>
    <t>Alex &amp; Kit</t>
  </si>
  <si>
    <t>Care Delivery</t>
  </si>
  <si>
    <t>Bought Time Billed</t>
  </si>
  <si>
    <t/>
  </si>
  <si>
    <t>Care Delivery Time per Care Manager</t>
  </si>
  <si>
    <t>Optimization of Care Delivery Time to Billed</t>
  </si>
  <si>
    <t>Actual</t>
  </si>
  <si>
    <t>John</t>
  </si>
  <si>
    <t>Contracted Lives</t>
  </si>
  <si>
    <t>Pipeline Growth - 6X Patient Count</t>
  </si>
  <si>
    <t>Pipeline Growth - 6X Revenue</t>
  </si>
  <si>
    <t>New Marketable Patients - New Store</t>
  </si>
  <si>
    <t>New Store</t>
  </si>
  <si>
    <t>Forecast</t>
  </si>
  <si>
    <t>John / Sheila</t>
  </si>
  <si>
    <t>Eligible Forecast - New Store Cumulative</t>
  </si>
  <si>
    <t>Eligible Forecast - Same Store Cumulative</t>
  </si>
  <si>
    <t>Same Store</t>
  </si>
  <si>
    <t>Eligible Forecast - Total Cumulative</t>
  </si>
  <si>
    <t>Total</t>
  </si>
  <si>
    <t>Kit</t>
  </si>
  <si>
    <t>Retention Rate</t>
  </si>
  <si>
    <t>Luke</t>
  </si>
  <si>
    <t>Activation Call Conversions (per rep per hour)</t>
  </si>
  <si>
    <t>Agent Resource Cost Mix (FTE/NS/OS)</t>
  </si>
  <si>
    <t>DPP Enrollments</t>
  </si>
  <si>
    <t>Enrollment Call Conversions (per rep per hour)</t>
  </si>
  <si>
    <t>Non-Agent Related Enrollment &amp; Activation</t>
  </si>
  <si>
    <t>Total Activations</t>
  </si>
  <si>
    <t>Projection</t>
  </si>
  <si>
    <t>Sheila</t>
  </si>
  <si>
    <t>New Marketable Patients - Same Store</t>
  </si>
  <si>
    <t>date</t>
  </si>
  <si>
    <t>day_of_week</t>
  </si>
  <si>
    <t>week_start_sunday</t>
  </si>
  <si>
    <t>week_end_saturday</t>
  </si>
  <si>
    <t>year</t>
  </si>
  <si>
    <t>← Back to Cube Index</t>
  </si>
  <si>
    <t>240101</t>
  </si>
  <si>
    <t>Mon</t>
  </si>
  <si>
    <t>12/31-1/6</t>
  </si>
  <si>
    <t>01</t>
  </si>
  <si>
    <t>Jan</t>
  </si>
  <si>
    <t>Q1</t>
  </si>
  <si>
    <t>240102</t>
  </si>
  <si>
    <t>Tue</t>
  </si>
  <si>
    <t>240103</t>
  </si>
  <si>
    <t>Wed</t>
  </si>
  <si>
    <t>240104</t>
  </si>
  <si>
    <t>Thu</t>
  </si>
  <si>
    <t>240105</t>
  </si>
  <si>
    <t>Fri</t>
  </si>
  <si>
    <t>240106</t>
  </si>
  <si>
    <t>Sat</t>
  </si>
  <si>
    <t>240107</t>
  </si>
  <si>
    <t>Sun</t>
  </si>
  <si>
    <t>1/7-1/13</t>
  </si>
  <si>
    <t>02</t>
  </si>
  <si>
    <t>240108</t>
  </si>
  <si>
    <t>240109</t>
  </si>
  <si>
    <t>240110</t>
  </si>
  <si>
    <t>240111</t>
  </si>
  <si>
    <t>240112</t>
  </si>
  <si>
    <t>240113</t>
  </si>
  <si>
    <t>240114</t>
  </si>
  <si>
    <t>1/14-1/20</t>
  </si>
  <si>
    <t>03</t>
  </si>
  <si>
    <t>240115</t>
  </si>
  <si>
    <t>240116</t>
  </si>
  <si>
    <t>240117</t>
  </si>
  <si>
    <t>240118</t>
  </si>
  <si>
    <t>240119</t>
  </si>
  <si>
    <t>240120</t>
  </si>
  <si>
    <t>240121</t>
  </si>
  <si>
    <t>1/21-1/27</t>
  </si>
  <si>
    <t>04</t>
  </si>
  <si>
    <t>240122</t>
  </si>
  <si>
    <t>240123</t>
  </si>
  <si>
    <t>240124</t>
  </si>
  <si>
    <t>240125</t>
  </si>
  <si>
    <t>240126</t>
  </si>
  <si>
    <t>240127</t>
  </si>
  <si>
    <t>240128</t>
  </si>
  <si>
    <t>1/28-2/3</t>
  </si>
  <si>
    <t>05</t>
  </si>
  <si>
    <t>240129</t>
  </si>
  <si>
    <t>240130</t>
  </si>
  <si>
    <t>240131</t>
  </si>
  <si>
    <t>240201</t>
  </si>
  <si>
    <t>Feb</t>
  </si>
  <si>
    <t>240202</t>
  </si>
  <si>
    <t>240203</t>
  </si>
  <si>
    <t>240204</t>
  </si>
  <si>
    <t>2/4-2/10</t>
  </si>
  <si>
    <t>06</t>
  </si>
  <si>
    <t>240205</t>
  </si>
  <si>
    <t>240206</t>
  </si>
  <si>
    <t>240207</t>
  </si>
  <si>
    <t>240208</t>
  </si>
  <si>
    <t>240209</t>
  </si>
  <si>
    <t>240210</t>
  </si>
  <si>
    <t>240211</t>
  </si>
  <si>
    <t>2/11-2/17</t>
  </si>
  <si>
    <t>07</t>
  </si>
  <si>
    <t>240212</t>
  </si>
  <si>
    <t>240213</t>
  </si>
  <si>
    <t>240214</t>
  </si>
  <si>
    <t>240215</t>
  </si>
  <si>
    <t>240216</t>
  </si>
  <si>
    <t>240217</t>
  </si>
  <si>
    <t>240218</t>
  </si>
  <si>
    <t>2/18-2/24</t>
  </si>
  <si>
    <t>08</t>
  </si>
  <si>
    <t>240219</t>
  </si>
  <si>
    <t>240220</t>
  </si>
  <si>
    <t>240221</t>
  </si>
  <si>
    <t>240222</t>
  </si>
  <si>
    <t>240223</t>
  </si>
  <si>
    <t>240224</t>
  </si>
  <si>
    <t>240225</t>
  </si>
  <si>
    <t>2/25-3/2</t>
  </si>
  <si>
    <t>09</t>
  </si>
  <si>
    <t>240226</t>
  </si>
  <si>
    <t>240227</t>
  </si>
  <si>
    <t>240228</t>
  </si>
  <si>
    <t>240229</t>
  </si>
  <si>
    <t>240301</t>
  </si>
  <si>
    <t>240302</t>
  </si>
  <si>
    <t>240303</t>
  </si>
  <si>
    <t>3/3-3/9</t>
  </si>
  <si>
    <t>240304</t>
  </si>
  <si>
    <t>240305</t>
  </si>
  <si>
    <t>240306</t>
  </si>
  <si>
    <t>240307</t>
  </si>
  <si>
    <t>240308</t>
  </si>
  <si>
    <t>240309</t>
  </si>
  <si>
    <t>240310</t>
  </si>
  <si>
    <t>3/10-3/16</t>
  </si>
  <si>
    <t>240311</t>
  </si>
  <si>
    <t>240312</t>
  </si>
  <si>
    <t>240313</t>
  </si>
  <si>
    <t>240314</t>
  </si>
  <si>
    <t>240315</t>
  </si>
  <si>
    <t>240316</t>
  </si>
  <si>
    <t>240317</t>
  </si>
  <si>
    <t>3/17-3/23</t>
  </si>
  <si>
    <t>240318</t>
  </si>
  <si>
    <t>240319</t>
  </si>
  <si>
    <t>240320</t>
  </si>
  <si>
    <t>240321</t>
  </si>
  <si>
    <t>240322</t>
  </si>
  <si>
    <t>240323</t>
  </si>
  <si>
    <t>240324</t>
  </si>
  <si>
    <t>3/24-3/30</t>
  </si>
  <si>
    <t>240325</t>
  </si>
  <si>
    <t>240326</t>
  </si>
  <si>
    <t>240327</t>
  </si>
  <si>
    <t>240328</t>
  </si>
  <si>
    <t>240329</t>
  </si>
  <si>
    <t>240330</t>
  </si>
  <si>
    <t>240331</t>
  </si>
  <si>
    <t>3/31-4/6</t>
  </si>
  <si>
    <t>240401</t>
  </si>
  <si>
    <t>Q2</t>
  </si>
  <si>
    <t>240402</t>
  </si>
  <si>
    <t>240403</t>
  </si>
  <si>
    <t>240404</t>
  </si>
  <si>
    <t>240405</t>
  </si>
  <si>
    <t>240406</t>
  </si>
  <si>
    <t>240407</t>
  </si>
  <si>
    <t>4/7-4/13</t>
  </si>
  <si>
    <t>240408</t>
  </si>
  <si>
    <t>240409</t>
  </si>
  <si>
    <t>240410</t>
  </si>
  <si>
    <t>240411</t>
  </si>
  <si>
    <t>240412</t>
  </si>
  <si>
    <t>240413</t>
  </si>
  <si>
    <t>240414</t>
  </si>
  <si>
    <t>4/14-4/20</t>
  </si>
  <si>
    <t>240415</t>
  </si>
  <si>
    <t>240416</t>
  </si>
  <si>
    <t>240417</t>
  </si>
  <si>
    <t>240418</t>
  </si>
  <si>
    <t>240419</t>
  </si>
  <si>
    <t>240420</t>
  </si>
  <si>
    <t>240421</t>
  </si>
  <si>
    <t>4/21-4/27</t>
  </si>
  <si>
    <t>240422</t>
  </si>
  <si>
    <t>240423</t>
  </si>
  <si>
    <t>240424</t>
  </si>
  <si>
    <t>240425</t>
  </si>
  <si>
    <t>240426</t>
  </si>
  <si>
    <t>240427</t>
  </si>
  <si>
    <t>240428</t>
  </si>
  <si>
    <t>4/28-5/4</t>
  </si>
  <si>
    <t>240429</t>
  </si>
  <si>
    <t>240430</t>
  </si>
  <si>
    <t>240501</t>
  </si>
  <si>
    <t>240502</t>
  </si>
  <si>
    <t>240503</t>
  </si>
  <si>
    <t>240504</t>
  </si>
  <si>
    <t>240505</t>
  </si>
  <si>
    <t>5/5-5/11</t>
  </si>
  <si>
    <t>240506</t>
  </si>
  <si>
    <t>240507</t>
  </si>
  <si>
    <t>240508</t>
  </si>
  <si>
    <t>240509</t>
  </si>
  <si>
    <t>240510</t>
  </si>
  <si>
    <t>240511</t>
  </si>
  <si>
    <t>240512</t>
  </si>
  <si>
    <t>5/12-5/18</t>
  </si>
  <si>
    <t>240513</t>
  </si>
  <si>
    <t>240514</t>
  </si>
  <si>
    <t>240515</t>
  </si>
  <si>
    <t>240516</t>
  </si>
  <si>
    <t>240517</t>
  </si>
  <si>
    <t>240518</t>
  </si>
  <si>
    <t>240519</t>
  </si>
  <si>
    <t>5/19-5/25</t>
  </si>
  <si>
    <t>240520</t>
  </si>
  <si>
    <t>240521</t>
  </si>
  <si>
    <t>240522</t>
  </si>
  <si>
    <t>240523</t>
  </si>
  <si>
    <t>240524</t>
  </si>
  <si>
    <t>240525</t>
  </si>
  <si>
    <t>240526</t>
  </si>
  <si>
    <t>5/26-6/1</t>
  </si>
  <si>
    <t>240527</t>
  </si>
  <si>
    <t>240528</t>
  </si>
  <si>
    <t>240529</t>
  </si>
  <si>
    <t>240530</t>
  </si>
  <si>
    <t>240531</t>
  </si>
  <si>
    <t>240601</t>
  </si>
  <si>
    <t>240602</t>
  </si>
  <si>
    <t>6/2-6/8</t>
  </si>
  <si>
    <t>240603</t>
  </si>
  <si>
    <t>240604</t>
  </si>
  <si>
    <t>240605</t>
  </si>
  <si>
    <t>240606</t>
  </si>
  <si>
    <t>240607</t>
  </si>
  <si>
    <t>240608</t>
  </si>
  <si>
    <t>240609</t>
  </si>
  <si>
    <t>6/9-6/15</t>
  </si>
  <si>
    <t>240610</t>
  </si>
  <si>
    <t>240611</t>
  </si>
  <si>
    <t>240612</t>
  </si>
  <si>
    <t>240613</t>
  </si>
  <si>
    <t>240614</t>
  </si>
  <si>
    <t>240615</t>
  </si>
  <si>
    <t>240616</t>
  </si>
  <si>
    <t>6/16-6/22</t>
  </si>
  <si>
    <t>240617</t>
  </si>
  <si>
    <t>240618</t>
  </si>
  <si>
    <t>240619</t>
  </si>
  <si>
    <t>240620</t>
  </si>
  <si>
    <t>240621</t>
  </si>
  <si>
    <t>240622</t>
  </si>
  <si>
    <t>240623</t>
  </si>
  <si>
    <t>6/23-6/29</t>
  </si>
  <si>
    <t>240624</t>
  </si>
  <si>
    <t>240625</t>
  </si>
  <si>
    <t>240626</t>
  </si>
  <si>
    <t>240627</t>
  </si>
  <si>
    <t>240628</t>
  </si>
  <si>
    <t>240629</t>
  </si>
  <si>
    <t>240630</t>
  </si>
  <si>
    <t>6/30-7/6</t>
  </si>
  <si>
    <t>240701</t>
  </si>
  <si>
    <t>Q3</t>
  </si>
  <si>
    <t>240702</t>
  </si>
  <si>
    <t>240703</t>
  </si>
  <si>
    <t>240704</t>
  </si>
  <si>
    <t>240705</t>
  </si>
  <si>
    <t>240706</t>
  </si>
  <si>
    <t>240707</t>
  </si>
  <si>
    <t>7/7-7/13</t>
  </si>
  <si>
    <t>240708</t>
  </si>
  <si>
    <t>240709</t>
  </si>
  <si>
    <t>240710</t>
  </si>
  <si>
    <t>240711</t>
  </si>
  <si>
    <t>240712</t>
  </si>
  <si>
    <t>240713</t>
  </si>
  <si>
    <t>240714</t>
  </si>
  <si>
    <t>7/14-7/20</t>
  </si>
  <si>
    <t>240715</t>
  </si>
  <si>
    <t>240716</t>
  </si>
  <si>
    <t>240717</t>
  </si>
  <si>
    <t>240718</t>
  </si>
  <si>
    <t>240719</t>
  </si>
  <si>
    <t>240720</t>
  </si>
  <si>
    <t>240721</t>
  </si>
  <si>
    <t>7/21-7/27</t>
  </si>
  <si>
    <t>240722</t>
  </si>
  <si>
    <t>240723</t>
  </si>
  <si>
    <t>240724</t>
  </si>
  <si>
    <t>240725</t>
  </si>
  <si>
    <t>240726</t>
  </si>
  <si>
    <t>240727</t>
  </si>
  <si>
    <t>240728</t>
  </si>
  <si>
    <t>7/28-8/3</t>
  </si>
  <si>
    <t>240729</t>
  </si>
  <si>
    <t>240730</t>
  </si>
  <si>
    <t>240731</t>
  </si>
  <si>
    <t>240801</t>
  </si>
  <si>
    <t>240802</t>
  </si>
  <si>
    <t>240803</t>
  </si>
  <si>
    <t>240804</t>
  </si>
  <si>
    <t>8/4-8/10</t>
  </si>
  <si>
    <t>240805</t>
  </si>
  <si>
    <t>240806</t>
  </si>
  <si>
    <t>240807</t>
  </si>
  <si>
    <t>240808</t>
  </si>
  <si>
    <t>240809</t>
  </si>
  <si>
    <t>240810</t>
  </si>
  <si>
    <t>240811</t>
  </si>
  <si>
    <t>8/11-8/17</t>
  </si>
  <si>
    <t>240812</t>
  </si>
  <si>
    <t>240813</t>
  </si>
  <si>
    <t>240814</t>
  </si>
  <si>
    <t>240815</t>
  </si>
  <si>
    <t>240816</t>
  </si>
  <si>
    <t>240817</t>
  </si>
  <si>
    <t>240818</t>
  </si>
  <si>
    <t>8/18-8/24</t>
  </si>
  <si>
    <t>240819</t>
  </si>
  <si>
    <t>240820</t>
  </si>
  <si>
    <t>240821</t>
  </si>
  <si>
    <t>240822</t>
  </si>
  <si>
    <t>240823</t>
  </si>
  <si>
    <t>240824</t>
  </si>
  <si>
    <t>240825</t>
  </si>
  <si>
    <t>8/25-8/31</t>
  </si>
  <si>
    <t>240826</t>
  </si>
  <si>
    <t>240827</t>
  </si>
  <si>
    <t>240828</t>
  </si>
  <si>
    <t>240829</t>
  </si>
  <si>
    <t>240830</t>
  </si>
  <si>
    <t>240831</t>
  </si>
  <si>
    <t>240901</t>
  </si>
  <si>
    <t>9/1-9/7</t>
  </si>
  <si>
    <t>240902</t>
  </si>
  <si>
    <t>240903</t>
  </si>
  <si>
    <t>240904</t>
  </si>
  <si>
    <t>240905</t>
  </si>
  <si>
    <t>240906</t>
  </si>
  <si>
    <t>240907</t>
  </si>
  <si>
    <t>240908</t>
  </si>
  <si>
    <t>9/8-9/14</t>
  </si>
  <si>
    <t>240909</t>
  </si>
  <si>
    <t>240910</t>
  </si>
  <si>
    <t>240911</t>
  </si>
  <si>
    <t>240912</t>
  </si>
  <si>
    <t>240913</t>
  </si>
  <si>
    <t>240914</t>
  </si>
  <si>
    <t>240915</t>
  </si>
  <si>
    <t>9/15-9/21</t>
  </si>
  <si>
    <t>240916</t>
  </si>
  <si>
    <t>240917</t>
  </si>
  <si>
    <t>240918</t>
  </si>
  <si>
    <t>240919</t>
  </si>
  <si>
    <t>240920</t>
  </si>
  <si>
    <t>240921</t>
  </si>
  <si>
    <t>240922</t>
  </si>
  <si>
    <t>9/22-9/28</t>
  </si>
  <si>
    <t>240923</t>
  </si>
  <si>
    <t>240924</t>
  </si>
  <si>
    <t>240925</t>
  </si>
  <si>
    <t>240926</t>
  </si>
  <si>
    <t>240927</t>
  </si>
  <si>
    <t>240928</t>
  </si>
  <si>
    <t>240929</t>
  </si>
  <si>
    <t>9/29-10/5</t>
  </si>
  <si>
    <t>240930</t>
  </si>
  <si>
    <t>241001</t>
  </si>
  <si>
    <t>Q4</t>
  </si>
  <si>
    <t>241002</t>
  </si>
  <si>
    <t>241003</t>
  </si>
  <si>
    <t>241004</t>
  </si>
  <si>
    <t>241005</t>
  </si>
  <si>
    <t>241006</t>
  </si>
  <si>
    <t>10/6-10/12</t>
  </si>
  <si>
    <t>241007</t>
  </si>
  <si>
    <t>241008</t>
  </si>
  <si>
    <t>241009</t>
  </si>
  <si>
    <t>241010</t>
  </si>
  <si>
    <t>241011</t>
  </si>
  <si>
    <t>241012</t>
  </si>
  <si>
    <t>241013</t>
  </si>
  <si>
    <t>10/13-10/19</t>
  </si>
  <si>
    <t>241014</t>
  </si>
  <si>
    <t>241015</t>
  </si>
  <si>
    <t>241016</t>
  </si>
  <si>
    <t>241017</t>
  </si>
  <si>
    <t>241018</t>
  </si>
  <si>
    <t>241019</t>
  </si>
  <si>
    <t>241020</t>
  </si>
  <si>
    <t>10/20-10/26</t>
  </si>
  <si>
    <t>241021</t>
  </si>
  <si>
    <t>241022</t>
  </si>
  <si>
    <t>241023</t>
  </si>
  <si>
    <t>241024</t>
  </si>
  <si>
    <t>241025</t>
  </si>
  <si>
    <t>241026</t>
  </si>
  <si>
    <t>241027</t>
  </si>
  <si>
    <t>10/27-11/2</t>
  </si>
  <si>
    <t>241028</t>
  </si>
  <si>
    <t>241029</t>
  </si>
  <si>
    <t>241030</t>
  </si>
  <si>
    <t>241031</t>
  </si>
  <si>
    <t>241101</t>
  </si>
  <si>
    <t>241102</t>
  </si>
  <si>
    <t>241103</t>
  </si>
  <si>
    <t>11/3-11/9</t>
  </si>
  <si>
    <t>241104</t>
  </si>
  <si>
    <t>241105</t>
  </si>
  <si>
    <t>241106</t>
  </si>
  <si>
    <t>241107</t>
  </si>
  <si>
    <t>241108</t>
  </si>
  <si>
    <t>241109</t>
  </si>
  <si>
    <t>241110</t>
  </si>
  <si>
    <t>11/10-11/16</t>
  </si>
  <si>
    <t>241111</t>
  </si>
  <si>
    <t>241112</t>
  </si>
  <si>
    <t>241113</t>
  </si>
  <si>
    <t>241114</t>
  </si>
  <si>
    <t>241115</t>
  </si>
  <si>
    <t>241116</t>
  </si>
  <si>
    <t>241117</t>
  </si>
  <si>
    <t>11/17-11/23</t>
  </si>
  <si>
    <t>241118</t>
  </si>
  <si>
    <t>241119</t>
  </si>
  <si>
    <t>241120</t>
  </si>
  <si>
    <t>241121</t>
  </si>
  <si>
    <t>241122</t>
  </si>
  <si>
    <t>241123</t>
  </si>
  <si>
    <t>241124</t>
  </si>
  <si>
    <t>11/24-11/30</t>
  </si>
  <si>
    <t>241125</t>
  </si>
  <si>
    <t>241126</t>
  </si>
  <si>
    <t>241127</t>
  </si>
  <si>
    <t>241128</t>
  </si>
  <si>
    <t>241129</t>
  </si>
  <si>
    <t>241130</t>
  </si>
  <si>
    <t>241201</t>
  </si>
  <si>
    <t>12/1-12/7</t>
  </si>
  <si>
    <t>241202</t>
  </si>
  <si>
    <t>241203</t>
  </si>
  <si>
    <t>241204</t>
  </si>
  <si>
    <t>241205</t>
  </si>
  <si>
    <t>241206</t>
  </si>
  <si>
    <t>241207</t>
  </si>
  <si>
    <t>241208</t>
  </si>
  <si>
    <t>12/8-12/14</t>
  </si>
  <si>
    <t>241209</t>
  </si>
  <si>
    <t>241210</t>
  </si>
  <si>
    <t>241211</t>
  </si>
  <si>
    <t>241212</t>
  </si>
  <si>
    <t>241213</t>
  </si>
  <si>
    <t>241214</t>
  </si>
  <si>
    <t>241215</t>
  </si>
  <si>
    <t>12/15-12/21</t>
  </si>
  <si>
    <t>241216</t>
  </si>
  <si>
    <t>241217</t>
  </si>
  <si>
    <t>241218</t>
  </si>
  <si>
    <t>241219</t>
  </si>
  <si>
    <t>241220</t>
  </si>
  <si>
    <t>241221</t>
  </si>
  <si>
    <t>241222</t>
  </si>
  <si>
    <t>12/22-12/28</t>
  </si>
  <si>
    <t>241223</t>
  </si>
  <si>
    <t>241224</t>
  </si>
  <si>
    <t>241225</t>
  </si>
  <si>
    <t>241226</t>
  </si>
  <si>
    <t>241227</t>
  </si>
  <si>
    <t>241228</t>
  </si>
  <si>
    <t>241229</t>
  </si>
  <si>
    <t>12/29-1/4</t>
  </si>
  <si>
    <t>241230</t>
  </si>
  <si>
    <t>241231</t>
  </si>
  <si>
    <t>250101</t>
  </si>
  <si>
    <t>250102</t>
  </si>
  <si>
    <t>250103</t>
  </si>
  <si>
    <t>250104</t>
  </si>
  <si>
    <t>250105</t>
  </si>
  <si>
    <t>1/5-1/11</t>
  </si>
  <si>
    <t>250106</t>
  </si>
  <si>
    <t>250107</t>
  </si>
  <si>
    <t>250108</t>
  </si>
  <si>
    <t>250109</t>
  </si>
  <si>
    <t>250110</t>
  </si>
  <si>
    <t>250111</t>
  </si>
  <si>
    <t>250112</t>
  </si>
  <si>
    <t>1/12-1/18</t>
  </si>
  <si>
    <t>250113</t>
  </si>
  <si>
    <t>250114</t>
  </si>
  <si>
    <t>250115</t>
  </si>
  <si>
    <t>250116</t>
  </si>
  <si>
    <t>250117</t>
  </si>
  <si>
    <t>250118</t>
  </si>
  <si>
    <t>250119</t>
  </si>
  <si>
    <t>1/19-1/25</t>
  </si>
  <si>
    <t>250120</t>
  </si>
  <si>
    <t>250121</t>
  </si>
  <si>
    <t>250122</t>
  </si>
  <si>
    <t>250123</t>
  </si>
  <si>
    <t>250124</t>
  </si>
  <si>
    <t>250125</t>
  </si>
  <si>
    <t>250126</t>
  </si>
  <si>
    <t>1/26-2/1</t>
  </si>
  <si>
    <t>250127</t>
  </si>
  <si>
    <t>250128</t>
  </si>
  <si>
    <t>250129</t>
  </si>
  <si>
    <t>250130</t>
  </si>
  <si>
    <t>250131</t>
  </si>
  <si>
    <t>250201</t>
  </si>
  <si>
    <t>250202</t>
  </si>
  <si>
    <t>2/2-2/8</t>
  </si>
  <si>
    <t>250203</t>
  </si>
  <si>
    <t>250204</t>
  </si>
  <si>
    <t>250205</t>
  </si>
  <si>
    <t>250206</t>
  </si>
  <si>
    <t>250207</t>
  </si>
  <si>
    <t>250208</t>
  </si>
  <si>
    <t>250209</t>
  </si>
  <si>
    <t>2/9-2/15</t>
  </si>
  <si>
    <t>250210</t>
  </si>
  <si>
    <t>250211</t>
  </si>
  <si>
    <t>250212</t>
  </si>
  <si>
    <t>250213</t>
  </si>
  <si>
    <t>250214</t>
  </si>
  <si>
    <t>250215</t>
  </si>
  <si>
    <t>250216</t>
  </si>
  <si>
    <t>2/16-2/22</t>
  </si>
  <si>
    <t>250217</t>
  </si>
  <si>
    <t>250218</t>
  </si>
  <si>
    <t>250219</t>
  </si>
  <si>
    <t>250220</t>
  </si>
  <si>
    <t>250221</t>
  </si>
  <si>
    <t>250222</t>
  </si>
  <si>
    <t>250223</t>
  </si>
  <si>
    <t>2/23-3/1</t>
  </si>
  <si>
    <t>250224</t>
  </si>
  <si>
    <t>250225</t>
  </si>
  <si>
    <t>250226</t>
  </si>
  <si>
    <t>250227</t>
  </si>
  <si>
    <t>250228</t>
  </si>
  <si>
    <t>250301</t>
  </si>
  <si>
    <t>250302</t>
  </si>
  <si>
    <t>3/2-3/8</t>
  </si>
  <si>
    <t>250303</t>
  </si>
  <si>
    <t>250304</t>
  </si>
  <si>
    <t>250305</t>
  </si>
  <si>
    <t>250306</t>
  </si>
  <si>
    <t>250307</t>
  </si>
  <si>
    <t>250308</t>
  </si>
  <si>
    <t>250309</t>
  </si>
  <si>
    <t>3/9-3/15</t>
  </si>
  <si>
    <t>250310</t>
  </si>
  <si>
    <t>250311</t>
  </si>
  <si>
    <t>250312</t>
  </si>
  <si>
    <t>250313</t>
  </si>
  <si>
    <t>250314</t>
  </si>
  <si>
    <t>250315</t>
  </si>
  <si>
    <t>250316</t>
  </si>
  <si>
    <t>3/16-3/22</t>
  </si>
  <si>
    <t>250317</t>
  </si>
  <si>
    <t>250318</t>
  </si>
  <si>
    <t>250319</t>
  </si>
  <si>
    <t>250320</t>
  </si>
  <si>
    <t>250321</t>
  </si>
  <si>
    <t>250322</t>
  </si>
  <si>
    <t>250323</t>
  </si>
  <si>
    <t>3/23-3/29</t>
  </si>
  <si>
    <t>250324</t>
  </si>
  <si>
    <t>250325</t>
  </si>
  <si>
    <t>250326</t>
  </si>
  <si>
    <t>250327</t>
  </si>
  <si>
    <t>250328</t>
  </si>
  <si>
    <t>250329</t>
  </si>
  <si>
    <t>250330</t>
  </si>
  <si>
    <t>3/30-4/5</t>
  </si>
  <si>
    <t>250331</t>
  </si>
  <si>
    <t>250401</t>
  </si>
  <si>
    <t>250402</t>
  </si>
  <si>
    <t>250403</t>
  </si>
  <si>
    <t>250404</t>
  </si>
  <si>
    <t>250405</t>
  </si>
  <si>
    <t>250406</t>
  </si>
  <si>
    <t>4/6-4/12</t>
  </si>
  <si>
    <t>250407</t>
  </si>
  <si>
    <t>250408</t>
  </si>
  <si>
    <t>250409</t>
  </si>
  <si>
    <t>250410</t>
  </si>
  <si>
    <t>250411</t>
  </si>
  <si>
    <t>250412</t>
  </si>
  <si>
    <t>250413</t>
  </si>
  <si>
    <t>4/13-4/19</t>
  </si>
  <si>
    <t>250414</t>
  </si>
  <si>
    <t>250415</t>
  </si>
  <si>
    <t>250416</t>
  </si>
  <si>
    <t>250417</t>
  </si>
  <si>
    <t>250418</t>
  </si>
  <si>
    <t>250419</t>
  </si>
  <si>
    <t>250420</t>
  </si>
  <si>
    <t>4/20-4/26</t>
  </si>
  <si>
    <t>250421</t>
  </si>
  <si>
    <t>250422</t>
  </si>
  <si>
    <t>250423</t>
  </si>
  <si>
    <t>250424</t>
  </si>
  <si>
    <t>250425</t>
  </si>
  <si>
    <t>250426</t>
  </si>
  <si>
    <t>250427</t>
  </si>
  <si>
    <t>4/27-5/3</t>
  </si>
  <si>
    <t>250428</t>
  </si>
  <si>
    <t>250429</t>
  </si>
  <si>
    <t>250430</t>
  </si>
  <si>
    <t>250501</t>
  </si>
  <si>
    <t>250502</t>
  </si>
  <si>
    <t>250503</t>
  </si>
  <si>
    <t>250504</t>
  </si>
  <si>
    <t>5/4-5/10</t>
  </si>
  <si>
    <t>250505</t>
  </si>
  <si>
    <t>250506</t>
  </si>
  <si>
    <t>250507</t>
  </si>
  <si>
    <t>250508</t>
  </si>
  <si>
    <t>250509</t>
  </si>
  <si>
    <t>250510</t>
  </si>
  <si>
    <t>250511</t>
  </si>
  <si>
    <t>5/11-5/17</t>
  </si>
  <si>
    <t>250512</t>
  </si>
  <si>
    <t>250513</t>
  </si>
  <si>
    <t>250514</t>
  </si>
  <si>
    <t>250515</t>
  </si>
  <si>
    <t>250516</t>
  </si>
  <si>
    <t>250517</t>
  </si>
  <si>
    <t>250518</t>
  </si>
  <si>
    <t>5/18-5/24</t>
  </si>
  <si>
    <t>250519</t>
  </si>
  <si>
    <t>250520</t>
  </si>
  <si>
    <t>250521</t>
  </si>
  <si>
    <t>250522</t>
  </si>
  <si>
    <t>250523</t>
  </si>
  <si>
    <t>250524</t>
  </si>
  <si>
    <t>250525</t>
  </si>
  <si>
    <t>5/25-5/31</t>
  </si>
  <si>
    <t>250526</t>
  </si>
  <si>
    <t>250527</t>
  </si>
  <si>
    <t>250528</t>
  </si>
  <si>
    <t>250529</t>
  </si>
  <si>
    <t>250530</t>
  </si>
  <si>
    <t>250531</t>
  </si>
  <si>
    <t>250601</t>
  </si>
  <si>
    <t>6/1-6/7</t>
  </si>
  <si>
    <t>250602</t>
  </si>
  <si>
    <t>250603</t>
  </si>
  <si>
    <t>250604</t>
  </si>
  <si>
    <t>250605</t>
  </si>
  <si>
    <t>250606</t>
  </si>
  <si>
    <t>250607</t>
  </si>
  <si>
    <t>250608</t>
  </si>
  <si>
    <t>6/8-6/14</t>
  </si>
  <si>
    <t>250609</t>
  </si>
  <si>
    <t>250610</t>
  </si>
  <si>
    <t>250611</t>
  </si>
  <si>
    <t>250612</t>
  </si>
  <si>
    <t>250613</t>
  </si>
  <si>
    <t>250614</t>
  </si>
  <si>
    <t>250615</t>
  </si>
  <si>
    <t>6/15-6/21</t>
  </si>
  <si>
    <t>250616</t>
  </si>
  <si>
    <t>250617</t>
  </si>
  <si>
    <t>250618</t>
  </si>
  <si>
    <t>250619</t>
  </si>
  <si>
    <t>250620</t>
  </si>
  <si>
    <t>250621</t>
  </si>
  <si>
    <t>250622</t>
  </si>
  <si>
    <t>6/22-6/28</t>
  </si>
  <si>
    <t>250623</t>
  </si>
  <si>
    <t>250624</t>
  </si>
  <si>
    <t>250625</t>
  </si>
  <si>
    <t>250626</t>
  </si>
  <si>
    <t>250627</t>
  </si>
  <si>
    <t>250628</t>
  </si>
  <si>
    <t>250629</t>
  </si>
  <si>
    <t>6/29-7/5</t>
  </si>
  <si>
    <t>250630</t>
  </si>
  <si>
    <t>250701</t>
  </si>
  <si>
    <t>250702</t>
  </si>
  <si>
    <t>250703</t>
  </si>
  <si>
    <t>250704</t>
  </si>
  <si>
    <t>250705</t>
  </si>
  <si>
    <t>250706</t>
  </si>
  <si>
    <t>7/6-7/12</t>
  </si>
  <si>
    <t>250707</t>
  </si>
  <si>
    <t>250708</t>
  </si>
  <si>
    <t>250709</t>
  </si>
  <si>
    <t>250710</t>
  </si>
  <si>
    <t>250711</t>
  </si>
  <si>
    <t>250712</t>
  </si>
  <si>
    <t>250713</t>
  </si>
  <si>
    <t>7/13-7/19</t>
  </si>
  <si>
    <t>250714</t>
  </si>
  <si>
    <t>250715</t>
  </si>
  <si>
    <t>250716</t>
  </si>
  <si>
    <t>250717</t>
  </si>
  <si>
    <t>250718</t>
  </si>
  <si>
    <t>250719</t>
  </si>
  <si>
    <t>250720</t>
  </si>
  <si>
    <t>7/20-7/26</t>
  </si>
  <si>
    <t>250721</t>
  </si>
  <si>
    <t>250722</t>
  </si>
  <si>
    <t>250723</t>
  </si>
  <si>
    <t>250724</t>
  </si>
  <si>
    <t>250725</t>
  </si>
  <si>
    <t>250726</t>
  </si>
  <si>
    <t>250727</t>
  </si>
  <si>
    <t>7/27-8/2</t>
  </si>
  <si>
    <t>250728</t>
  </si>
  <si>
    <t>250729</t>
  </si>
  <si>
    <t>250730</t>
  </si>
  <si>
    <t>250731</t>
  </si>
  <si>
    <t>250801</t>
  </si>
  <si>
    <t>250802</t>
  </si>
  <si>
    <t>250803</t>
  </si>
  <si>
    <t>8/3-8/9</t>
  </si>
  <si>
    <t>250804</t>
  </si>
  <si>
    <t>250805</t>
  </si>
  <si>
    <t>250806</t>
  </si>
  <si>
    <t>250807</t>
  </si>
  <si>
    <t>250808</t>
  </si>
  <si>
    <t>250809</t>
  </si>
  <si>
    <t>250810</t>
  </si>
  <si>
    <t>8/10-8/16</t>
  </si>
  <si>
    <t>250811</t>
  </si>
  <si>
    <t>250812</t>
  </si>
  <si>
    <t>250813</t>
  </si>
  <si>
    <t>250814</t>
  </si>
  <si>
    <t>250815</t>
  </si>
  <si>
    <t>250816</t>
  </si>
  <si>
    <t>250817</t>
  </si>
  <si>
    <t>8/17-8/23</t>
  </si>
  <si>
    <t>250818</t>
  </si>
  <si>
    <t>250819</t>
  </si>
  <si>
    <t>250820</t>
  </si>
  <si>
    <t>250821</t>
  </si>
  <si>
    <t>250822</t>
  </si>
  <si>
    <t>250823</t>
  </si>
  <si>
    <t>250824</t>
  </si>
  <si>
    <t>8/24-8/30</t>
  </si>
  <si>
    <t>250825</t>
  </si>
  <si>
    <t>250826</t>
  </si>
  <si>
    <t>250827</t>
  </si>
  <si>
    <t>250828</t>
  </si>
  <si>
    <t>250829</t>
  </si>
  <si>
    <t>250830</t>
  </si>
  <si>
    <t>250831</t>
  </si>
  <si>
    <t>8/31-9/6</t>
  </si>
  <si>
    <t>250901</t>
  </si>
  <si>
    <t>250902</t>
  </si>
  <si>
    <t>250903</t>
  </si>
  <si>
    <t>250904</t>
  </si>
  <si>
    <t>250905</t>
  </si>
  <si>
    <t>250906</t>
  </si>
  <si>
    <t>250907</t>
  </si>
  <si>
    <t>9/7-9/13</t>
  </si>
  <si>
    <t>250908</t>
  </si>
  <si>
    <t>250909</t>
  </si>
  <si>
    <t>250910</t>
  </si>
  <si>
    <t>250911</t>
  </si>
  <si>
    <t>250912</t>
  </si>
  <si>
    <t>250913</t>
  </si>
  <si>
    <t>250914</t>
  </si>
  <si>
    <t>9/14-9/20</t>
  </si>
  <si>
    <t>250915</t>
  </si>
  <si>
    <t>250916</t>
  </si>
  <si>
    <t>250917</t>
  </si>
  <si>
    <t>250918</t>
  </si>
  <si>
    <t>250919</t>
  </si>
  <si>
    <t>250920</t>
  </si>
  <si>
    <t>250921</t>
  </si>
  <si>
    <t>9/21-9/27</t>
  </si>
  <si>
    <t>250922</t>
  </si>
  <si>
    <t>250923</t>
  </si>
  <si>
    <t>250924</t>
  </si>
  <si>
    <t>250925</t>
  </si>
  <si>
    <t>250926</t>
  </si>
  <si>
    <t>250927</t>
  </si>
  <si>
    <t>250928</t>
  </si>
  <si>
    <t>9/28-10/4</t>
  </si>
  <si>
    <t>250929</t>
  </si>
  <si>
    <t>250930</t>
  </si>
  <si>
    <t>251001</t>
  </si>
  <si>
    <t>251002</t>
  </si>
  <si>
    <t>251003</t>
  </si>
  <si>
    <t>251004</t>
  </si>
  <si>
    <t>251005</t>
  </si>
  <si>
    <t>10/5-10/11</t>
  </si>
  <si>
    <t>251006</t>
  </si>
  <si>
    <t>251007</t>
  </si>
  <si>
    <t>251008</t>
  </si>
  <si>
    <t>251009</t>
  </si>
  <si>
    <t>251010</t>
  </si>
  <si>
    <t>251011</t>
  </si>
  <si>
    <t>251012</t>
  </si>
  <si>
    <t>10/12-10/18</t>
  </si>
  <si>
    <t>251013</t>
  </si>
  <si>
    <t>251014</t>
  </si>
  <si>
    <t>251015</t>
  </si>
  <si>
    <t>251016</t>
  </si>
  <si>
    <t>251017</t>
  </si>
  <si>
    <t>251018</t>
  </si>
  <si>
    <t>251019</t>
  </si>
  <si>
    <t>10/19-10/25</t>
  </si>
  <si>
    <t>251020</t>
  </si>
  <si>
    <t>251021</t>
  </si>
  <si>
    <t>251022</t>
  </si>
  <si>
    <t>251023</t>
  </si>
  <si>
    <t>251024</t>
  </si>
  <si>
    <t>251025</t>
  </si>
  <si>
    <t>251026</t>
  </si>
  <si>
    <t>10/26-11/1</t>
  </si>
  <si>
    <t>251027</t>
  </si>
  <si>
    <t>251028</t>
  </si>
  <si>
    <t>251029</t>
  </si>
  <si>
    <t>251030</t>
  </si>
  <si>
    <t>251031</t>
  </si>
  <si>
    <t>251101</t>
  </si>
  <si>
    <t>251102</t>
  </si>
  <si>
    <t>11/2-11/8</t>
  </si>
  <si>
    <t>251103</t>
  </si>
  <si>
    <t>251104</t>
  </si>
  <si>
    <t>251105</t>
  </si>
  <si>
    <t>251106</t>
  </si>
  <si>
    <t>251107</t>
  </si>
  <si>
    <t>251108</t>
  </si>
  <si>
    <t>251109</t>
  </si>
  <si>
    <t>11/9-11/15</t>
  </si>
  <si>
    <t>251110</t>
  </si>
  <si>
    <t>251111</t>
  </si>
  <si>
    <t>251112</t>
  </si>
  <si>
    <t>251113</t>
  </si>
  <si>
    <t>251114</t>
  </si>
  <si>
    <t>251115</t>
  </si>
  <si>
    <t>251116</t>
  </si>
  <si>
    <t>11/16-11/22</t>
  </si>
  <si>
    <t>251117</t>
  </si>
  <si>
    <t>251118</t>
  </si>
  <si>
    <t>251119</t>
  </si>
  <si>
    <t>251120</t>
  </si>
  <si>
    <t>251121</t>
  </si>
  <si>
    <t>251122</t>
  </si>
  <si>
    <t>251123</t>
  </si>
  <si>
    <t>11/23-11/29</t>
  </si>
  <si>
    <t>251124</t>
  </si>
  <si>
    <t>251125</t>
  </si>
  <si>
    <t>251126</t>
  </si>
  <si>
    <t>251127</t>
  </si>
  <si>
    <t>251128</t>
  </si>
  <si>
    <t>251129</t>
  </si>
  <si>
    <t>251130</t>
  </si>
  <si>
    <t>11/30-12/6</t>
  </si>
  <si>
    <t>251201</t>
  </si>
  <si>
    <t>251202</t>
  </si>
  <si>
    <t>251203</t>
  </si>
  <si>
    <t>251204</t>
  </si>
  <si>
    <t>251205</t>
  </si>
  <si>
    <t>251206</t>
  </si>
  <si>
    <t>251207</t>
  </si>
  <si>
    <t>12/7-12/13</t>
  </si>
  <si>
    <t>251208</t>
  </si>
  <si>
    <t>251209</t>
  </si>
  <si>
    <t>251210</t>
  </si>
  <si>
    <t>251211</t>
  </si>
  <si>
    <t>251212</t>
  </si>
  <si>
    <t>251213</t>
  </si>
  <si>
    <t>251214</t>
  </si>
  <si>
    <t>12/14-12/20</t>
  </si>
  <si>
    <t>251215</t>
  </si>
  <si>
    <t>251216</t>
  </si>
  <si>
    <t>251217</t>
  </si>
  <si>
    <t>251218</t>
  </si>
  <si>
    <t>251219</t>
  </si>
  <si>
    <t>251220</t>
  </si>
  <si>
    <t>251221</t>
  </si>
  <si>
    <t>12/21-12/27</t>
  </si>
  <si>
    <t>251222</t>
  </si>
  <si>
    <t>251223</t>
  </si>
  <si>
    <t>251224</t>
  </si>
  <si>
    <t>251225</t>
  </si>
  <si>
    <t>251226</t>
  </si>
  <si>
    <t>251227</t>
  </si>
  <si>
    <t>251228</t>
  </si>
  <si>
    <t>12/28-1/3</t>
  </si>
  <si>
    <t>251229</t>
  </si>
  <si>
    <t>251230</t>
  </si>
  <si>
    <t>251231</t>
  </si>
  <si>
    <t>260101</t>
  </si>
  <si>
    <t>260102</t>
  </si>
  <si>
    <t>260103</t>
  </si>
  <si>
    <t>260104</t>
  </si>
  <si>
    <t>1/4-1/10</t>
  </si>
  <si>
    <t>260105</t>
  </si>
  <si>
    <t>260106</t>
  </si>
  <si>
    <t>260107</t>
  </si>
  <si>
    <t>260108</t>
  </si>
  <si>
    <t>260109</t>
  </si>
  <si>
    <t>260110</t>
  </si>
  <si>
    <t>260111</t>
  </si>
  <si>
    <t>1/11-1/17</t>
  </si>
  <si>
    <t>260112</t>
  </si>
  <si>
    <t>260113</t>
  </si>
  <si>
    <t>260114</t>
  </si>
  <si>
    <t>260115</t>
  </si>
  <si>
    <t>260116</t>
  </si>
  <si>
    <t>260117</t>
  </si>
  <si>
    <t>260118</t>
  </si>
  <si>
    <t>1/18-1/24</t>
  </si>
  <si>
    <t>260119</t>
  </si>
  <si>
    <t>260120</t>
  </si>
  <si>
    <t>260121</t>
  </si>
  <si>
    <t>260122</t>
  </si>
  <si>
    <t>260123</t>
  </si>
  <si>
    <t>260124</t>
  </si>
  <si>
    <t>260125</t>
  </si>
  <si>
    <t>1/25-1/31</t>
  </si>
  <si>
    <t>260126</t>
  </si>
  <si>
    <t>260127</t>
  </si>
  <si>
    <t>260128</t>
  </si>
  <si>
    <t>260129</t>
  </si>
  <si>
    <t>260130</t>
  </si>
  <si>
    <t>260131</t>
  </si>
  <si>
    <t>260201</t>
  </si>
  <si>
    <t>2/1-2/7</t>
  </si>
  <si>
    <t>260202</t>
  </si>
  <si>
    <t>260203</t>
  </si>
  <si>
    <t>260204</t>
  </si>
  <si>
    <t>260205</t>
  </si>
  <si>
    <t>260206</t>
  </si>
  <si>
    <t>260207</t>
  </si>
  <si>
    <t>260208</t>
  </si>
  <si>
    <t>2/8-2/14</t>
  </si>
  <si>
    <t>260209</t>
  </si>
  <si>
    <t>260210</t>
  </si>
  <si>
    <t>260211</t>
  </si>
  <si>
    <t>260212</t>
  </si>
  <si>
    <t>260213</t>
  </si>
  <si>
    <t>260214</t>
  </si>
  <si>
    <t>260215</t>
  </si>
  <si>
    <t>2/15-2/21</t>
  </si>
  <si>
    <t>260216</t>
  </si>
  <si>
    <t>260217</t>
  </si>
  <si>
    <t>260218</t>
  </si>
  <si>
    <t>260219</t>
  </si>
  <si>
    <t>260220</t>
  </si>
  <si>
    <t>260221</t>
  </si>
  <si>
    <t>260222</t>
  </si>
  <si>
    <t>2/22-2/28</t>
  </si>
  <si>
    <t>260223</t>
  </si>
  <si>
    <t>260224</t>
  </si>
  <si>
    <t>260225</t>
  </si>
  <si>
    <t>260226</t>
  </si>
  <si>
    <t>260227</t>
  </si>
  <si>
    <t>260228</t>
  </si>
  <si>
    <t>260301</t>
  </si>
  <si>
    <t>3/1-3/7</t>
  </si>
  <si>
    <t>260302</t>
  </si>
  <si>
    <t>260303</t>
  </si>
  <si>
    <t>260304</t>
  </si>
  <si>
    <t>260305</t>
  </si>
  <si>
    <t>260306</t>
  </si>
  <si>
    <t>260307</t>
  </si>
  <si>
    <t>260308</t>
  </si>
  <si>
    <t>3/8-3/14</t>
  </si>
  <si>
    <t>260309</t>
  </si>
  <si>
    <t>260310</t>
  </si>
  <si>
    <t>260311</t>
  </si>
  <si>
    <t>260312</t>
  </si>
  <si>
    <t>260313</t>
  </si>
  <si>
    <t>260314</t>
  </si>
  <si>
    <t>260315</t>
  </si>
  <si>
    <t>3/15-3/21</t>
  </si>
  <si>
    <t>260316</t>
  </si>
  <si>
    <t>260317</t>
  </si>
  <si>
    <t>260318</t>
  </si>
  <si>
    <t>260319</t>
  </si>
  <si>
    <t>260320</t>
  </si>
  <si>
    <t>260321</t>
  </si>
  <si>
    <t>260322</t>
  </si>
  <si>
    <t>3/22-3/28</t>
  </si>
  <si>
    <t>260323</t>
  </si>
  <si>
    <t>260324</t>
  </si>
  <si>
    <t>260325</t>
  </si>
  <si>
    <t>260326</t>
  </si>
  <si>
    <t>260327</t>
  </si>
  <si>
    <t>260328</t>
  </si>
  <si>
    <t>260329</t>
  </si>
  <si>
    <t>3/29-4/4</t>
  </si>
  <si>
    <t>260330</t>
  </si>
  <si>
    <t>260331</t>
  </si>
  <si>
    <t>260401</t>
  </si>
  <si>
    <t>260402</t>
  </si>
  <si>
    <t>260403</t>
  </si>
  <si>
    <t>260404</t>
  </si>
  <si>
    <t>260405</t>
  </si>
  <si>
    <t>4/5-4/11</t>
  </si>
  <si>
    <t>260406</t>
  </si>
  <si>
    <t>260407</t>
  </si>
  <si>
    <t>260408</t>
  </si>
  <si>
    <t>260409</t>
  </si>
  <si>
    <t>260410</t>
  </si>
  <si>
    <t>260411</t>
  </si>
  <si>
    <t>260412</t>
  </si>
  <si>
    <t>4/12-4/18</t>
  </si>
  <si>
    <t>260413</t>
  </si>
  <si>
    <t>260414</t>
  </si>
  <si>
    <t>260415</t>
  </si>
  <si>
    <t>260416</t>
  </si>
  <si>
    <t>260417</t>
  </si>
  <si>
    <t>260418</t>
  </si>
  <si>
    <t>260419</t>
  </si>
  <si>
    <t>4/19-4/25</t>
  </si>
  <si>
    <t>260420</t>
  </si>
  <si>
    <t>260421</t>
  </si>
  <si>
    <t>260422</t>
  </si>
  <si>
    <t>260423</t>
  </si>
  <si>
    <t>260424</t>
  </si>
  <si>
    <t>260425</t>
  </si>
  <si>
    <t>260426</t>
  </si>
  <si>
    <t>4/26-5/2</t>
  </si>
  <si>
    <t>260427</t>
  </si>
  <si>
    <t>260428</t>
  </si>
  <si>
    <t>260429</t>
  </si>
  <si>
    <t>260430</t>
  </si>
  <si>
    <t>260501</t>
  </si>
  <si>
    <t>260502</t>
  </si>
  <si>
    <t>260503</t>
  </si>
  <si>
    <t>5/3-5/9</t>
  </si>
  <si>
    <t>260504</t>
  </si>
  <si>
    <t>260505</t>
  </si>
  <si>
    <t>260506</t>
  </si>
  <si>
    <t>260507</t>
  </si>
  <si>
    <t>260508</t>
  </si>
  <si>
    <t>260509</t>
  </si>
  <si>
    <t>260510</t>
  </si>
  <si>
    <t>5/10-5/16</t>
  </si>
  <si>
    <t>260511</t>
  </si>
  <si>
    <t>260512</t>
  </si>
  <si>
    <t>260513</t>
  </si>
  <si>
    <t>260514</t>
  </si>
  <si>
    <t>260515</t>
  </si>
  <si>
    <t>260516</t>
  </si>
  <si>
    <t>260517</t>
  </si>
  <si>
    <t>5/17-5/23</t>
  </si>
  <si>
    <t>260518</t>
  </si>
  <si>
    <t>260519</t>
  </si>
  <si>
    <t>260520</t>
  </si>
  <si>
    <t>260521</t>
  </si>
  <si>
    <t>260522</t>
  </si>
  <si>
    <t>260523</t>
  </si>
  <si>
    <t>260524</t>
  </si>
  <si>
    <t>5/24-5/30</t>
  </si>
  <si>
    <t>260525</t>
  </si>
  <si>
    <t>260526</t>
  </si>
  <si>
    <t>260527</t>
  </si>
  <si>
    <t>260528</t>
  </si>
  <si>
    <t>260529</t>
  </si>
  <si>
    <t>260530</t>
  </si>
  <si>
    <t>260531</t>
  </si>
  <si>
    <t>5/31-6/6</t>
  </si>
  <si>
    <t>260601</t>
  </si>
  <si>
    <t>260602</t>
  </si>
  <si>
    <t>260603</t>
  </si>
  <si>
    <t>260604</t>
  </si>
  <si>
    <t>260605</t>
  </si>
  <si>
    <t>260606</t>
  </si>
  <si>
    <t>260607</t>
  </si>
  <si>
    <t>6/7-6/13</t>
  </si>
  <si>
    <t>260608</t>
  </si>
  <si>
    <t>260609</t>
  </si>
  <si>
    <t>260610</t>
  </si>
  <si>
    <t>260611</t>
  </si>
  <si>
    <t>260612</t>
  </si>
  <si>
    <t>260613</t>
  </si>
  <si>
    <t>260614</t>
  </si>
  <si>
    <t>6/14-6/20</t>
  </si>
  <si>
    <t>260615</t>
  </si>
  <si>
    <t>260616</t>
  </si>
  <si>
    <t>260617</t>
  </si>
  <si>
    <t>260618</t>
  </si>
  <si>
    <t>260619</t>
  </si>
  <si>
    <t>260620</t>
  </si>
  <si>
    <t>260621</t>
  </si>
  <si>
    <t>6/21-6/27</t>
  </si>
  <si>
    <t>260622</t>
  </si>
  <si>
    <t>260623</t>
  </si>
  <si>
    <t>260624</t>
  </si>
  <si>
    <t>260625</t>
  </si>
  <si>
    <t>260626</t>
  </si>
  <si>
    <t>260627</t>
  </si>
  <si>
    <t>260628</t>
  </si>
  <si>
    <t>6/28-7/4</t>
  </si>
  <si>
    <t>260629</t>
  </si>
  <si>
    <t>260630</t>
  </si>
  <si>
    <t>260701</t>
  </si>
  <si>
    <t>260702</t>
  </si>
  <si>
    <t>260703</t>
  </si>
  <si>
    <t>260704</t>
  </si>
  <si>
    <t>260705</t>
  </si>
  <si>
    <t>7/5-7/11</t>
  </si>
  <si>
    <t>260706</t>
  </si>
  <si>
    <t>260707</t>
  </si>
  <si>
    <t>260708</t>
  </si>
  <si>
    <t>260709</t>
  </si>
  <si>
    <t>260710</t>
  </si>
  <si>
    <t>260711</t>
  </si>
  <si>
    <t>260712</t>
  </si>
  <si>
    <t>7/12-7/18</t>
  </si>
  <si>
    <t>260713</t>
  </si>
  <si>
    <t>260714</t>
  </si>
  <si>
    <t>260715</t>
  </si>
  <si>
    <t>260716</t>
  </si>
  <si>
    <t>260717</t>
  </si>
  <si>
    <t>260718</t>
  </si>
  <si>
    <t>260719</t>
  </si>
  <si>
    <t>7/19-7/25</t>
  </si>
  <si>
    <t>260720</t>
  </si>
  <si>
    <t>260721</t>
  </si>
  <si>
    <t>260722</t>
  </si>
  <si>
    <t>260723</t>
  </si>
  <si>
    <t>260724</t>
  </si>
  <si>
    <t>260725</t>
  </si>
  <si>
    <t>260726</t>
  </si>
  <si>
    <t>7/26-8/1</t>
  </si>
  <si>
    <t>260727</t>
  </si>
  <si>
    <t>260728</t>
  </si>
  <si>
    <t>260729</t>
  </si>
  <si>
    <t>260730</t>
  </si>
  <si>
    <t>260731</t>
  </si>
  <si>
    <t>260801</t>
  </si>
  <si>
    <t>260802</t>
  </si>
  <si>
    <t>8/2-8/8</t>
  </si>
  <si>
    <t>260803</t>
  </si>
  <si>
    <t>260804</t>
  </si>
  <si>
    <t>260805</t>
  </si>
  <si>
    <t>260806</t>
  </si>
  <si>
    <t>260807</t>
  </si>
  <si>
    <t>260808</t>
  </si>
  <si>
    <t>260809</t>
  </si>
  <si>
    <t>8/9-8/15</t>
  </si>
  <si>
    <t>260810</t>
  </si>
  <si>
    <t>260811</t>
  </si>
  <si>
    <t>260812</t>
  </si>
  <si>
    <t>260813</t>
  </si>
  <si>
    <t>260814</t>
  </si>
  <si>
    <t>260815</t>
  </si>
  <si>
    <t>260816</t>
  </si>
  <si>
    <t>8/16-8/22</t>
  </si>
  <si>
    <t>260817</t>
  </si>
  <si>
    <t>260818</t>
  </si>
  <si>
    <t>260819</t>
  </si>
  <si>
    <t>260820</t>
  </si>
  <si>
    <t>260821</t>
  </si>
  <si>
    <t>260822</t>
  </si>
  <si>
    <t>260823</t>
  </si>
  <si>
    <t>8/23-8/29</t>
  </si>
  <si>
    <t>260824</t>
  </si>
  <si>
    <t>260825</t>
  </si>
  <si>
    <t>260826</t>
  </si>
  <si>
    <t>260827</t>
  </si>
  <si>
    <t>260828</t>
  </si>
  <si>
    <t>260829</t>
  </si>
  <si>
    <t>260830</t>
  </si>
  <si>
    <t>8/30-9/5</t>
  </si>
  <si>
    <t>260831</t>
  </si>
  <si>
    <t>260901</t>
  </si>
  <si>
    <t>260902</t>
  </si>
  <si>
    <t>260903</t>
  </si>
  <si>
    <t>260904</t>
  </si>
  <si>
    <t>260905</t>
  </si>
  <si>
    <t>260906</t>
  </si>
  <si>
    <t>9/6-9/12</t>
  </si>
  <si>
    <t>260907</t>
  </si>
  <si>
    <t>260908</t>
  </si>
  <si>
    <t>260909</t>
  </si>
  <si>
    <t>260910</t>
  </si>
  <si>
    <t>260911</t>
  </si>
  <si>
    <t>260912</t>
  </si>
  <si>
    <t>260913</t>
  </si>
  <si>
    <t>9/13-9/19</t>
  </si>
  <si>
    <t>260914</t>
  </si>
  <si>
    <t>260915</t>
  </si>
  <si>
    <t>260916</t>
  </si>
  <si>
    <t>260917</t>
  </si>
  <si>
    <t>260918</t>
  </si>
  <si>
    <t>260919</t>
  </si>
  <si>
    <t>260920</t>
  </si>
  <si>
    <t>9/20-9/26</t>
  </si>
  <si>
    <t>260921</t>
  </si>
  <si>
    <t>260922</t>
  </si>
  <si>
    <t>260923</t>
  </si>
  <si>
    <t>260924</t>
  </si>
  <si>
    <t>260925</t>
  </si>
  <si>
    <t>260926</t>
  </si>
  <si>
    <t>260927</t>
  </si>
  <si>
    <t>9/27-10/3</t>
  </si>
  <si>
    <t>260928</t>
  </si>
  <si>
    <t>260929</t>
  </si>
  <si>
    <t>260930</t>
  </si>
  <si>
    <t>261001</t>
  </si>
  <si>
    <t>261002</t>
  </si>
  <si>
    <t>261003</t>
  </si>
  <si>
    <t>261004</t>
  </si>
  <si>
    <t>10/4-10/10</t>
  </si>
  <si>
    <t>261005</t>
  </si>
  <si>
    <t>261006</t>
  </si>
  <si>
    <t>261007</t>
  </si>
  <si>
    <t>261008</t>
  </si>
  <si>
    <t>261009</t>
  </si>
  <si>
    <t>261010</t>
  </si>
  <si>
    <t>261011</t>
  </si>
  <si>
    <t>10/11-10/17</t>
  </si>
  <si>
    <t>261012</t>
  </si>
  <si>
    <t>261013</t>
  </si>
  <si>
    <t>261014</t>
  </si>
  <si>
    <t>261015</t>
  </si>
  <si>
    <t>261016</t>
  </si>
  <si>
    <t>261017</t>
  </si>
  <si>
    <t>261018</t>
  </si>
  <si>
    <t>10/18-10/24</t>
  </si>
  <si>
    <t>261019</t>
  </si>
  <si>
    <t>261020</t>
  </si>
  <si>
    <t>261021</t>
  </si>
  <si>
    <t>261022</t>
  </si>
  <si>
    <t>261023</t>
  </si>
  <si>
    <t>261024</t>
  </si>
  <si>
    <t>261025</t>
  </si>
  <si>
    <t>10/25-10/31</t>
  </si>
  <si>
    <t>261026</t>
  </si>
  <si>
    <t>261027</t>
  </si>
  <si>
    <t>261028</t>
  </si>
  <si>
    <t>261029</t>
  </si>
  <si>
    <t>261030</t>
  </si>
  <si>
    <t>261031</t>
  </si>
  <si>
    <t>261101</t>
  </si>
  <si>
    <t>11/1-11/7</t>
  </si>
  <si>
    <t>261102</t>
  </si>
  <si>
    <t>261103</t>
  </si>
  <si>
    <t>261104</t>
  </si>
  <si>
    <t>261105</t>
  </si>
  <si>
    <t>261106</t>
  </si>
  <si>
    <t>261107</t>
  </si>
  <si>
    <t>261108</t>
  </si>
  <si>
    <t>11/8-11/14</t>
  </si>
  <si>
    <t>261109</t>
  </si>
  <si>
    <t>261110</t>
  </si>
  <si>
    <t>261111</t>
  </si>
  <si>
    <t>261112</t>
  </si>
  <si>
    <t>261113</t>
  </si>
  <si>
    <t>261114</t>
  </si>
  <si>
    <t>261115</t>
  </si>
  <si>
    <t>11/15-11/21</t>
  </si>
  <si>
    <t>261116</t>
  </si>
  <si>
    <t>261117</t>
  </si>
  <si>
    <t>261118</t>
  </si>
  <si>
    <t>261119</t>
  </si>
  <si>
    <t>261120</t>
  </si>
  <si>
    <t>261121</t>
  </si>
  <si>
    <t>261122</t>
  </si>
  <si>
    <t>11/22-11/28</t>
  </si>
  <si>
    <t>261123</t>
  </si>
  <si>
    <t>261124</t>
  </si>
  <si>
    <t>261125</t>
  </si>
  <si>
    <t>261126</t>
  </si>
  <si>
    <t>261127</t>
  </si>
  <si>
    <t>261128</t>
  </si>
  <si>
    <t>261129</t>
  </si>
  <si>
    <t>11/29-12/5</t>
  </si>
  <si>
    <t>261130</t>
  </si>
  <si>
    <t>261201</t>
  </si>
  <si>
    <t>261202</t>
  </si>
  <si>
    <t>261203</t>
  </si>
  <si>
    <t>261204</t>
  </si>
  <si>
    <t>261205</t>
  </si>
  <si>
    <t>261206</t>
  </si>
  <si>
    <t>12/6-12/12</t>
  </si>
  <si>
    <t>261207</t>
  </si>
  <si>
    <t>261208</t>
  </si>
  <si>
    <t>261209</t>
  </si>
  <si>
    <t>261210</t>
  </si>
  <si>
    <t>261211</t>
  </si>
  <si>
    <t>261212</t>
  </si>
  <si>
    <t>261213</t>
  </si>
  <si>
    <t>12/13-12/19</t>
  </si>
  <si>
    <t>261214</t>
  </si>
  <si>
    <t>261215</t>
  </si>
  <si>
    <t>261216</t>
  </si>
  <si>
    <t>261217</t>
  </si>
  <si>
    <t>261218</t>
  </si>
  <si>
    <t>261219</t>
  </si>
  <si>
    <t>261220</t>
  </si>
  <si>
    <t>12/20-12/26</t>
  </si>
  <si>
    <t>261221</t>
  </si>
  <si>
    <t>261222</t>
  </si>
  <si>
    <t>261223</t>
  </si>
  <si>
    <t>261224</t>
  </si>
  <si>
    <t>261225</t>
  </si>
  <si>
    <t>261226</t>
  </si>
  <si>
    <t>261227</t>
  </si>
  <si>
    <t>12/27-1/2</t>
  </si>
  <si>
    <t>261228</t>
  </si>
  <si>
    <t>261229</t>
  </si>
  <si>
    <t>261230</t>
  </si>
  <si>
    <t>261231</t>
  </si>
  <si>
    <t>kpi_id</t>
  </si>
  <si>
    <t>source_rows_wip4</t>
  </si>
  <si>
    <t>KPI-01</t>
  </si>
  <si>
    <t>$</t>
  </si>
  <si>
    <t>N</t>
  </si>
  <si>
    <t>15-16</t>
  </si>
  <si>
    <t>KPI-02</t>
  </si>
  <si>
    <t>17-18</t>
  </si>
  <si>
    <t>KPI-03</t>
  </si>
  <si>
    <t>Deals Completed</t>
  </si>
  <si>
    <t>text</t>
  </si>
  <si>
    <t>19-20</t>
  </si>
  <si>
    <t>KPI-04</t>
  </si>
  <si>
    <t>Implementations Completed</t>
  </si>
  <si>
    <t>John &amp; Sheila</t>
  </si>
  <si>
    <t>21-00</t>
  </si>
  <si>
    <t>KPI-05</t>
  </si>
  <si>
    <t>count</t>
  </si>
  <si>
    <t>Y</t>
  </si>
  <si>
    <t>22-23</t>
  </si>
  <si>
    <t>KPI-06</t>
  </si>
  <si>
    <t>24-25</t>
  </si>
  <si>
    <t>KPI-07</t>
  </si>
  <si>
    <t>26-27</t>
  </si>
  <si>
    <t>KPI-08</t>
  </si>
  <si>
    <t>Marketable Patients - Accumulated</t>
  </si>
  <si>
    <t>29-30</t>
  </si>
  <si>
    <t>KPI-09</t>
  </si>
  <si>
    <t>31-32</t>
  </si>
  <si>
    <t>KPI-10</t>
  </si>
  <si>
    <t>33-34</t>
  </si>
  <si>
    <t>KPI-11</t>
  </si>
  <si>
    <t>Conversion Rate</t>
  </si>
  <si>
    <t>%</t>
  </si>
  <si>
    <t>35-36</t>
  </si>
  <si>
    <t>KPI-12</t>
  </si>
  <si>
    <t>37-40</t>
  </si>
  <si>
    <t>KPI-13</t>
  </si>
  <si>
    <t>42-44</t>
  </si>
  <si>
    <t>KPI-14</t>
  </si>
  <si>
    <t>45-46</t>
  </si>
  <si>
    <t>KPI-15</t>
  </si>
  <si>
    <t>Call Center Cost per Activation</t>
  </si>
  <si>
    <t>text/$</t>
  </si>
  <si>
    <t>47-48</t>
  </si>
  <si>
    <t>KPI-16</t>
  </si>
  <si>
    <t>text/%</t>
  </si>
  <si>
    <t>49-50</t>
  </si>
  <si>
    <t>KPI-17</t>
  </si>
  <si>
    <t>ratio</t>
  </si>
  <si>
    <t>51-52</t>
  </si>
  <si>
    <t>KPI-18</t>
  </si>
  <si>
    <t>53-54</t>
  </si>
  <si>
    <t>KPI-19</t>
  </si>
  <si>
    <t>55-56</t>
  </si>
  <si>
    <t>KPI-20</t>
  </si>
  <si>
    <t>57-58</t>
  </si>
  <si>
    <t>KPI-21</t>
  </si>
  <si>
    <t>DPP Milestone Conversions</t>
  </si>
  <si>
    <t>Kit &amp; Alex</t>
  </si>
  <si>
    <t>59-60</t>
  </si>
  <si>
    <t>KPI-22</t>
  </si>
  <si>
    <t>62-63</t>
  </si>
  <si>
    <t>KPI-23</t>
  </si>
  <si>
    <t>Care Delivery Time per Care Manager (% total time)</t>
  </si>
  <si>
    <t>64-65</t>
  </si>
  <si>
    <t>KPI-24</t>
  </si>
  <si>
    <t>66-00</t>
  </si>
  <si>
    <t>initiative_id</t>
  </si>
  <si>
    <t>initiative_name</t>
  </si>
  <si>
    <t>current_status</t>
  </si>
  <si>
    <t>TIE-01</t>
  </si>
  <si>
    <t>Tier 1 Initiative</t>
  </si>
  <si>
    <t>RPM 2026 (new codes)</t>
  </si>
  <si>
    <t>Team</t>
  </si>
  <si>
    <t>TIE-02</t>
  </si>
  <si>
    <t>APCM</t>
  </si>
  <si>
    <t>TIE-03</t>
  </si>
  <si>
    <t>RPM/PCM/CCM Product and onboarding</t>
  </si>
  <si>
    <t>TIE-04</t>
  </si>
  <si>
    <t>Griffin CCM transition and growth</t>
  </si>
  <si>
    <t>Sheila &amp; Luke</t>
  </si>
  <si>
    <t>TIE-05</t>
  </si>
  <si>
    <t>Brook+ acquisition</t>
  </si>
  <si>
    <t>Luke &amp; Kit</t>
  </si>
  <si>
    <t>TIE-06</t>
  </si>
  <si>
    <t>Care - Optimization -&gt; Automation</t>
  </si>
  <si>
    <t>TIE-07</t>
  </si>
  <si>
    <t>Acquisition and Onboarding system</t>
  </si>
  <si>
    <t>TIE-08</t>
  </si>
  <si>
    <t>Patient retention</t>
  </si>
  <si>
    <t>TIE-09</t>
  </si>
  <si>
    <t>Med Management</t>
  </si>
  <si>
    <t>PRO-01</t>
  </si>
  <si>
    <t>Product &amp; Engineering</t>
  </si>
  <si>
    <t>PRO-02</t>
  </si>
  <si>
    <t>PRO-03</t>
  </si>
  <si>
    <t>PCM/CCM</t>
  </si>
  <si>
    <t>PRO-04</t>
  </si>
  <si>
    <t>Care Automation</t>
  </si>
  <si>
    <t>PRO-05</t>
  </si>
  <si>
    <t>Kit &amp; Luke</t>
  </si>
  <si>
    <t>PRO-06</t>
  </si>
  <si>
    <t>Brook+ conversion</t>
  </si>
  <si>
    <t>PRO-07</t>
  </si>
  <si>
    <t>Scale and stability roadmap</t>
  </si>
  <si>
    <t>Tal.</t>
  </si>
  <si>
    <t>PRO-08</t>
  </si>
  <si>
    <t>Datadog Real User Monitoring (RUM)</t>
  </si>
  <si>
    <t>PRO-09</t>
  </si>
  <si>
    <t>Migrate Brook+ Backend to Spring Boot 3.2/Java 21</t>
  </si>
  <si>
    <t>PRO-10</t>
  </si>
  <si>
    <t>DuploCloud Integration</t>
  </si>
  <si>
    <t>Tal</t>
  </si>
  <si>
    <t>PRO-11</t>
  </si>
  <si>
    <t>Benefits investigation</t>
  </si>
  <si>
    <t>Tal, Kit</t>
  </si>
  <si>
    <t>PRO-12</t>
  </si>
  <si>
    <t>Cust Support system</t>
  </si>
  <si>
    <t>Kit, Team</t>
  </si>
  <si>
    <t>PRO-13</t>
  </si>
  <si>
    <t>Partner integrations</t>
  </si>
  <si>
    <t>Kit, Tal</t>
  </si>
  <si>
    <t>PRO-14</t>
  </si>
  <si>
    <t>Patient Experience - engagement, retention, utilisation</t>
  </si>
  <si>
    <t>PRO-15</t>
  </si>
  <si>
    <t>Device catalogue and ops</t>
  </si>
  <si>
    <t>PRO-16</t>
  </si>
  <si>
    <t>Med Mgmt and Pharmacy / 340B</t>
  </si>
  <si>
    <t>PRO-17</t>
  </si>
  <si>
    <t>DPP program on platform</t>
  </si>
  <si>
    <t>PRO-18</t>
  </si>
  <si>
    <t>Partner analytics and data view</t>
  </si>
  <si>
    <t>PRO-19</t>
  </si>
  <si>
    <t>Patient satisfaction</t>
  </si>
  <si>
    <t>PEO-01</t>
  </si>
  <si>
    <t>People &amp; Culture</t>
  </si>
  <si>
    <t>Avg time posted to offer - Leadership</t>
  </si>
  <si>
    <t>Tricia</t>
  </si>
  <si>
    <t>Less than 75 days</t>
  </si>
  <si>
    <t>PEO-02</t>
  </si>
  <si>
    <t>Avg time posted to offer - Technical</t>
  </si>
  <si>
    <t>Less than 60 days</t>
  </si>
  <si>
    <t>PEO-03</t>
  </si>
  <si>
    <t>Avg time posted to offer - IC</t>
  </si>
  <si>
    <t>Less than 45 days</t>
  </si>
  <si>
    <t>PEO-04</t>
  </si>
  <si>
    <t>Employee Regrettable Turnover</t>
  </si>
  <si>
    <t>Annualized under 15%</t>
  </si>
  <si>
    <t>PEO-05</t>
  </si>
  <si>
    <t>Employee Regrettable Turnover under 1 year</t>
  </si>
  <si>
    <t>Annualized under 10%</t>
  </si>
  <si>
    <t>PEO-06</t>
  </si>
  <si>
    <t>HR Calendar</t>
  </si>
  <si>
    <t>$12M</t>
  </si>
  <si>
    <t>$13M</t>
  </si>
  <si>
    <t>$15M</t>
  </si>
  <si>
    <t>$16M</t>
  </si>
  <si>
    <t>$17M</t>
  </si>
  <si>
    <t>$18M</t>
  </si>
  <si>
    <t>$19M</t>
  </si>
  <si>
    <t>$20M</t>
  </si>
  <si>
    <t>$14.7M</t>
  </si>
  <si>
    <t>$23.0M</t>
  </si>
  <si>
    <t>$28.0M</t>
  </si>
  <si>
    <t>$33.0M</t>
  </si>
  <si>
    <t>$39.0M</t>
  </si>
  <si>
    <t>$46.0M</t>
  </si>
  <si>
    <t>$53.0M</t>
  </si>
  <si>
    <t>$61.0M</t>
  </si>
  <si>
    <t>$69.0M</t>
  </si>
  <si>
    <t>$78.0M</t>
  </si>
  <si>
    <t>$87.0M</t>
  </si>
  <si>
    <t>$116M</t>
  </si>
  <si>
    <t>$115.2M</t>
  </si>
  <si>
    <t>33/67/0%</t>
  </si>
  <si>
    <t>18/82/0%</t>
  </si>
  <si>
    <t>14/67/19%</t>
  </si>
  <si>
    <t>13/61/26%</t>
  </si>
  <si>
    <t>13/62/26%</t>
  </si>
  <si>
    <t>0/26/74%</t>
  </si>
  <si>
    <t>0/23/77%</t>
  </si>
  <si>
    <t>0/22/78%</t>
  </si>
  <si>
    <t>0/20/80%</t>
  </si>
  <si>
    <t>March 70%</t>
  </si>
  <si>
    <t>milestone_text</t>
  </si>
  <si>
    <t>status_score</t>
  </si>
  <si>
    <t>status_label</t>
  </si>
  <si>
    <t>APCM capability on platform</t>
  </si>
  <si>
    <t>Early Stage</t>
  </si>
  <si>
    <t>Product training for Sales, PSM, billing (kit)</t>
  </si>
  <si>
    <t>Near Complete</t>
  </si>
  <si>
    <t>Delivery plan developed for Beney (Sheila)</t>
  </si>
  <si>
    <t>In Progress</t>
  </si>
  <si>
    <t>Patients identification, rollout plan, dry run-through (sheila, luke)</t>
  </si>
  <si>
    <t>First APCM patients on system (Sheila, Luke)</t>
  </si>
  <si>
    <t>APCM Billing readiness.</t>
  </si>
  <si>
    <t>CCM onboarding v0.2</t>
  </si>
  <si>
    <t>Prod update - 2 conditions</t>
  </si>
  <si>
    <t>Change mgt plan for the Intake team (luke)</t>
  </si>
  <si>
    <t>CCM onboarding v1.0</t>
  </si>
  <si>
    <t>Warm transfers started</t>
  </si>
  <si>
    <t>Letters sent to Engooden pts. (luke)</t>
  </si>
  <si>
    <t>Text messages and emails. Onboarding process documented. (luke)</t>
  </si>
  <si>
    <t>Intake nurse calls start</t>
  </si>
  <si>
    <t>Engooden migration</t>
  </si>
  <si>
    <t>Same store clinic letters sent</t>
  </si>
  <si>
    <t>New store collateral delivered</t>
  </si>
  <si>
    <t>Registration update released</t>
  </si>
  <si>
    <t>Complete</t>
  </si>
  <si>
    <t>Data Pipeline + Buckets implemented</t>
  </si>
  <si>
    <t>Care Team evaluation of logic, to move into Beta</t>
  </si>
  <si>
    <t>Patient list - beta launch with 1 Nurse Pod</t>
  </si>
  <si>
    <t>Patient list - post discharge protocols (CHF, ED-admission) with appointments data model. POCAR UI for Care Team: Work the list &amp;  What to do</t>
  </si>
  <si>
    <t>Patient list - soft cirlce for release timing (depends on prior milestones) with AI note summary</t>
  </si>
  <si>
    <t>Patient List (data) + POCAR (UI) with full team transition (dependent on training &amp; prior milestones)</t>
  </si>
  <si>
    <t>Milestone release</t>
  </si>
  <si>
    <t>Planned</t>
  </si>
  <si>
    <t>Cust IO system update</t>
  </si>
  <si>
    <t>Device catalog Q1 refresh - A&amp;D Cuff &amp; Scale</t>
  </si>
  <si>
    <t>Patient SMS nudges</t>
  </si>
  <si>
    <t>New App</t>
  </si>
  <si>
    <t>Med Mgmt - foundation work</t>
  </si>
  <si>
    <t>Med Mgmt - data feed integrations</t>
  </si>
  <si>
    <t>Deploy formal project team to create implementation plan with 1st partner</t>
  </si>
  <si>
    <t>1st partner contract signed</t>
  </si>
  <si>
    <t>Launched w. 1st partner</t>
  </si>
  <si>
    <t>2nd partner contract signed</t>
  </si>
  <si>
    <t>Launched w. 2nd partner</t>
  </si>
  <si>
    <t>New HS partner</t>
  </si>
  <si>
    <t>product training for Account Mgmt; PS; CO; RCM</t>
  </si>
  <si>
    <t>APCM OB release</t>
  </si>
  <si>
    <t>APCM billing</t>
  </si>
  <si>
    <t>Prod update - 2 conditions bug</t>
  </si>
  <si>
    <t>testing care engine for prioritization</t>
  </si>
  <si>
    <t>Zoom features released</t>
  </si>
  <si>
    <t>Patient list feature released</t>
  </si>
  <si>
    <t>CCM and APCM onboarding v1.0</t>
  </si>
  <si>
    <t>Integration to DataDog</t>
  </si>
  <si>
    <t>Dev environment</t>
  </si>
  <si>
    <t>Prod environment</t>
  </si>
  <si>
    <t>BI as a service investigation</t>
  </si>
  <si>
    <t>Stability update</t>
  </si>
  <si>
    <t>Pilot with second data vendor</t>
  </si>
  <si>
    <t>BI Service live - TBD</t>
  </si>
  <si>
    <t>Strategy and design finalised</t>
  </si>
  <si>
    <t>Cust support system v1.0 Released</t>
  </si>
  <si>
    <t>Highgate release</t>
  </si>
  <si>
    <t>Partner launched</t>
  </si>
  <si>
    <t>Umass v2 released</t>
  </si>
  <si>
    <t>Patient nudges</t>
  </si>
  <si>
    <t>Impilo v3</t>
  </si>
  <si>
    <t>DPP released on platform (care mgmt, app, etc)</t>
  </si>
  <si>
    <t>Partner analytics and data view released</t>
  </si>
  <si>
    <t>Patient Sat / NPS survey</t>
  </si>
  <si>
    <t>Compensation Planning finalized</t>
  </si>
  <si>
    <t>Compensation Communication (effective 4/1)</t>
  </si>
  <si>
    <t>Performance Cycle (self assessments)</t>
  </si>
  <si>
    <t>Performance Cycle (Manager assessments completed by 6/30)</t>
  </si>
  <si>
    <t>HR audit &amp; annual compliance training</t>
  </si>
  <si>
    <t>Employee survey &amp; 2027 benefits strategy</t>
  </si>
  <si>
    <t>Open enrollment &amp; department planning</t>
  </si>
  <si>
    <t>Headcount &amp; budget finalized</t>
  </si>
  <si>
    <t>month</t>
  </si>
  <si>
    <t>narrative_text</t>
  </si>
  <si>
    <t>March</t>
  </si>
  <si>
    <t>New activations - 653, total actives EO March - 8,584
1. CCM rollout - 20% of new activations (=130), Griffin as lead, Highgate second
2. RPM 2026 codes - accepted at all accounts (Oren / John / Sheila)
3. Care Efficiency - workforce management - impact (Alex / Kit / Gregg)
4. 3 new contracts need to be signed this month (John) and implementation starting. 
5. Completed transition of Highgate from implementation to PSM
6. $0 Copay BI automation
7. CCM onboarding at Griffin + WNY: 100 activations
8. Highgate ramping: 100 activations</t>
  </si>
  <si>
    <t>April</t>
  </si>
  <si>
    <t>Activations = 1,088. Total actives = 9,348
1. APCM - launched with 1 clinics; X patients (define KPI? Kit/Kelsey)
2. Care Efficiency - impact
3. Brook+ registration conversion improvements - (target 85%)
4. CMN restarted - target if 400 new activation in '26
5. New HS launched - target of 1,500 new patients in '26
 - mitigation decision by 3/24/26
6. Griffin CCM transition - goal is to have 850 (200 on RPM currently) Griffin CCM active by end of April. Plan readiness?
7. Comp planning (Gregg/Tricia)
8. 2026 Partner Kick Off 4/20-4/23
9. Engooden patient migration (600 activations)
10. Sturdy opening diagnosis partner rules</t>
  </si>
  <si>
    <t>Activations = 1,463. Total actives = 10,462
1. new HS launched - target of 900 new patients in '26
2. new clinic launched - target of 300 new patients in '26
    - Need signatures by 3/24/26
3. Patient Retention improvements (SMS nudges)- impact
4. Employee Performance reviews completed???
5. 3 new partner wins 
6. 685 activations forecast to come from new store in May
7. Open (or near open) access to qualified Sturdy patients</t>
  </si>
  <si>
    <t>June</t>
  </si>
  <si>
    <t>Activations = 1,713. Total actives = 11,784
1. two new clinics launched - target of 1,200 patients in '26
2. Med Mgmt 1st partner contract signed (dependent on revenue convo)
3. By end of June, debt line / financing devices 
4. BI. as a service - impact</t>
  </si>
  <si>
    <t>July</t>
  </si>
  <si>
    <t>Activations = 2,038. Total actives = 13,381
1. Med Management launch, rollout to XX partners
2. new HS launched - target of 1,000 patients in '26
3. Med Mgmt 1st partner launched; Med Mgmt 2nd partner contract signed
4. BI moved to outside vendor
5. Board Retreat</t>
  </si>
  <si>
    <t>August</t>
  </si>
  <si>
    <t>Activations = 2,228. Total actives = 15,112
1. New clinic launch - target of 600 patients in '26
Med Mgmt 2nd partner launch</t>
  </si>
  <si>
    <t>September</t>
  </si>
  <si>
    <t>Activations = 2,518. Total actives = 17,074
1. New HS and new Clinic launched - target of 500 new patients in '26.</t>
  </si>
  <si>
    <t>October</t>
  </si>
  <si>
    <t>Activations = 2,713. Total actives = 19,170
1. new clinic and new HS launch - target of 400 new patients in '26
2.</t>
  </si>
  <si>
    <t>November</t>
  </si>
  <si>
    <t>Activations = 2,453. Total actives = 20,937
1. new clinic and new HS launch - targeting 150 new patients in '26</t>
  </si>
  <si>
    <t>December</t>
  </si>
  <si>
    <t>Activations = 2,197. Total actives = 22,407</t>
  </si>
  <si>
    <t>Start Date</t>
  </si>
  <si>
    <t>Week 1</t>
  </si>
  <si>
    <t>Week 2</t>
  </si>
  <si>
    <t>Week 3</t>
  </si>
  <si>
    <t>Week 4</t>
  </si>
  <si>
    <t>Week 5</t>
  </si>
  <si>
    <t>Week 6</t>
  </si>
  <si>
    <t>Week 7</t>
  </si>
  <si>
    <t xml:space="preserve">Week 8 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</si>
  <si>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</si>
  <si>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</si>
  <si>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</si>
  <si>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</si>
  <si>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</si>
  <si>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</si>
  <si>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</si>
  <si>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</si>
  <si>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</si>
  <si>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</si>
  <si>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</si>
  <si>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</si>
  <si>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</si>
  <si>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</si>
  <si>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</si>
  <si>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</si>
  <si>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</si>
  <si>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</si>
  <si>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</si>
  <si>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</si>
  <si>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</si>
  <si>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</si>
  <si>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</si>
  <si>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</si>
  <si>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</si>
  <si>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</si>
  <si>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</si>
  <si>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</si>
  <si>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</si>
  <si>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</si>
  <si>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</si>
  <si>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</si>
  <si>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</si>
  <si>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</si>
  <si>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</si>
  <si>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</si>
  <si>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</si>
  <si>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</si>
  <si>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</si>
  <si>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</si>
  <si>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</si>
  <si>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</si>
  <si>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</si>
  <si>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</si>
  <si>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check</t>
  </si>
  <si>
    <t>New Qualfied (John)</t>
  </si>
  <si>
    <t>New Qualified Unlocked (Sheila)</t>
  </si>
  <si>
    <t>Locked Qualified</t>
  </si>
  <si>
    <t>Unlock Rate</t>
  </si>
  <si>
    <t>Pre-BI Unlocked Eligible</t>
  </si>
  <si>
    <t>BI Pace</t>
  </si>
  <si>
    <t>Unlocked Eligible Backlog</t>
  </si>
  <si>
    <t>NEED MARKETABLE RATE OF 80%</t>
  </si>
  <si>
    <t>New Marketable</t>
  </si>
  <si>
    <t>Out Of Pocket Band</t>
  </si>
  <si>
    <t>1 – 19</t>
  </si>
  <si>
    <t>20 – 29</t>
  </si>
  <si>
    <t>30 – 39</t>
  </si>
  <si>
    <t>40 – 49</t>
  </si>
  <si>
    <t>50+</t>
  </si>
  <si>
    <t>Deductible Remaining</t>
  </si>
  <si>
    <t>Conversion Pace</t>
  </si>
  <si>
    <t>Week</t>
  </si>
  <si>
    <t>New Activations</t>
  </si>
  <si>
    <t>Forecast - Company</t>
  </si>
  <si>
    <t>Variance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</si>
</sst>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#,##0.####;\(#,##0.####\);\-"/>
    <numFmt numFmtId="166" formatCode="m/d"/>
    <numFmt numFmtId="167" formatCode="m\-d"/>
  </numFmts>
  <fonts count="15">
    <font>
      <sz val="10.0"/>
      <color rgb="FF000000"/>
      <name val="Arial"/>
      <scheme val="minor"/>
    </font>
    <font>
      <b/>
      <sz val="18.0"/>
      <color rgb="FF000000"/>
      <name val="Arial"/>
    </font>
    <font>
      <i/>
      <sz val="10.0"/>
      <color rgb="FF666666"/>
      <name val="Arial"/>
    </font>
    <font>
      <b/>
      <sz val="13.0"/>
      <color rgb="FF1F4E79"/>
      <name val="Arial"/>
    </font>
    <font>
      <b/>
      <sz val="10.0"/>
      <color rgb="FF000000"/>
      <name val="Arial"/>
    </font>
    <font>
      <u/>
      <sz val="10.0"/>
      <color rgb="FF0563C1"/>
      <name val="Arial"/>
    </font>
    <font>
      <sz val="10.0"/>
      <color rgb="FF000000"/>
      <name val="Arial"/>
    </font>
    <font>
      <u/>
      <sz val="10.0"/>
      <color rgb="FF0563C1"/>
      <name val="Arial"/>
    </font>
    <font>
      <color theme="1"/>
      <name val="Arial"/>
      <scheme val="minor"/>
    </font>
    <font>
      <b/>
      <u/>
      <sz val="10.0"/>
      <color rgb="FF0563C1"/>
      <name val="Arial"/>
    </font>
    <font>
      <b/>
      <u/>
      <sz val="11.0"/>
      <color rgb="FF0563C1"/>
      <name val="Arial"/>
    </font>
    <font>
      <b/>
      <sz val="76.0"/>
      <color rgb="FFFF0000"/>
      <name val="Arial"/>
    </font>
    <font>
      <sz val="10.0"/>
      <color theme="1"/>
      <name val="Arial"/>
    </font>
    <font>
      <b/>
      <sz val="10.0"/>
      <color theme="1"/>
      <name val="Red Hat Display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EBF2F7"/>
        <bgColor rgb="FFEBF2F7"/>
      </patternFill>
    </fill>
    <fill>
      <patternFill patternType="solid">
        <fgColor rgb="FFFFF2CC"/>
        <bgColor rgb="FFFFF2CC"/>
      </patternFill>
    </fill>
  </fills>
  <borders count="14">
    <border/>
    <border>
      <left/>
      <right/>
      <top/>
      <bottom style="thin">
        <color rgb="FF000000"/>
      </bottom>
    </border>
    <border>
      <left/>
      <right/>
      <top/>
      <bottom/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3" fontId="5" numFmtId="0" xfId="0" applyBorder="1" applyFill="1" applyFont="1"/>
    <xf borderId="2" fillId="3" fontId="6" numFmtId="0" xfId="0" applyBorder="1" applyFont="1"/>
    <xf borderId="2" fillId="3" fontId="6" numFmtId="3" xfId="0" applyBorder="1" applyFont="1" applyNumberFormat="1"/>
    <xf borderId="0" fillId="0" fontId="7" numFmtId="0" xfId="0" applyFont="1"/>
    <xf borderId="0" fillId="0" fontId="8" numFmtId="0" xfId="0" applyFont="1"/>
    <xf borderId="0" fillId="0" fontId="4" numFmtId="0" xfId="0" applyFont="1"/>
    <xf borderId="0" fillId="0" fontId="6" numFmtId="0" xfId="0" applyFont="1"/>
    <xf borderId="2" fillId="2" fontId="4" numFmtId="49" xfId="0" applyBorder="1" applyFont="1" applyNumberFormat="1"/>
    <xf borderId="2" fillId="2" fontId="4" numFmtId="164" xfId="0" applyBorder="1" applyFont="1" applyNumberFormat="1"/>
    <xf borderId="2" fillId="2" fontId="4" numFmtId="0" xfId="0" applyBorder="1" applyFont="1"/>
    <xf borderId="3" fillId="0" fontId="6" numFmtId="0" xfId="0" applyBorder="1" applyFont="1"/>
    <xf borderId="4" fillId="0" fontId="6" numFmtId="0" xfId="0" applyBorder="1" applyFont="1"/>
    <xf borderId="3" fillId="0" fontId="6" numFmtId="49" xfId="0" applyBorder="1" applyFont="1" applyNumberFormat="1"/>
    <xf borderId="4" fillId="0" fontId="6" numFmtId="49" xfId="0" applyBorder="1" applyFont="1" applyNumberFormat="1"/>
    <xf borderId="5" fillId="0" fontId="6" numFmtId="0" xfId="0" applyBorder="1" applyFont="1"/>
    <xf borderId="0" fillId="0" fontId="6" numFmtId="49" xfId="0" applyFont="1" applyNumberFormat="1"/>
    <xf borderId="0" fillId="0" fontId="6" numFmtId="164" xfId="0" applyFont="1" applyNumberFormat="1"/>
    <xf borderId="0" fillId="0" fontId="8" numFmtId="165" xfId="0" applyFont="1" applyNumberFormat="1"/>
    <xf borderId="6" fillId="0" fontId="6" numFmtId="0" xfId="0" applyBorder="1" applyFont="1"/>
    <xf borderId="7" fillId="0" fontId="6" numFmtId="0" xfId="0" applyBorder="1" applyFont="1"/>
    <xf borderId="3" fillId="0" fontId="6" numFmtId="1" xfId="0" applyBorder="1" applyFont="1" applyNumberFormat="1"/>
    <xf borderId="8" fillId="0" fontId="6" numFmtId="1" xfId="0" applyBorder="1" applyFont="1" applyNumberFormat="1"/>
    <xf borderId="9" fillId="0" fontId="6" numFmtId="1" xfId="0" applyBorder="1" applyFont="1" applyNumberFormat="1"/>
    <xf borderId="3" fillId="0" fontId="6" numFmtId="165" xfId="0" applyBorder="1" applyFont="1" applyNumberFormat="1"/>
    <xf borderId="8" fillId="0" fontId="6" numFmtId="165" xfId="0" applyBorder="1" applyFont="1" applyNumberFormat="1"/>
    <xf borderId="9" fillId="0" fontId="6" numFmtId="165" xfId="0" applyBorder="1" applyFont="1" applyNumberForma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1" fillId="0" fontId="6" numFmtId="165" xfId="0" applyBorder="1" applyFont="1" applyNumberFormat="1"/>
    <xf borderId="12" fillId="0" fontId="6" numFmtId="165" xfId="0" applyBorder="1" applyFont="1" applyNumberFormat="1"/>
    <xf borderId="13" fillId="0" fontId="6" numFmtId="165" xfId="0" applyBorder="1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" xfId="0" applyFont="1" applyNumberFormat="1"/>
    <xf borderId="0" fillId="0" fontId="9" numFmtId="0" xfId="0" applyFont="1"/>
    <xf quotePrefix="1" borderId="0" fillId="0" fontId="6" numFmtId="49" xfId="0" applyFont="1" applyNumberFormat="1"/>
    <xf borderId="0" fillId="0" fontId="6" numFmtId="1" xfId="0" applyFont="1" applyNumberFormat="1"/>
    <xf borderId="0" fillId="0" fontId="10" numFmtId="0" xfId="0" applyFont="1"/>
    <xf borderId="0" fillId="0" fontId="6" numFmtId="0" xfId="0" applyAlignment="1" applyFont="1">
      <alignment shrinkToFit="0" wrapText="1"/>
    </xf>
    <xf borderId="0" fillId="0" fontId="4" numFmtId="165" xfId="0" applyFont="1" applyNumberFormat="1"/>
    <xf borderId="0" fillId="0" fontId="6" numFmtId="165" xfId="0" applyFont="1" applyNumberFormat="1"/>
    <xf borderId="0" fillId="0" fontId="4" numFmtId="2" xfId="0" applyFont="1" applyNumberFormat="1"/>
    <xf borderId="0" fillId="0" fontId="6" numFmtId="2" xfId="0" applyFont="1" applyNumberFormat="1"/>
    <xf borderId="0" fillId="0" fontId="4" numFmtId="0" xfId="0" applyAlignment="1" applyFont="1">
      <alignment shrinkToFit="0" wrapText="1"/>
    </xf>
    <xf borderId="2" fillId="4" fontId="11" numFmtId="0" xfId="0" applyBorder="1" applyFill="1" applyFont="1"/>
    <xf borderId="0" fillId="0" fontId="12" numFmtId="0" xfId="0" applyFont="1"/>
    <xf borderId="0" fillId="0" fontId="12" numFmtId="166" xfId="0" applyFont="1" applyNumberFormat="1"/>
    <xf borderId="2" fillId="5" fontId="13" numFmtId="0" xfId="0" applyAlignment="1" applyBorder="1" applyFill="1" applyFont="1">
      <alignment shrinkToFit="0" wrapText="1"/>
    </xf>
    <xf borderId="0" fillId="0" fontId="12" numFmtId="3" xfId="0" applyFont="1" applyNumberFormat="1"/>
    <xf borderId="0" fillId="0" fontId="12" numFmtId="9" xfId="0" applyFont="1" applyNumberFormat="1"/>
    <xf borderId="2" fillId="6" fontId="12" numFmtId="3" xfId="0" applyBorder="1" applyFill="1" applyFont="1" applyNumberFormat="1"/>
    <xf borderId="2" fillId="6" fontId="12" numFmtId="9" xfId="0" applyBorder="1" applyFont="1" applyNumberFormat="1"/>
    <xf borderId="0" fillId="0" fontId="12" numFmtId="0" xfId="0" applyAlignment="1" applyFont="1">
      <alignment horizontal="left"/>
    </xf>
    <xf borderId="2" fillId="6" fontId="12" numFmtId="0" xfId="0" applyAlignment="1" applyBorder="1" applyFont="1">
      <alignment horizontal="left"/>
    </xf>
    <xf borderId="0" fillId="0" fontId="12" numFmtId="167" xfId="0" applyFont="1" applyNumberFormat="1"/>
    <xf borderId="0" fillId="0" fontId="12" numFmtId="167" xfId="0" applyAlignment="1" applyFont="1" applyNumberFormat="1">
      <alignment horizontal="left"/>
    </xf>
    <xf borderId="0" fillId="0" fontId="12" numFmtId="0" xfId="0" applyAlignment="1" applyFont="1">
      <alignment horizontal="right"/>
    </xf>
    <xf borderId="2" fillId="6" fontId="12" numFmtId="0" xfId="0" applyBorder="1" applyFont="1"/>
    <xf borderId="2" fillId="6" fontId="12" numFmtId="9" xfId="0" applyAlignment="1" applyBorder="1" applyFont="1" applyNumberFormat="1">
      <alignment horizontal="right"/>
    </xf>
    <xf borderId="0" fillId="0" fontId="14" numFmtId="0" xfId="0" applyAlignment="1" applyFont="1">
      <alignment horizontal="center"/>
    </xf>
    <xf borderId="0" fillId="0" fontId="12" numFmtId="167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911" sheet="cube_unified"/>
  </cacheSource>
  <cacheFields>
    <cacheField name="date_id" numFmtId="49">
      <sharedItems>
        <s v="260301"/>
        <s v="260308"/>
        <s v="260315"/>
        <s v="260322"/>
        <s v="260329"/>
        <s v="260405"/>
        <s v="260412"/>
        <s v="260419"/>
        <s v="260426"/>
        <s v="260503"/>
        <s v="260510"/>
        <s v="260517"/>
        <s v="260524"/>
        <s v="260601"/>
        <s v="260607"/>
        <s v="260614"/>
        <s v="260621"/>
        <s v="260628"/>
        <s v="260705"/>
        <s v="260712"/>
        <s v="260719"/>
        <s v="260726"/>
        <s v="260802"/>
        <s v="260809"/>
        <s v="260816"/>
        <s v="260823"/>
        <s v="260830"/>
        <s v="260906"/>
        <s v="260913"/>
        <s v="260920"/>
        <s v="260927"/>
        <s v="261004"/>
        <s v="261011"/>
        <s v="261018"/>
        <s v="261025"/>
        <s v="261101"/>
        <s v="261108"/>
        <s v="261115"/>
        <s v="261122"/>
        <s v="261129"/>
        <s v="261206"/>
        <s v="261213"/>
        <s v="261220"/>
        <s v="261227"/>
      </sharedItems>
    </cacheField>
    <cacheField name="week_start" numFmtId="164">
      <sharedItems containsSemiMixedTypes="0" containsDate="1" containsString="0">
        <d v="2026-03-01T00:00:00Z"/>
        <d v="2026-03-08T00:00:00Z"/>
        <d v="2026-03-15T00:00:00Z"/>
        <d v="2026-03-22T00:00:00Z"/>
        <d v="2026-03-29T00:00:00Z"/>
        <d v="2026-04-05T00:00:00Z"/>
        <d v="2026-04-12T00:00:00Z"/>
        <d v="2026-04-19T00:00:00Z"/>
        <d v="2026-04-26T00:00:00Z"/>
        <d v="2026-05-03T00:00:00Z"/>
        <d v="2026-05-10T00:00:00Z"/>
        <d v="2026-05-17T00:00:00Z"/>
        <d v="2026-05-24T00:00:00Z"/>
        <d v="2026-06-01T00:00:00Z"/>
        <d v="2026-06-07T00:00:00Z"/>
        <d v="2026-06-14T00:00:00Z"/>
        <d v="2026-06-21T00:00:00Z"/>
        <d v="2026-06-28T00:00:00Z"/>
        <d v="2026-07-05T00:00:00Z"/>
        <d v="2026-07-12T00:00:00Z"/>
        <d v="2026-07-19T00:00:00Z"/>
        <d v="2026-07-26T00:00:00Z"/>
        <d v="2026-08-02T00:00:00Z"/>
        <d v="2026-08-09T00:00:00Z"/>
        <d v="2026-08-16T00:00:00Z"/>
        <d v="2026-08-23T00:00:00Z"/>
        <d v="2026-08-30T00:00:00Z"/>
        <d v="2026-09-06T00:00:00Z"/>
        <d v="2026-09-13T00:00:00Z"/>
        <d v="2026-09-20T00:00:00Z"/>
        <d v="2026-09-27T00:00:00Z"/>
        <d v="2026-10-04T00:00:00Z"/>
        <d v="2026-10-11T00:00:00Z"/>
        <d v="2026-10-18T00:00:00Z"/>
        <d v="2026-10-25T00:00:00Z"/>
        <d v="2026-11-01T00:00:00Z"/>
        <d v="2026-11-08T00:00:00Z"/>
        <d v="2026-11-15T00:00:00Z"/>
        <d v="2026-11-22T00:00:00Z"/>
        <d v="2026-11-29T00:00:00Z"/>
        <d v="2026-12-06T00:00:00Z"/>
        <d v="2026-12-13T00:00:00Z"/>
        <d v="2026-12-20T00:00:00Z"/>
        <d v="2026-12-27T00:00:00Z"/>
      </sharedItems>
    </cacheField>
    <cacheField name="domain" numFmtId="0">
      <sharedItems>
        <s v="Contracted Lives"/>
        <s v="Growth"/>
        <s v="Care Delivery"/>
      </sharedItems>
    </cacheField>
    <cacheField name="kpi_name" numFmtId="0">
      <sharedItems>
        <s v="Pipeline Growth - 6X Patient Count"/>
        <s v="Pipeline Growth - 6X Revenue"/>
        <s v="Eligible Forecast - Total Cumulative"/>
        <s v="Eligible Forecast - New Store Cumulative"/>
        <s v="Eligible Forecast - Same Store Cumulative"/>
        <s v="New Marketable Patients - New Store"/>
        <s v="New Marketable Patients - Same Store"/>
        <s v="Total Activations"/>
        <s v="Total Actives"/>
        <s v="Retention Rate"/>
        <s v="Agent Resource Cost Mix (FTE/NS/OS)"/>
        <s v="Enrollment Call Conversions (per rep per hour)"/>
        <s v="Activation Call Conversions (per rep per hour)"/>
        <s v="Non-Agent Related Enrollment &amp; Activation"/>
        <s v="DPP Enrollments"/>
        <s v="Bought Time Billed"/>
        <s v="Care Delivery Time per Care Manager"/>
        <s v="Optimization of Care Delivery Time to Billed"/>
      </sharedItems>
    </cacheField>
    <cacheField name="measure_class" numFmtId="0">
      <sharedItems>
        <s v="Goal"/>
        <s v="Actual"/>
        <s v="Forecast"/>
      </sharedItems>
    </cacheField>
    <cacheField name="forecast_type" numFmtId="0">
      <sharedItems>
        <s v=""/>
        <s v="Internal"/>
        <s v="Board"/>
        <s v="Projection"/>
      </sharedItems>
    </cacheField>
    <cacheField name="store_segment" numFmtId="0">
      <sharedItems>
        <s v="N/A"/>
        <s v="Total"/>
        <s v="New Store"/>
        <s v="Same Store"/>
      </sharedItems>
    </cacheField>
    <cacheField name="owner" numFmtId="0">
      <sharedItems containsBlank="1">
        <s v="John"/>
        <s v="John / Sheila"/>
        <s v="Sheila"/>
        <s v="Luke"/>
        <m/>
        <s v="Kit"/>
        <s v="Alex &amp; Kit"/>
      </sharedItems>
    </cacheField>
    <cacheField name="value">
      <sharedItems containsMixedTypes="1" containsNumber="1">
        <s v="$12M"/>
        <s v="$13M"/>
        <s v="$15M"/>
        <s v="$16M"/>
        <s v="$17M"/>
        <s v="$18M"/>
        <s v="$19M"/>
        <s v="$20M"/>
        <s v="$14.7M"/>
        <s v="$23.0M"/>
        <s v="$28.0M"/>
        <s v="$33.0M"/>
        <s v="$39.0M"/>
        <s v="$46.0M"/>
        <s v="$53.0M"/>
        <s v="$61.0M"/>
        <s v="$69.0M"/>
        <s v="$78.0M"/>
        <s v="$87.0M"/>
        <s v="$116M"/>
        <s v="$115.2M"/>
        <n v="10327.0"/>
        <n v="11827.0"/>
        <n v="13327.0"/>
        <n v="14827.0"/>
        <n v="19827.0"/>
        <n v="21327.0"/>
        <n v="22827.0"/>
        <n v="24327.0"/>
        <n v="40827.0"/>
        <n v="42327.0"/>
        <n v="43827.0"/>
        <n v="50327.0"/>
        <n v="51827.0"/>
        <n v="68327.0"/>
        <n v="69827.0"/>
        <n v="76327.0"/>
        <n v="77827.0"/>
        <n v="79577.0"/>
        <n v="81327.0"/>
        <n v="108077.0"/>
        <n v="109827.0"/>
        <n v="116577.0"/>
        <n v="118327.0"/>
        <n v="125077.0"/>
        <n v="126827.0"/>
        <n v="128577.0"/>
        <n v="131077.0"/>
        <n v="158577.0"/>
        <n v="161077.0"/>
        <n v="168577.0"/>
        <n v="171077.0"/>
        <n v="173577.0"/>
        <n v="196077.0"/>
        <n v="203577.0"/>
        <n v="206077.0"/>
        <n v="208577.0"/>
        <n v="216077.0"/>
        <n v="233577.0"/>
        <n v="3308.0"/>
        <n v="0.0"/>
        <n v="8758.0"/>
        <n v="23758.0"/>
        <n v="28758.0"/>
        <n v="43758.0"/>
        <n v="48758.0"/>
        <n v="73758.0"/>
        <n v="78758.0"/>
        <n v="83758.0"/>
        <n v="108758.0"/>
        <n v="113758.0"/>
        <n v="133758.0"/>
        <n v="138758.0"/>
        <n v="143758.0"/>
        <n v="158758.0"/>
        <n v="1569.0"/>
        <n v="3069.0"/>
        <n v="4569.0"/>
        <n v="6069.0"/>
        <n v="11069.0"/>
        <n v="12569.0"/>
        <n v="14069.0"/>
        <n v="15569.0"/>
        <n v="17069.0"/>
        <n v="18569.0"/>
        <n v="20069.0"/>
        <n v="21569.0"/>
        <n v="23069.0"/>
        <n v="24569.0"/>
        <n v="26069.0"/>
        <n v="27569.0"/>
        <n v="29069.0"/>
        <n v="30819.0"/>
        <n v="32569.0"/>
        <n v="34319.0"/>
        <n v="36069.0"/>
        <n v="37819.0"/>
        <n v="39569.0"/>
        <n v="41319.0"/>
        <n v="43069.0"/>
        <n v="44819.0"/>
        <n v="47319.0"/>
        <n v="49819.0"/>
        <n v="52319.0"/>
        <n v="54819.0"/>
        <n v="57319.0"/>
        <n v="59819.0"/>
        <n v="62319.0"/>
        <n v="64819.0"/>
        <n v="67319.0"/>
        <n v="69819.0"/>
        <n v="72319.0"/>
        <n v="74819.0"/>
        <n v="2802.4"/>
        <n v="4800.0"/>
        <n v="1600.0"/>
        <n v="8000.0"/>
        <n v="6400.0"/>
        <n v="870.0"/>
        <n v="2621.0"/>
        <n v="1255.2"/>
        <n v="1200.0"/>
        <n v="4000.0"/>
        <n v="4092.8"/>
        <n v="1400.0"/>
        <n v="2000.0"/>
        <n v="1500.0"/>
        <n v="150.0"/>
        <n v="207.0"/>
        <n v="245.0"/>
        <n v="269.0"/>
        <n v="365.0"/>
        <n v="292.0"/>
        <n v="410.0"/>
        <n v="328.0"/>
        <n v="350.0"/>
        <n v="465.0"/>
        <n v="530.0"/>
        <n v="586.0"/>
        <n v="480.0"/>
        <n v="600.0"/>
        <n v="618.0"/>
        <n v="645.0"/>
        <n v="516.0"/>
        <n v="680.0"/>
        <n v="544.0"/>
        <n v="408.0"/>
        <n v="536.0"/>
        <n v="500.0"/>
        <n v="400.0"/>
        <n v="140.0"/>
        <n v="167.0"/>
        <n v="185.0"/>
        <n v="206.0"/>
        <n v="290.0"/>
        <n v="232.0"/>
        <n v="325.0"/>
        <n v="260.0"/>
        <n v="284.0"/>
        <n v="385.0"/>
        <n v="455.0"/>
        <n v="499.0"/>
        <n v="510.0"/>
        <n v="526.0"/>
        <n v="550.0"/>
        <n v="440.0"/>
        <n v="575.0"/>
        <n v="460.0"/>
        <n v="345.0"/>
        <n v="463.0"/>
        <n v="435.0"/>
        <n v="348.0"/>
        <n v="135.0"/>
        <n v="170.0"/>
        <n v="142.0"/>
        <n v="144.0"/>
        <n v="187.0"/>
        <n v="174.0"/>
        <n v="177.0"/>
        <n v="205.0"/>
        <n v="222.0"/>
        <n v="234.0"/>
        <n v="236.0"/>
        <n v="240.0"/>
        <n v="239.0"/>
        <n v="221.0"/>
        <n v="265.0"/>
        <n v="259.0"/>
        <n v="273.0"/>
        <n v="314.0"/>
        <n v="289.0"/>
        <n v="332.0"/>
        <n v="373.0"/>
        <n v="337.0"/>
        <n v="354.0"/>
        <n v="335.0"/>
        <n v="334.0"/>
        <n v="338.0"/>
        <n v="349.0"/>
        <n v="323.0"/>
        <n v="316.0"/>
        <n v="341.0"/>
        <n v="329.0"/>
        <n v="297.0"/>
        <n v="283.0"/>
        <n v="244.0"/>
        <n v="155.0"/>
        <n v="160.0"/>
        <n v="8321.0"/>
        <n v="8396.0"/>
        <n v="8471.0"/>
        <n v="8546.0"/>
        <n v="8681.0"/>
        <n v="8856.0"/>
        <n v="9031.0"/>
        <n v="9206.0"/>
        <n v="9402.0"/>
        <n v="9682.0"/>
        <n v="9962.0"/>
        <n v="10242.0"/>
        <n v="10466.0"/>
        <n v="10781.0"/>
        <n v="11096.0"/>
        <n v="11348.0"/>
        <n v="11663.0"/>
        <n v="11935.0"/>
        <n v="12300.0"/>
        <n v="12665.0"/>
        <n v="13030.0"/>
        <n v="13395.0"/>
        <n v="13805.0"/>
        <n v="14215.0"/>
        <n v="14625.0"/>
        <n v="15035.0"/>
        <n v="15489.0"/>
        <n v="15861.0"/>
        <n v="16326.0"/>
        <n v="16791.0"/>
        <n v="17270.0"/>
        <n v="17770.0"/>
        <n v="18170.0"/>
        <n v="18670.0"/>
        <n v="19170.0"/>
        <n v="19660.0"/>
        <n v="20052.0"/>
        <n v="20542.0"/>
        <n v="20836.0"/>
        <n v="21202.0"/>
        <n v="21537.0"/>
        <n v="21872.0"/>
        <n v="22140.0"/>
        <n v="22408.0"/>
        <n v="8206.0"/>
        <n v="8166.0"/>
        <n v="8126.0"/>
        <n v="8086.0"/>
        <n v="8139.0"/>
        <n v="8254.0"/>
        <n v="8369.0"/>
        <n v="8484.0"/>
        <n v="8617.0"/>
        <n v="8822.0"/>
        <n v="9027.0"/>
        <n v="9232.0"/>
        <n v="9396.0"/>
        <n v="9636.0"/>
        <n v="9876.0"/>
        <n v="10068.0"/>
        <n v="10308.0"/>
        <n v="10522.0"/>
        <n v="10817.0"/>
        <n v="11112.0"/>
        <n v="11407.0"/>
        <n v="11702.0"/>
        <n v="12057.0"/>
        <n v="12412.0"/>
        <n v="12767.0"/>
        <n v="13122.0"/>
        <n v="13509.0"/>
        <n v="13825.0"/>
        <n v="14220.0"/>
        <n v="14615.0"/>
        <n v="15022.0"/>
        <n v="15447.0"/>
        <n v="15787.0"/>
        <n v="16212.0"/>
        <n v="16637.0"/>
        <n v="17047.0"/>
        <n v="17375.0"/>
        <n v="17785.0"/>
        <n v="18031.0"/>
        <n v="18349.0"/>
        <n v="18644.0"/>
        <n v="18939.0"/>
        <n v="19175.0"/>
        <n v="19411.0"/>
        <n v="0.0375"/>
        <n v="0.0387"/>
        <n v="0.0381"/>
        <n v="0.0378"/>
        <n v="0.0377"/>
        <n v="0.037"/>
        <n v="0.0367"/>
        <n v="0.0361"/>
        <n v="0.0356"/>
        <n v="0.0345"/>
        <s v="33/67/0%"/>
        <s v="18/82/0%"/>
        <s v="14/67/19%"/>
        <s v="13/61/26%"/>
        <s v="13/62/26%"/>
        <s v="0/26/74%"/>
        <s v="0/23/77%"/>
        <s v="0/22/78%"/>
        <s v="0/20/80%"/>
        <n v="0.27"/>
        <n v="0.45"/>
        <n v="0.64"/>
        <n v="0.61"/>
        <n v="0.57"/>
        <n v="0.56"/>
        <n v="0.58"/>
        <n v="0.69"/>
        <n v="0.54"/>
        <n v="0.92"/>
        <n v="1.33"/>
        <n v="1.44"/>
        <n v="1.39"/>
        <n v="1.38"/>
        <n v="1.52"/>
        <n v="1.45"/>
        <n v="1.68"/>
        <n v="0.07"/>
        <n v="0.08"/>
        <n v="0.09"/>
        <n v="0.1"/>
        <n v="0.11"/>
        <n v="0.12"/>
        <n v="0.13"/>
        <n v="73.39"/>
        <n v="75.13"/>
        <n v="75.83"/>
        <n v="74.78"/>
        <n v="61.99"/>
        <n v="56.45"/>
        <n v="68.06"/>
        <n v="70.0"/>
        <n v="65.48"/>
        <n v="62.1"/>
        <n v="61.56"/>
        <n v="58.33"/>
        <n v="51.88"/>
        <n v="50.81"/>
        <n v="29.03"/>
        <n v="113.0"/>
        <n v="83.0"/>
        <n v="0.5"/>
        <n v="0.53"/>
        <n v="0.63"/>
        <n v="0.66"/>
        <n v="0.72"/>
        <n v="0.73"/>
        <n v="0.85"/>
        <n v="0.7"/>
        <s v="March 70%"/>
        <n v="0.8"/>
        <n v="0.6"/>
        <n v="0.62"/>
        <n v="0.65"/>
        <n v="0.77"/>
        <n v="0.86"/>
      </sharedItems>
    </cacheField>
    <cacheField name="value_numeric" numFmtId="165">
      <sharedItems containsString="0" containsBlank="1" containsNumber="1">
        <n v="1.2E7"/>
        <n v="1.3E7"/>
        <n v="1.5E7"/>
        <n v="1.6E7"/>
        <n v="1.7E7"/>
        <n v="1.8E7"/>
        <n v="1.9E7"/>
        <n v="2.0E7"/>
        <n v="1.47E7"/>
        <n v="2.3E7"/>
        <n v="2.8E7"/>
        <n v="3.3E7"/>
        <n v="3.9E7"/>
        <n v="4.6E7"/>
        <n v="5.3E7"/>
        <n v="6.1E7"/>
        <n v="6.9E7"/>
        <n v="7.8E7"/>
        <n v="8.7E7"/>
        <n v="1.16E8"/>
        <n v="1.152E8"/>
        <n v="10327.0"/>
        <n v="11827.0"/>
        <n v="13327.0"/>
        <n v="14827.0"/>
        <n v="19827.0"/>
        <n v="21327.0"/>
        <n v="22827.0"/>
        <n v="24327.0"/>
        <n v="40827.0"/>
        <n v="42327.0"/>
        <n v="43827.0"/>
        <n v="50327.0"/>
        <n v="51827.0"/>
        <n v="68327.0"/>
        <n v="69827.0"/>
        <n v="76327.0"/>
        <n v="77827.0"/>
        <n v="79577.0"/>
        <n v="81327.0"/>
        <n v="108077.0"/>
        <n v="109827.0"/>
        <n v="116577.0"/>
        <n v="118327.0"/>
        <n v="125077.0"/>
        <n v="126827.0"/>
        <n v="128577.0"/>
        <n v="131077.0"/>
        <n v="158577.0"/>
        <n v="161077.0"/>
        <n v="168577.0"/>
        <n v="171077.0"/>
        <n v="173577.0"/>
        <n v="196077.0"/>
        <n v="203577.0"/>
        <n v="206077.0"/>
        <n v="208577.0"/>
        <n v="216077.0"/>
        <n v="233577.0"/>
        <n v="3308.0"/>
        <n v="0.0"/>
        <n v="8758.0"/>
        <n v="23758.0"/>
        <n v="28758.0"/>
        <n v="43758.0"/>
        <n v="48758.0"/>
        <n v="73758.0"/>
        <n v="78758.0"/>
        <n v="83758.0"/>
        <n v="108758.0"/>
        <n v="113758.0"/>
        <n v="133758.0"/>
        <n v="138758.0"/>
        <n v="143758.0"/>
        <n v="158758.0"/>
        <n v="1569.0"/>
        <n v="3069.0"/>
        <n v="4569.0"/>
        <n v="6069.0"/>
        <n v="11069.0"/>
        <n v="12569.0"/>
        <n v="14069.0"/>
        <n v="15569.0"/>
        <n v="17069.0"/>
        <n v="18569.0"/>
        <n v="20069.0"/>
        <n v="21569.0"/>
        <n v="23069.0"/>
        <n v="24569.0"/>
        <n v="26069.0"/>
        <n v="27569.0"/>
        <n v="29069.0"/>
        <n v="30819.0"/>
        <n v="32569.0"/>
        <n v="34319.0"/>
        <n v="36069.0"/>
        <n v="37819.0"/>
        <n v="39569.0"/>
        <n v="41319.0"/>
        <n v="43069.0"/>
        <n v="44819.0"/>
        <n v="47319.0"/>
        <n v="49819.0"/>
        <n v="52319.0"/>
        <n v="54819.0"/>
        <n v="57319.0"/>
        <n v="59819.0"/>
        <n v="62319.0"/>
        <n v="64819.0"/>
        <n v="67319.0"/>
        <n v="69819.0"/>
        <n v="72319.0"/>
        <n v="74819.0"/>
        <n v="2802.4"/>
        <n v="4800.0"/>
        <n v="1600.0"/>
        <n v="8000.0"/>
        <n v="6400.0"/>
        <n v="870.0"/>
        <n v="2621.0"/>
        <n v="1255.2"/>
        <n v="1200.0"/>
        <n v="4000.0"/>
        <n v="4092.8"/>
        <n v="1400.0"/>
        <n v="2000.0"/>
        <n v="1500.0"/>
        <n v="150.0"/>
        <n v="207.0"/>
        <n v="245.0"/>
        <n v="269.0"/>
        <n v="365.0"/>
        <n v="292.0"/>
        <n v="410.0"/>
        <n v="328.0"/>
        <n v="350.0"/>
        <n v="465.0"/>
        <n v="530.0"/>
        <n v="586.0"/>
        <n v="480.0"/>
        <n v="600.0"/>
        <n v="618.0"/>
        <n v="645.0"/>
        <n v="516.0"/>
        <n v="680.0"/>
        <n v="544.0"/>
        <n v="408.0"/>
        <n v="536.0"/>
        <n v="500.0"/>
        <n v="400.0"/>
        <n v="140.0"/>
        <n v="167.0"/>
        <n v="185.0"/>
        <n v="206.0"/>
        <n v="290.0"/>
        <n v="232.0"/>
        <n v="325.0"/>
        <n v="260.0"/>
        <n v="284.0"/>
        <n v="385.0"/>
        <n v="455.0"/>
        <n v="499.0"/>
        <n v="510.0"/>
        <n v="526.0"/>
        <n v="550.0"/>
        <n v="440.0"/>
        <n v="575.0"/>
        <n v="460.0"/>
        <n v="345.0"/>
        <n v="463.0"/>
        <n v="435.0"/>
        <n v="348.0"/>
        <n v="135.0"/>
        <n v="170.0"/>
        <n v="142.0"/>
        <n v="144.0"/>
        <n v="187.0"/>
        <n v="174.0"/>
        <n v="177.0"/>
        <n v="205.0"/>
        <n v="222.0"/>
        <n v="234.0"/>
        <n v="236.0"/>
        <n v="240.0"/>
        <n v="239.0"/>
        <n v="221.0"/>
        <n v="265.0"/>
        <n v="259.0"/>
        <n v="273.0"/>
        <n v="314.0"/>
        <n v="289.0"/>
        <n v="332.0"/>
        <n v="373.0"/>
        <n v="337.0"/>
        <n v="354.0"/>
        <n v="335.0"/>
        <n v="334.0"/>
        <n v="338.0"/>
        <n v="349.0"/>
        <n v="323.0"/>
        <n v="316.0"/>
        <n v="341.0"/>
        <n v="329.0"/>
        <n v="297.0"/>
        <n v="283.0"/>
        <n v="244.0"/>
        <n v="155.0"/>
        <n v="160.0"/>
        <n v="8321.0"/>
        <n v="8396.0"/>
        <n v="8471.0"/>
        <n v="8546.0"/>
        <n v="8681.0"/>
        <n v="8856.0"/>
        <n v="9031.0"/>
        <n v="9206.0"/>
        <n v="9402.0"/>
        <n v="9682.0"/>
        <n v="9962.0"/>
        <n v="10242.0"/>
        <n v="10466.0"/>
        <n v="10781.0"/>
        <n v="11096.0"/>
        <n v="11348.0"/>
        <n v="11663.0"/>
        <n v="11935.0"/>
        <n v="12300.0"/>
        <n v="12665.0"/>
        <n v="13030.0"/>
        <n v="13395.0"/>
        <n v="13805.0"/>
        <n v="14215.0"/>
        <n v="14625.0"/>
        <n v="15035.0"/>
        <n v="15489.0"/>
        <n v="15861.0"/>
        <n v="16326.0"/>
        <n v="16791.0"/>
        <n v="17270.0"/>
        <n v="17770.0"/>
        <n v="18170.0"/>
        <n v="18670.0"/>
        <n v="19170.0"/>
        <n v="19660.0"/>
        <n v="20052.0"/>
        <n v="20542.0"/>
        <n v="20836.0"/>
        <n v="21202.0"/>
        <n v="21537.0"/>
        <n v="21872.0"/>
        <n v="22140.0"/>
        <n v="22408.0"/>
        <n v="8206.0"/>
        <n v="8166.0"/>
        <n v="8126.0"/>
        <n v="8086.0"/>
        <n v="8139.0"/>
        <n v="8254.0"/>
        <n v="8369.0"/>
        <n v="8484.0"/>
        <n v="8617.0"/>
        <n v="8822.0"/>
        <n v="9027.0"/>
        <n v="9232.0"/>
        <n v="9396.0"/>
        <n v="9636.0"/>
        <n v="9876.0"/>
        <n v="10068.0"/>
        <n v="10308.0"/>
        <n v="10522.0"/>
        <n v="10817.0"/>
        <n v="11112.0"/>
        <n v="11407.0"/>
        <n v="11702.0"/>
        <n v="12057.0"/>
        <n v="12412.0"/>
        <n v="12767.0"/>
        <n v="13122.0"/>
        <n v="13509.0"/>
        <n v="13825.0"/>
        <n v="14220.0"/>
        <n v="14615.0"/>
        <n v="15022.0"/>
        <n v="15447.0"/>
        <n v="15787.0"/>
        <n v="16212.0"/>
        <n v="16637.0"/>
        <n v="17047.0"/>
        <n v="17375.0"/>
        <n v="17785.0"/>
        <n v="18031.0"/>
        <n v="18349.0"/>
        <n v="18644.0"/>
        <n v="18939.0"/>
        <n v="19175.0"/>
        <n v="19411.0"/>
        <n v="0.0375"/>
        <n v="0.0387"/>
        <n v="0.0381"/>
        <n v="0.0378"/>
        <n v="0.0377"/>
        <n v="0.037"/>
        <n v="0.0367"/>
        <n v="0.0361"/>
        <n v="0.0356"/>
        <n v="0.0345"/>
        <m/>
        <n v="0.27"/>
        <n v="0.45"/>
        <n v="0.64"/>
        <n v="0.61"/>
        <n v="0.57"/>
        <n v="0.56"/>
        <n v="0.58"/>
        <n v="0.69"/>
        <n v="0.54"/>
        <n v="0.92"/>
        <n v="1.33"/>
        <n v="1.44"/>
        <n v="1.39"/>
        <n v="1.38"/>
        <n v="1.52"/>
        <n v="1.45"/>
        <n v="1.68"/>
        <n v="0.07"/>
        <n v="0.08"/>
        <n v="0.09"/>
        <n v="0.1"/>
        <n v="0.11"/>
        <n v="0.12"/>
        <n v="0.13"/>
        <n v="73.39"/>
        <n v="75.13"/>
        <n v="75.83"/>
        <n v="74.78"/>
        <n v="61.99"/>
        <n v="56.45"/>
        <n v="68.06"/>
        <n v="70.0"/>
        <n v="65.48"/>
        <n v="62.1"/>
        <n v="61.56"/>
        <n v="58.33"/>
        <n v="51.88"/>
        <n v="50.81"/>
        <n v="29.03"/>
        <n v="113.0"/>
        <n v="83.0"/>
        <n v="0.5"/>
        <n v="0.53"/>
        <n v="0.63"/>
        <n v="0.66"/>
        <n v="0.72"/>
        <n v="0.73"/>
        <n v="0.85"/>
        <n v="0.7"/>
        <n v="0.8"/>
        <n v="0.6"/>
        <n v="0.62"/>
        <n v="0.65"/>
        <n v="0.77"/>
        <n v="0.86"/>
      </sharedItems>
    </cacheField>
    <cacheField name="month_name" numFmtId="49">
      <sharedItems>
        <s v="Mar"/>
        <s v="Apr"/>
        <s v="May"/>
        <s v="Jun"/>
        <s v="Jul"/>
        <s v="Aug"/>
        <s v="Sep"/>
        <s v="Oct"/>
        <s v="Nov"/>
        <s v="Dec"/>
      </sharedItems>
    </cacheField>
    <cacheField name="month_num" numFmtId="49">
      <sharedItems>
        <s v="03"/>
        <s v="04"/>
        <s v="05"/>
        <s v="06"/>
        <s v="07"/>
        <s v="08"/>
        <s v="09"/>
        <s v="10"/>
        <s v="11"/>
        <s v="12"/>
      </sharedItems>
    </cacheField>
    <cacheField name="quarter" numFmtId="0">
      <sharedItems>
        <s v="Q1"/>
        <s v="Q2"/>
        <s v="Q3"/>
        <s v="Q4"/>
      </sharedItems>
    </cacheField>
    <cacheField name="week_num" numFmtId="49">
      <sharedItems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</sharedItems>
    </cacheField>
    <cacheField name="week_label" numFmtId="0">
      <sharedItems>
        <s v="3/1-3/7"/>
        <s v="3/8-3/14"/>
        <s v="3/15-3/21"/>
        <s v="3/22-3/28"/>
        <s v="3/29-4/4"/>
        <s v="4/5-4/11"/>
        <s v="4/12-4/18"/>
        <s v="4/19-4/25"/>
        <s v="4/26-5/2"/>
        <s v="5/3-5/9"/>
        <s v="5/10-5/16"/>
        <s v="5/17-5/23"/>
        <s v="5/24-5/30"/>
        <s v="5/31-6/6"/>
        <s v="6/7-6/13"/>
        <s v="6/14-6/20"/>
        <s v="6/21-6/27"/>
        <s v="6/28-7/4"/>
        <s v="7/5-7/11"/>
        <s v="7/12-7/18"/>
        <s v="7/19-7/25"/>
        <s v="7/26-8/1"/>
        <s v="8/2-8/8"/>
        <s v="8/9-8/15"/>
        <s v="8/16-8/22"/>
        <s v="8/23-8/29"/>
        <s v="8/30-9/5"/>
        <s v="9/6-9/12"/>
        <s v="9/13-9/19"/>
        <s v="9/20-9/26"/>
        <s v="9/27-10/3"/>
        <s v="10/4-10/10"/>
        <s v="10/11-10/17"/>
        <s v="10/18-10/24"/>
        <s v="10/25-10/31"/>
        <s v="11/1-11/7"/>
        <s v="11/8-11/14"/>
        <s v="11/15-11/21"/>
        <s v="11/22-11/28"/>
        <s v="11/29-12/5"/>
        <s v="12/6-12/12"/>
        <s v="12/13-12/19"/>
        <s v="12/20-12/26"/>
        <s v="12/27-1/2"/>
      </sharedItems>
    </cacheField>
    <cacheField name="unit" numFmtId="0">
      <sharedItems>
        <s v="$"/>
        <s v="count"/>
        <s v="%"/>
        <s v="text/%"/>
        <s v="ratio"/>
        <s v=""/>
      </sharedItems>
    </cacheField>
    <cacheField name="is_cumulative" numFmtId="0">
      <sharedItems>
        <s v="N"/>
        <s v="Y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ube_unified" cacheId="0" dataCaption="" rowGrandTotals="0" colGrandTotals="0" compact="0" compactData="0">
  <location ref="S1:BP32" firstHeaderRow="0" firstDataRow="6" firstDataCol="2"/>
  <pivotFields>
    <pivotField name="date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week_star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omain" axis="axisRow" compact="0" outline="0" multipleItemSelectionAllowed="1" showAll="0" sortType="ascending" defaultSubtotal="0">
      <items>
        <item x="2"/>
        <item x="0"/>
        <item x="1"/>
      </items>
    </pivotField>
    <pivotField name="kpi_name" axis="axisRow" compact="0" outline="0" multipleItemSelectionAllowed="1" showAll="0" sortType="ascending" defaultSubtotal="0">
      <items>
        <item x="12"/>
        <item x="10"/>
        <item x="15"/>
        <item x="16"/>
        <item x="14"/>
        <item x="3"/>
        <item x="4"/>
        <item x="2"/>
        <item x="11"/>
        <item x="5"/>
        <item x="6"/>
        <item x="13"/>
        <item x="17"/>
        <item x="0"/>
        <item x="1"/>
        <item x="9"/>
        <item x="7"/>
        <item x="8"/>
      </items>
    </pivotField>
    <pivotField name="measure_class" axis="axisRow" compact="0" outline="0" multipleItemSelectionAllowed="1" showAll="0" sortType="ascending" defaultSubtotal="0">
      <items>
        <item x="1"/>
        <item x="2"/>
        <item x="0"/>
      </items>
    </pivotField>
    <pivotField name="forecast_type" axis="axisRow" compact="0" outline="0" multipleItemSelectionAllowed="1" showAll="0" sortType="ascending" defaultSubtotal="0">
      <items>
        <item x="0"/>
        <item x="2"/>
        <item x="1"/>
        <item x="3"/>
      </items>
    </pivotField>
    <pivotField name="store_segment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owner" axis="axisRow" compact="0" outline="0" multipleItemSelectionAllowed="1" showAll="0" sortType="ascending" defaultSubtotal="0">
      <items>
        <item x="4"/>
        <item x="6"/>
        <item x="0"/>
        <item x="1"/>
        <item x="5"/>
        <item x="3"/>
        <item x="2"/>
      </items>
    </pivotField>
    <pivotField name="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value_numeric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_name" axis="axisCol" compact="0" numFmtId="49" outline="0" multipleItemSelectionAllowed="1" showAll="0" sortType="ascending" defaultSubtotal="0">
      <items>
        <item x="1"/>
        <item x="5"/>
        <item x="9"/>
        <item x="4"/>
        <item x="3"/>
        <item x="0"/>
        <item x="2"/>
        <item x="8"/>
        <item x="7"/>
        <item x="6"/>
      </items>
    </pivotField>
    <pivotField name="month_num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week_num" axis="axisCol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week_lab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s_cumulative" compact="0" outline="0" multipleItemSelectionAllowed="1" showAll="0">
      <items>
        <item x="0"/>
        <item x="1"/>
        <item x="2"/>
        <item t="default"/>
      </items>
    </pivotField>
  </pivotFields>
  <rowFields>
    <field x="7"/>
    <field x="2"/>
    <field x="3"/>
    <field x="4"/>
    <field x="5"/>
    <field x="6"/>
  </rowFields>
  <colFields>
    <field x="10"/>
    <field x="13"/>
  </colFields>
  <dataFields>
    <dataField name="Sum of value_numeric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63"/>
    <col customWidth="1" min="3" max="3" width="63.38"/>
    <col customWidth="1" min="4" max="4" width="8.38"/>
    <col customWidth="1" min="5" max="5" width="56.63"/>
    <col customWidth="1" min="6" max="26" width="10.63"/>
  </cols>
  <sheetData>
    <row r="1" ht="18.0" customHeight="1"/>
    <row r="2" ht="24.0" customHeight="1">
      <c r="B2" s="1" t="s">
        <v>0</v>
      </c>
    </row>
    <row r="3" ht="15.75" customHeight="1">
      <c r="B3" s="2" t="s">
        <v>1</v>
      </c>
    </row>
    <row r="4" ht="18.0" customHeight="1"/>
    <row r="5" ht="24.0" customHeight="1">
      <c r="B5" s="3" t="s">
        <v>2</v>
      </c>
    </row>
    <row r="6" ht="18.0" customHeight="1">
      <c r="B6" s="4" t="s">
        <v>3</v>
      </c>
      <c r="C6" s="4" t="s">
        <v>4</v>
      </c>
      <c r="D6" s="4" t="s">
        <v>5</v>
      </c>
      <c r="E6" s="4" t="s">
        <v>6</v>
      </c>
    </row>
    <row r="7" ht="18.0" customHeight="1">
      <c r="B7" s="5" t="s">
        <v>7</v>
      </c>
      <c r="C7" s="6" t="s">
        <v>8</v>
      </c>
      <c r="D7" s="7">
        <v>1096.0</v>
      </c>
      <c r="E7" s="6" t="s">
        <v>9</v>
      </c>
    </row>
    <row r="8" ht="18.0" customHeight="1">
      <c r="B8" s="8" t="s">
        <v>10</v>
      </c>
      <c r="C8" s="9" t="s">
        <v>11</v>
      </c>
      <c r="D8" s="9">
        <v>24.0</v>
      </c>
      <c r="E8" s="9" t="s">
        <v>12</v>
      </c>
    </row>
    <row r="9" ht="18.0" customHeight="1">
      <c r="B9" s="5" t="s">
        <v>13</v>
      </c>
      <c r="C9" s="6" t="s">
        <v>14</v>
      </c>
      <c r="D9" s="6">
        <v>34.0</v>
      </c>
      <c r="E9" s="6" t="s">
        <v>15</v>
      </c>
    </row>
    <row r="10" ht="18.0" customHeight="1"/>
    <row r="11" ht="24.0" customHeight="1">
      <c r="B11" s="3" t="s">
        <v>16</v>
      </c>
    </row>
    <row r="12" ht="18.0" customHeight="1">
      <c r="B12" s="4" t="s">
        <v>3</v>
      </c>
      <c r="C12" s="4" t="s">
        <v>4</v>
      </c>
      <c r="D12" s="4" t="s">
        <v>5</v>
      </c>
      <c r="E12" s="4" t="s">
        <v>6</v>
      </c>
    </row>
    <row r="13" ht="18.0" customHeight="1">
      <c r="B13" s="5" t="s">
        <v>17</v>
      </c>
      <c r="C13" s="6" t="s">
        <v>18</v>
      </c>
      <c r="D13" s="6">
        <v>910.0</v>
      </c>
      <c r="E13" s="6" t="s">
        <v>19</v>
      </c>
    </row>
    <row r="14" ht="18.0" customHeight="1">
      <c r="B14" s="8" t="s">
        <v>20</v>
      </c>
      <c r="C14" s="9" t="s">
        <v>21</v>
      </c>
      <c r="D14" s="9">
        <v>110.0</v>
      </c>
      <c r="E14" s="9" t="s">
        <v>22</v>
      </c>
    </row>
    <row r="15" ht="18.0" customHeight="1">
      <c r="B15" s="5" t="s">
        <v>23</v>
      </c>
      <c r="C15" s="6" t="s">
        <v>24</v>
      </c>
      <c r="D15" s="6">
        <v>910.0</v>
      </c>
      <c r="E15" s="6" t="s">
        <v>25</v>
      </c>
    </row>
    <row r="16" ht="18.0" customHeight="1"/>
    <row r="17" ht="24.0" customHeight="1">
      <c r="B17" s="3" t="s">
        <v>26</v>
      </c>
    </row>
    <row r="18" ht="18.0" customHeight="1">
      <c r="B18" s="4" t="s">
        <v>3</v>
      </c>
      <c r="C18" s="4" t="s">
        <v>4</v>
      </c>
      <c r="D18" s="4" t="s">
        <v>5</v>
      </c>
      <c r="E18" s="4" t="s">
        <v>6</v>
      </c>
    </row>
    <row r="19" ht="18.0" customHeight="1">
      <c r="B19" s="5" t="s">
        <v>27</v>
      </c>
      <c r="C19" s="6" t="s">
        <v>28</v>
      </c>
      <c r="D19" s="6">
        <v>10.0</v>
      </c>
      <c r="E19" s="6" t="s">
        <v>29</v>
      </c>
    </row>
    <row r="20" ht="18.0" customHeight="1">
      <c r="B20" s="8" t="s">
        <v>30</v>
      </c>
      <c r="C20" s="9" t="s">
        <v>31</v>
      </c>
      <c r="D20" s="9">
        <v>109.0</v>
      </c>
      <c r="E20" s="9" t="s">
        <v>32</v>
      </c>
    </row>
    <row r="21" ht="18.0" customHeight="1"/>
    <row r="22" ht="18.0" customHeight="1">
      <c r="B22" s="8" t="s">
        <v>33</v>
      </c>
      <c r="C22" s="9" t="s">
        <v>34</v>
      </c>
      <c r="D22" s="9">
        <v>67.0</v>
      </c>
      <c r="E22" s="9" t="s">
        <v>35</v>
      </c>
    </row>
    <row r="23" ht="24.0" customHeight="1">
      <c r="B23" s="3" t="s">
        <v>36</v>
      </c>
    </row>
    <row r="24" ht="15.0" customHeight="1">
      <c r="B24" s="10" t="s">
        <v>37</v>
      </c>
      <c r="C24" s="11" t="s">
        <v>38</v>
      </c>
    </row>
    <row r="25" ht="15.0" customHeight="1">
      <c r="B25" s="10"/>
      <c r="C25" s="11" t="s">
        <v>39</v>
      </c>
    </row>
    <row r="26" ht="15.0" customHeight="1">
      <c r="B26" s="10" t="s">
        <v>40</v>
      </c>
      <c r="C26" s="11" t="s">
        <v>41</v>
      </c>
    </row>
    <row r="27" ht="15.0" customHeight="1">
      <c r="B27" s="10" t="s">
        <v>42</v>
      </c>
      <c r="C27" s="11" t="s">
        <v>43</v>
      </c>
    </row>
    <row r="28" ht="15.0" customHeight="1">
      <c r="B28" s="10" t="s">
        <v>44</v>
      </c>
      <c r="C28" s="11" t="s">
        <v>45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display="dim_date" location="dim_date!A1" ref="B7"/>
    <hyperlink display="dim_kpi" location="dim_kpi!A1" ref="B8"/>
    <hyperlink display="dim_initiative" location="dim_initiative!A1" ref="B9"/>
    <hyperlink display="fact_kpi_weekly" location="fact_kpi_weekly!A1" ref="B13"/>
    <hyperlink display="fact_initiative_event" location="fact_initiative_event!A1" ref="B14"/>
    <hyperlink display="cube_unified" location="cube_unified!A1" ref="B15"/>
    <hyperlink display="ref_monthly_narrative" location="ref_monthly_narrative!A1" ref="B19"/>
    <hyperlink display="WIP 4" location="null!A1" ref="B20"/>
    <hyperlink display="WIP 4 (Cube)" location="null!A1" ref="B22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0.13"/>
    <col customWidth="1" min="3" max="3" width="14.13"/>
    <col customWidth="1" min="4" max="4" width="37.5"/>
    <col customWidth="1" min="5" max="5" width="13.88"/>
    <col customWidth="1" min="6" max="6" width="12.38"/>
    <col customWidth="1" min="7" max="7" width="13.38"/>
    <col customWidth="1" min="8" max="8" width="11.38"/>
    <col customWidth="1" min="9" max="9" width="9.88"/>
    <col customWidth="1" min="10" max="10" width="13.38"/>
    <col customWidth="1" min="11" max="11" width="11.63"/>
    <col customWidth="1" min="12" max="12" width="10.63"/>
    <col customWidth="1" min="13" max="13" width="7.0"/>
    <col customWidth="1" min="14" max="14" width="10.0"/>
    <col customWidth="1" min="15" max="15" width="10.63"/>
    <col customWidth="1" min="16" max="16" width="6.0"/>
    <col customWidth="1" min="17" max="17" width="12.63"/>
    <col customWidth="1" min="18" max="18" width="10.63"/>
    <col customWidth="1" min="19" max="20" width="20.88"/>
    <col customWidth="1" min="21" max="21" width="39.38"/>
    <col customWidth="1" min="22" max="23" width="14.88"/>
    <col customWidth="1" min="24" max="24" width="15.13"/>
    <col customWidth="1" min="25" max="68" width="13.88"/>
    <col customWidth="1" min="69" max="73" width="10.63"/>
  </cols>
  <sheetData>
    <row r="1" ht="12.75" customHeight="1">
      <c r="A1" s="12" t="s">
        <v>46</v>
      </c>
      <c r="B1" s="13" t="s">
        <v>47</v>
      </c>
      <c r="C1" s="14" t="s">
        <v>48</v>
      </c>
      <c r="D1" s="14" t="s">
        <v>49</v>
      </c>
      <c r="E1" s="14" t="s">
        <v>50</v>
      </c>
      <c r="F1" s="14" t="s">
        <v>51</v>
      </c>
      <c r="G1" s="14" t="s">
        <v>52</v>
      </c>
      <c r="H1" s="14" t="s">
        <v>53</v>
      </c>
      <c r="I1" s="14" t="s">
        <v>54</v>
      </c>
      <c r="J1" s="14" t="s">
        <v>55</v>
      </c>
      <c r="K1" s="12" t="s">
        <v>56</v>
      </c>
      <c r="L1" s="12" t="s">
        <v>57</v>
      </c>
      <c r="M1" s="14" t="s">
        <v>58</v>
      </c>
      <c r="N1" s="12" t="s">
        <v>59</v>
      </c>
      <c r="O1" s="14" t="s">
        <v>60</v>
      </c>
      <c r="P1" s="14" t="s">
        <v>61</v>
      </c>
      <c r="Q1" s="14" t="s">
        <v>62</v>
      </c>
    </row>
    <row r="2" ht="12.75" customHeight="1">
      <c r="A2" s="20" t="str">
        <f>fact_kpi_weekly!A2</f>
        <v>260301</v>
      </c>
      <c r="B2" s="21">
        <f>fact_kpi_weekly!B2</f>
        <v>46082</v>
      </c>
      <c r="C2" s="9" t="str">
        <f>fact_kpi_weekly!C2</f>
        <v>Contracted Lives</v>
      </c>
      <c r="D2" s="9" t="str">
        <f>fact_kpi_weekly!D2</f>
        <v>Pipeline Growth - 6X Patient Count</v>
      </c>
      <c r="E2" s="9" t="str">
        <f>fact_kpi_weekly!E2</f>
        <v>Goal</v>
      </c>
      <c r="F2" s="9" t="str">
        <f>IF(fact_kpi_weekly!F2="","",fact_kpi_weekly!F2)</f>
        <v/>
      </c>
      <c r="G2" s="9" t="str">
        <f>fact_kpi_weekly!G2</f>
        <v>N/A</v>
      </c>
      <c r="H2" s="9" t="str">
        <f>fact_kpi_weekly!H2</f>
        <v>John</v>
      </c>
      <c r="I2" s="9" t="str">
        <f>fact_kpi_weekly!I2</f>
        <v>$12M</v>
      </c>
      <c r="J2" s="22">
        <f>fact_kpi_weekly!J2</f>
        <v>12000000</v>
      </c>
      <c r="K2" s="20" t="str">
        <f t="array" ref="K2">IFERROR(INDEX(dim_date!H:H,MATCH(A2,dim_date!A:A,0)),"")</f>
        <v>Mar</v>
      </c>
      <c r="L2" s="20" t="str">
        <f t="array" ref="L2">IFERROR(INDEX(dim_date!G:G,MATCH(A2,dim_date!A:A,0)),"")</f>
        <v>03</v>
      </c>
      <c r="M2" s="9" t="str">
        <f t="array" ref="M2">IFERROR(INDEX(dim_date!I:I,MATCH(A2,dim_date!A:A,0)),"")</f>
        <v>Q1</v>
      </c>
      <c r="N2" s="20" t="str">
        <f t="array" ref="N2">IFERROR(INDEX(dim_date!K:K,MATCH(A2,dim_date!A:A,0)),"")</f>
        <v>10</v>
      </c>
      <c r="O2" s="9" t="str">
        <f t="array" ref="O2">IFERROR(INDEX(dim_date!F:F,MATCH(A2,dim_date!A:A,0)),"")</f>
        <v>3/1-3/7</v>
      </c>
      <c r="P2" s="9" t="str">
        <f t="array" ref="P2">IFERROR(INDEX(dim_kpi!E:E,MATCH(D2,dim_kpi!C:C,0)),"")</f>
        <v>$</v>
      </c>
      <c r="Q2" s="9" t="str">
        <f t="array" ref="Q2">IFERROR(INDEX(dim_kpi!F:F,MATCH(D2,dim_kpi!C:C,0)),"")</f>
        <v>N</v>
      </c>
    </row>
    <row r="3" ht="12.75" customHeight="1">
      <c r="A3" s="20" t="str">
        <f>fact_kpi_weekly!A3</f>
        <v>260308</v>
      </c>
      <c r="B3" s="21">
        <f>fact_kpi_weekly!B3</f>
        <v>46089</v>
      </c>
      <c r="C3" s="9" t="str">
        <f>fact_kpi_weekly!C3</f>
        <v>Contracted Lives</v>
      </c>
      <c r="D3" s="9" t="str">
        <f>fact_kpi_weekly!D3</f>
        <v>Pipeline Growth - 6X Patient Count</v>
      </c>
      <c r="E3" s="9" t="str">
        <f>fact_kpi_weekly!E3</f>
        <v>Goal</v>
      </c>
      <c r="F3" s="9" t="str">
        <f>IF(fact_kpi_weekly!F3="","",fact_kpi_weekly!F3)</f>
        <v/>
      </c>
      <c r="G3" s="9" t="str">
        <f>fact_kpi_weekly!G3</f>
        <v>N/A</v>
      </c>
      <c r="H3" s="9" t="str">
        <f>fact_kpi_weekly!H3</f>
        <v>John</v>
      </c>
      <c r="I3" s="9" t="str">
        <f>fact_kpi_weekly!I3</f>
        <v>$12M</v>
      </c>
      <c r="J3" s="22">
        <f>fact_kpi_weekly!J3</f>
        <v>12000000</v>
      </c>
      <c r="K3" s="20" t="str">
        <f t="array" ref="K3">IFERROR(INDEX(dim_date!H:H,MATCH(A3,dim_date!A:A,0)),"")</f>
        <v>Mar</v>
      </c>
      <c r="L3" s="20" t="str">
        <f t="array" ref="L3">IFERROR(INDEX(dim_date!G:G,MATCH(A3,dim_date!A:A,0)),"")</f>
        <v>03</v>
      </c>
      <c r="M3" s="9" t="str">
        <f t="array" ref="M3">IFERROR(INDEX(dim_date!I:I,MATCH(A3,dim_date!A:A,0)),"")</f>
        <v>Q1</v>
      </c>
      <c r="N3" s="20" t="str">
        <f t="array" ref="N3">IFERROR(INDEX(dim_date!K:K,MATCH(A3,dim_date!A:A,0)),"")</f>
        <v>11</v>
      </c>
      <c r="O3" s="9" t="str">
        <f t="array" ref="O3">IFERROR(INDEX(dim_date!F:F,MATCH(A3,dim_date!A:A,0)),"")</f>
        <v>3/8-3/14</v>
      </c>
      <c r="P3" s="9" t="str">
        <f t="array" ref="P3">IFERROR(INDEX(dim_kpi!E:E,MATCH(D3,dim_kpi!C:C,0)),"")</f>
        <v>$</v>
      </c>
      <c r="Q3" s="9" t="str">
        <f t="array" ref="Q3">IFERROR(INDEX(dim_kpi!F:F,MATCH(D3,dim_kpi!C:C,0)),"")</f>
        <v>N</v>
      </c>
    </row>
    <row r="4" ht="12.75" customHeight="1">
      <c r="A4" s="20" t="str">
        <f>fact_kpi_weekly!A4</f>
        <v>260315</v>
      </c>
      <c r="B4" s="21">
        <f>fact_kpi_weekly!B4</f>
        <v>46096</v>
      </c>
      <c r="C4" s="9" t="str">
        <f>fact_kpi_weekly!C4</f>
        <v>Contracted Lives</v>
      </c>
      <c r="D4" s="9" t="str">
        <f>fact_kpi_weekly!D4</f>
        <v>Pipeline Growth - 6X Patient Count</v>
      </c>
      <c r="E4" s="9" t="str">
        <f>fact_kpi_weekly!E4</f>
        <v>Goal</v>
      </c>
      <c r="F4" s="9" t="str">
        <f>IF(fact_kpi_weekly!F4="","",fact_kpi_weekly!F4)</f>
        <v/>
      </c>
      <c r="G4" s="9" t="str">
        <f>fact_kpi_weekly!G4</f>
        <v>N/A</v>
      </c>
      <c r="H4" s="9" t="str">
        <f>fact_kpi_weekly!H4</f>
        <v>John</v>
      </c>
      <c r="I4" s="9" t="str">
        <f>fact_kpi_weekly!I4</f>
        <v>$12M</v>
      </c>
      <c r="J4" s="22">
        <f>fact_kpi_weekly!J4</f>
        <v>12000000</v>
      </c>
      <c r="K4" s="20" t="str">
        <f t="array" ref="K4">IFERROR(INDEX(dim_date!H:H,MATCH(A4,dim_date!A:A,0)),"")</f>
        <v>Mar</v>
      </c>
      <c r="L4" s="20" t="str">
        <f t="array" ref="L4">IFERROR(INDEX(dim_date!G:G,MATCH(A4,dim_date!A:A,0)),"")</f>
        <v>03</v>
      </c>
      <c r="M4" s="9" t="str">
        <f t="array" ref="M4">IFERROR(INDEX(dim_date!I:I,MATCH(A4,dim_date!A:A,0)),"")</f>
        <v>Q1</v>
      </c>
      <c r="N4" s="20" t="str">
        <f t="array" ref="N4">IFERROR(INDEX(dim_date!K:K,MATCH(A4,dim_date!A:A,0)),"")</f>
        <v>12</v>
      </c>
      <c r="O4" s="9" t="str">
        <f t="array" ref="O4">IFERROR(INDEX(dim_date!F:F,MATCH(A4,dim_date!A:A,0)),"")</f>
        <v>3/15-3/21</v>
      </c>
      <c r="P4" s="9" t="str">
        <f t="array" ref="P4">IFERROR(INDEX(dim_kpi!E:E,MATCH(D4,dim_kpi!C:C,0)),"")</f>
        <v>$</v>
      </c>
      <c r="Q4" s="9" t="str">
        <f t="array" ref="Q4">IFERROR(INDEX(dim_kpi!F:F,MATCH(D4,dim_kpi!C:C,0)),"")</f>
        <v>N</v>
      </c>
    </row>
    <row r="5" ht="12.75" customHeight="1">
      <c r="A5" s="20" t="str">
        <f>fact_kpi_weekly!A5</f>
        <v>260322</v>
      </c>
      <c r="B5" s="21">
        <f>fact_kpi_weekly!B5</f>
        <v>46103</v>
      </c>
      <c r="C5" s="9" t="str">
        <f>fact_kpi_weekly!C5</f>
        <v>Contracted Lives</v>
      </c>
      <c r="D5" s="9" t="str">
        <f>fact_kpi_weekly!D5</f>
        <v>Pipeline Growth - 6X Patient Count</v>
      </c>
      <c r="E5" s="9" t="str">
        <f>fact_kpi_weekly!E5</f>
        <v>Goal</v>
      </c>
      <c r="F5" s="9" t="str">
        <f>IF(fact_kpi_weekly!F5="","",fact_kpi_weekly!F5)</f>
        <v/>
      </c>
      <c r="G5" s="9" t="str">
        <f>fact_kpi_weekly!G5</f>
        <v>N/A</v>
      </c>
      <c r="H5" s="9" t="str">
        <f>fact_kpi_weekly!H5</f>
        <v>John</v>
      </c>
      <c r="I5" s="9" t="str">
        <f>fact_kpi_weekly!I5</f>
        <v>$12M</v>
      </c>
      <c r="J5" s="22">
        <f>fact_kpi_weekly!J5</f>
        <v>12000000</v>
      </c>
      <c r="K5" s="20" t="str">
        <f t="array" ref="K5">IFERROR(INDEX(dim_date!H:H,MATCH(A5,dim_date!A:A,0)),"")</f>
        <v>Mar</v>
      </c>
      <c r="L5" s="20" t="str">
        <f t="array" ref="L5">IFERROR(INDEX(dim_date!G:G,MATCH(A5,dim_date!A:A,0)),"")</f>
        <v>03</v>
      </c>
      <c r="M5" s="9" t="str">
        <f t="array" ref="M5">IFERROR(INDEX(dim_date!I:I,MATCH(A5,dim_date!A:A,0)),"")</f>
        <v>Q1</v>
      </c>
      <c r="N5" s="20" t="str">
        <f t="array" ref="N5">IFERROR(INDEX(dim_date!K:K,MATCH(A5,dim_date!A:A,0)),"")</f>
        <v>13</v>
      </c>
      <c r="O5" s="9" t="str">
        <f t="array" ref="O5">IFERROR(INDEX(dim_date!F:F,MATCH(A5,dim_date!A:A,0)),"")</f>
        <v>3/22-3/28</v>
      </c>
      <c r="P5" s="9" t="str">
        <f t="array" ref="P5">IFERROR(INDEX(dim_kpi!E:E,MATCH(D5,dim_kpi!C:C,0)),"")</f>
        <v>$</v>
      </c>
      <c r="Q5" s="9" t="str">
        <f t="array" ref="Q5">IFERROR(INDEX(dim_kpi!F:F,MATCH(D5,dim_kpi!C:C,0)),"")</f>
        <v>N</v>
      </c>
    </row>
    <row r="6" ht="12.75" customHeight="1">
      <c r="A6" s="20" t="str">
        <f>fact_kpi_weekly!A6</f>
        <v>260329</v>
      </c>
      <c r="B6" s="21">
        <f>fact_kpi_weekly!B6</f>
        <v>46110</v>
      </c>
      <c r="C6" s="9" t="str">
        <f>fact_kpi_weekly!C6</f>
        <v>Contracted Lives</v>
      </c>
      <c r="D6" s="9" t="str">
        <f>fact_kpi_weekly!D6</f>
        <v>Pipeline Growth - 6X Patient Count</v>
      </c>
      <c r="E6" s="9" t="str">
        <f>fact_kpi_weekly!E6</f>
        <v>Goal</v>
      </c>
      <c r="F6" s="9" t="str">
        <f>IF(fact_kpi_weekly!F6="","",fact_kpi_weekly!F6)</f>
        <v/>
      </c>
      <c r="G6" s="9" t="str">
        <f>fact_kpi_weekly!G6</f>
        <v>N/A</v>
      </c>
      <c r="H6" s="9" t="str">
        <f>fact_kpi_weekly!H6</f>
        <v>John</v>
      </c>
      <c r="I6" s="9" t="str">
        <f>fact_kpi_weekly!I6</f>
        <v>$12M</v>
      </c>
      <c r="J6" s="22">
        <f>fact_kpi_weekly!J6</f>
        <v>12000000</v>
      </c>
      <c r="K6" s="20" t="str">
        <f t="array" ref="K6">IFERROR(INDEX(dim_date!H:H,MATCH(A6,dim_date!A:A,0)),"")</f>
        <v>Mar</v>
      </c>
      <c r="L6" s="20" t="str">
        <f t="array" ref="L6">IFERROR(INDEX(dim_date!G:G,MATCH(A6,dim_date!A:A,0)),"")</f>
        <v>03</v>
      </c>
      <c r="M6" s="9" t="str">
        <f t="array" ref="M6">IFERROR(INDEX(dim_date!I:I,MATCH(A6,dim_date!A:A,0)),"")</f>
        <v>Q1</v>
      </c>
      <c r="N6" s="20" t="str">
        <f t="array" ref="N6">IFERROR(INDEX(dim_date!K:K,MATCH(A6,dim_date!A:A,0)),"")</f>
        <v>14</v>
      </c>
      <c r="O6" s="9" t="str">
        <f t="array" ref="O6">IFERROR(INDEX(dim_date!F:F,MATCH(A6,dim_date!A:A,0)),"")</f>
        <v>3/29-4/4</v>
      </c>
      <c r="P6" s="9" t="str">
        <f t="array" ref="P6">IFERROR(INDEX(dim_kpi!E:E,MATCH(D6,dim_kpi!C:C,0)),"")</f>
        <v>$</v>
      </c>
      <c r="Q6" s="9" t="str">
        <f t="array" ref="Q6">IFERROR(INDEX(dim_kpi!F:F,MATCH(D6,dim_kpi!C:C,0)),"")</f>
        <v>N</v>
      </c>
    </row>
    <row r="7" ht="12.75" customHeight="1">
      <c r="A7" s="20" t="str">
        <f>fact_kpi_weekly!A7</f>
        <v>260405</v>
      </c>
      <c r="B7" s="21">
        <f>fact_kpi_weekly!B7</f>
        <v>46117</v>
      </c>
      <c r="C7" s="9" t="str">
        <f>fact_kpi_weekly!C7</f>
        <v>Contracted Lives</v>
      </c>
      <c r="D7" s="9" t="str">
        <f>fact_kpi_weekly!D7</f>
        <v>Pipeline Growth - 6X Patient Count</v>
      </c>
      <c r="E7" s="9" t="str">
        <f>fact_kpi_weekly!E7</f>
        <v>Goal</v>
      </c>
      <c r="F7" s="9" t="str">
        <f>IF(fact_kpi_weekly!F7="","",fact_kpi_weekly!F7)</f>
        <v/>
      </c>
      <c r="G7" s="9" t="str">
        <f>fact_kpi_weekly!G7</f>
        <v>N/A</v>
      </c>
      <c r="H7" s="9" t="str">
        <f>fact_kpi_weekly!H7</f>
        <v>John</v>
      </c>
      <c r="I7" s="9" t="str">
        <f>fact_kpi_weekly!I7</f>
        <v>$12M</v>
      </c>
      <c r="J7" s="22">
        <f>fact_kpi_weekly!J7</f>
        <v>12000000</v>
      </c>
      <c r="K7" s="20" t="str">
        <f t="array" ref="K7">IFERROR(INDEX(dim_date!H:H,MATCH(A7,dim_date!A:A,0)),"")</f>
        <v>Apr</v>
      </c>
      <c r="L7" s="20" t="str">
        <f t="array" ref="L7">IFERROR(INDEX(dim_date!G:G,MATCH(A7,dim_date!A:A,0)),"")</f>
        <v>04</v>
      </c>
      <c r="M7" s="9" t="str">
        <f t="array" ref="M7">IFERROR(INDEX(dim_date!I:I,MATCH(A7,dim_date!A:A,0)),"")</f>
        <v>Q2</v>
      </c>
      <c r="N7" s="20" t="str">
        <f t="array" ref="N7">IFERROR(INDEX(dim_date!K:K,MATCH(A7,dim_date!A:A,0)),"")</f>
        <v>15</v>
      </c>
      <c r="O7" s="9" t="str">
        <f t="array" ref="O7">IFERROR(INDEX(dim_date!F:F,MATCH(A7,dim_date!A:A,0)),"")</f>
        <v>4/5-4/11</v>
      </c>
      <c r="P7" s="9" t="str">
        <f t="array" ref="P7">IFERROR(INDEX(dim_kpi!E:E,MATCH(D7,dim_kpi!C:C,0)),"")</f>
        <v>$</v>
      </c>
      <c r="Q7" s="9" t="str">
        <f t="array" ref="Q7">IFERROR(INDEX(dim_kpi!F:F,MATCH(D7,dim_kpi!C:C,0)),"")</f>
        <v>N</v>
      </c>
    </row>
    <row r="8" ht="12.75" customHeight="1">
      <c r="A8" s="20" t="str">
        <f>fact_kpi_weekly!A8</f>
        <v>260412</v>
      </c>
      <c r="B8" s="21">
        <f>fact_kpi_weekly!B8</f>
        <v>46124</v>
      </c>
      <c r="C8" s="9" t="str">
        <f>fact_kpi_weekly!C8</f>
        <v>Contracted Lives</v>
      </c>
      <c r="D8" s="9" t="str">
        <f>fact_kpi_weekly!D8</f>
        <v>Pipeline Growth - 6X Patient Count</v>
      </c>
      <c r="E8" s="9" t="str">
        <f>fact_kpi_weekly!E8</f>
        <v>Goal</v>
      </c>
      <c r="F8" s="9" t="str">
        <f>IF(fact_kpi_weekly!F8="","",fact_kpi_weekly!F8)</f>
        <v/>
      </c>
      <c r="G8" s="9" t="str">
        <f>fact_kpi_weekly!G8</f>
        <v>N/A</v>
      </c>
      <c r="H8" s="9" t="str">
        <f>fact_kpi_weekly!H8</f>
        <v>John</v>
      </c>
      <c r="I8" s="9" t="str">
        <f>fact_kpi_weekly!I8</f>
        <v>$12M</v>
      </c>
      <c r="J8" s="22">
        <f>fact_kpi_weekly!J8</f>
        <v>12000000</v>
      </c>
      <c r="K8" s="20" t="str">
        <f t="array" ref="K8">IFERROR(INDEX(dim_date!H:H,MATCH(A8,dim_date!A:A,0)),"")</f>
        <v>Apr</v>
      </c>
      <c r="L8" s="20" t="str">
        <f t="array" ref="L8">IFERROR(INDEX(dim_date!G:G,MATCH(A8,dim_date!A:A,0)),"")</f>
        <v>04</v>
      </c>
      <c r="M8" s="9" t="str">
        <f t="array" ref="M8">IFERROR(INDEX(dim_date!I:I,MATCH(A8,dim_date!A:A,0)),"")</f>
        <v>Q2</v>
      </c>
      <c r="N8" s="20" t="str">
        <f t="array" ref="N8">IFERROR(INDEX(dim_date!K:K,MATCH(A8,dim_date!A:A,0)),"")</f>
        <v>16</v>
      </c>
      <c r="O8" s="9" t="str">
        <f t="array" ref="O8">IFERROR(INDEX(dim_date!F:F,MATCH(A8,dim_date!A:A,0)),"")</f>
        <v>4/12-4/18</v>
      </c>
      <c r="P8" s="9" t="str">
        <f t="array" ref="P8">IFERROR(INDEX(dim_kpi!E:E,MATCH(D8,dim_kpi!C:C,0)),"")</f>
        <v>$</v>
      </c>
      <c r="Q8" s="9" t="str">
        <f t="array" ref="Q8">IFERROR(INDEX(dim_kpi!F:F,MATCH(D8,dim_kpi!C:C,0)),"")</f>
        <v>N</v>
      </c>
    </row>
    <row r="9" ht="12.75" customHeight="1">
      <c r="A9" s="20" t="str">
        <f>fact_kpi_weekly!A9</f>
        <v>260419</v>
      </c>
      <c r="B9" s="21">
        <f>fact_kpi_weekly!B9</f>
        <v>46131</v>
      </c>
      <c r="C9" s="9" t="str">
        <f>fact_kpi_weekly!C9</f>
        <v>Contracted Lives</v>
      </c>
      <c r="D9" s="9" t="str">
        <f>fact_kpi_weekly!D9</f>
        <v>Pipeline Growth - 6X Patient Count</v>
      </c>
      <c r="E9" s="9" t="str">
        <f>fact_kpi_weekly!E9</f>
        <v>Goal</v>
      </c>
      <c r="F9" s="9" t="str">
        <f>IF(fact_kpi_weekly!F9="","",fact_kpi_weekly!F9)</f>
        <v/>
      </c>
      <c r="G9" s="9" t="str">
        <f>fact_kpi_weekly!G9</f>
        <v>N/A</v>
      </c>
      <c r="H9" s="9" t="str">
        <f>fact_kpi_weekly!H9</f>
        <v>John</v>
      </c>
      <c r="I9" s="9" t="str">
        <f>fact_kpi_weekly!I9</f>
        <v>$12M</v>
      </c>
      <c r="J9" s="22">
        <f>fact_kpi_weekly!J9</f>
        <v>12000000</v>
      </c>
      <c r="K9" s="20" t="str">
        <f t="array" ref="K9">IFERROR(INDEX(dim_date!H:H,MATCH(A9,dim_date!A:A,0)),"")</f>
        <v>Apr</v>
      </c>
      <c r="L9" s="20" t="str">
        <f t="array" ref="L9">IFERROR(INDEX(dim_date!G:G,MATCH(A9,dim_date!A:A,0)),"")</f>
        <v>04</v>
      </c>
      <c r="M9" s="9" t="str">
        <f t="array" ref="M9">IFERROR(INDEX(dim_date!I:I,MATCH(A9,dim_date!A:A,0)),"")</f>
        <v>Q2</v>
      </c>
      <c r="N9" s="20" t="str">
        <f t="array" ref="N9">IFERROR(INDEX(dim_date!K:K,MATCH(A9,dim_date!A:A,0)),"")</f>
        <v>17</v>
      </c>
      <c r="O9" s="9" t="str">
        <f t="array" ref="O9">IFERROR(INDEX(dim_date!F:F,MATCH(A9,dim_date!A:A,0)),"")</f>
        <v>4/19-4/25</v>
      </c>
      <c r="P9" s="9" t="str">
        <f t="array" ref="P9">IFERROR(INDEX(dim_kpi!E:E,MATCH(D9,dim_kpi!C:C,0)),"")</f>
        <v>$</v>
      </c>
      <c r="Q9" s="9" t="str">
        <f t="array" ref="Q9">IFERROR(INDEX(dim_kpi!F:F,MATCH(D9,dim_kpi!C:C,0)),"")</f>
        <v>N</v>
      </c>
    </row>
    <row r="10" ht="12.75" customHeight="1">
      <c r="A10" s="20" t="str">
        <f>fact_kpi_weekly!A10</f>
        <v>260426</v>
      </c>
      <c r="B10" s="21">
        <f>fact_kpi_weekly!B10</f>
        <v>46138</v>
      </c>
      <c r="C10" s="9" t="str">
        <f>fact_kpi_weekly!C10</f>
        <v>Contracted Lives</v>
      </c>
      <c r="D10" s="9" t="str">
        <f>fact_kpi_weekly!D10</f>
        <v>Pipeline Growth - 6X Patient Count</v>
      </c>
      <c r="E10" s="9" t="str">
        <f>fact_kpi_weekly!E10</f>
        <v>Goal</v>
      </c>
      <c r="F10" s="9" t="str">
        <f>IF(fact_kpi_weekly!F10="","",fact_kpi_weekly!F10)</f>
        <v/>
      </c>
      <c r="G10" s="9" t="str">
        <f>fact_kpi_weekly!G10</f>
        <v>N/A</v>
      </c>
      <c r="H10" s="9" t="str">
        <f>fact_kpi_weekly!H10</f>
        <v>John</v>
      </c>
      <c r="I10" s="9" t="str">
        <f>fact_kpi_weekly!I10</f>
        <v>$12M</v>
      </c>
      <c r="J10" s="22">
        <f>fact_kpi_weekly!J10</f>
        <v>12000000</v>
      </c>
      <c r="K10" s="20" t="str">
        <f t="array" ref="K10">IFERROR(INDEX(dim_date!H:H,MATCH(A10,dim_date!A:A,0)),"")</f>
        <v>Apr</v>
      </c>
      <c r="L10" s="20" t="str">
        <f t="array" ref="L10">IFERROR(INDEX(dim_date!G:G,MATCH(A10,dim_date!A:A,0)),"")</f>
        <v>04</v>
      </c>
      <c r="M10" s="9" t="str">
        <f t="array" ref="M10">IFERROR(INDEX(dim_date!I:I,MATCH(A10,dim_date!A:A,0)),"")</f>
        <v>Q2</v>
      </c>
      <c r="N10" s="20" t="str">
        <f t="array" ref="N10">IFERROR(INDEX(dim_date!K:K,MATCH(A10,dim_date!A:A,0)),"")</f>
        <v>18</v>
      </c>
      <c r="O10" s="9" t="str">
        <f t="array" ref="O10">IFERROR(INDEX(dim_date!F:F,MATCH(A10,dim_date!A:A,0)),"")</f>
        <v>4/26-5/2</v>
      </c>
      <c r="P10" s="9" t="str">
        <f t="array" ref="P10">IFERROR(INDEX(dim_kpi!E:E,MATCH(D10,dim_kpi!C:C,0)),"")</f>
        <v>$</v>
      </c>
      <c r="Q10" s="9" t="str">
        <f t="array" ref="Q10">IFERROR(INDEX(dim_kpi!F:F,MATCH(D10,dim_kpi!C:C,0)),"")</f>
        <v>N</v>
      </c>
    </row>
    <row r="11" ht="12.75" customHeight="1">
      <c r="A11" s="20" t="str">
        <f>fact_kpi_weekly!A11</f>
        <v>260503</v>
      </c>
      <c r="B11" s="21">
        <f>fact_kpi_weekly!B11</f>
        <v>46145</v>
      </c>
      <c r="C11" s="9" t="str">
        <f>fact_kpi_weekly!C11</f>
        <v>Contracted Lives</v>
      </c>
      <c r="D11" s="9" t="str">
        <f>fact_kpi_weekly!D11</f>
        <v>Pipeline Growth - 6X Patient Count</v>
      </c>
      <c r="E11" s="9" t="str">
        <f>fact_kpi_weekly!E11</f>
        <v>Goal</v>
      </c>
      <c r="F11" s="9" t="str">
        <f>IF(fact_kpi_weekly!F11="","",fact_kpi_weekly!F11)</f>
        <v/>
      </c>
      <c r="G11" s="9" t="str">
        <f>fact_kpi_weekly!G11</f>
        <v>N/A</v>
      </c>
      <c r="H11" s="9" t="str">
        <f>fact_kpi_weekly!H11</f>
        <v>John</v>
      </c>
      <c r="I11" s="9" t="str">
        <f>fact_kpi_weekly!I11</f>
        <v>$13M</v>
      </c>
      <c r="J11" s="22">
        <f>fact_kpi_weekly!J11</f>
        <v>13000000</v>
      </c>
      <c r="K11" s="20" t="str">
        <f t="array" ref="K11">IFERROR(INDEX(dim_date!H:H,MATCH(A11,dim_date!A:A,0)),"")</f>
        <v>May</v>
      </c>
      <c r="L11" s="20" t="str">
        <f t="array" ref="L11">IFERROR(INDEX(dim_date!G:G,MATCH(A11,dim_date!A:A,0)),"")</f>
        <v>05</v>
      </c>
      <c r="M11" s="9" t="str">
        <f t="array" ref="M11">IFERROR(INDEX(dim_date!I:I,MATCH(A11,dim_date!A:A,0)),"")</f>
        <v>Q2</v>
      </c>
      <c r="N11" s="20" t="str">
        <f t="array" ref="N11">IFERROR(INDEX(dim_date!K:K,MATCH(A11,dim_date!A:A,0)),"")</f>
        <v>19</v>
      </c>
      <c r="O11" s="9" t="str">
        <f t="array" ref="O11">IFERROR(INDEX(dim_date!F:F,MATCH(A11,dim_date!A:A,0)),"")</f>
        <v>5/3-5/9</v>
      </c>
      <c r="P11" s="9" t="str">
        <f t="array" ref="P11">IFERROR(INDEX(dim_kpi!E:E,MATCH(D11,dim_kpi!C:C,0)),"")</f>
        <v>$</v>
      </c>
      <c r="Q11" s="9" t="str">
        <f t="array" ref="Q11">IFERROR(INDEX(dim_kpi!F:F,MATCH(D11,dim_kpi!C:C,0)),"")</f>
        <v>N</v>
      </c>
    </row>
    <row r="12" ht="12.75" customHeight="1">
      <c r="A12" s="20" t="str">
        <f>fact_kpi_weekly!A12</f>
        <v>260510</v>
      </c>
      <c r="B12" s="21">
        <f>fact_kpi_weekly!B12</f>
        <v>46152</v>
      </c>
      <c r="C12" s="9" t="str">
        <f>fact_kpi_weekly!C12</f>
        <v>Contracted Lives</v>
      </c>
      <c r="D12" s="9" t="str">
        <f>fact_kpi_weekly!D12</f>
        <v>Pipeline Growth - 6X Patient Count</v>
      </c>
      <c r="E12" s="9" t="str">
        <f>fact_kpi_weekly!E12</f>
        <v>Goal</v>
      </c>
      <c r="F12" s="9" t="str">
        <f>IF(fact_kpi_weekly!F12="","",fact_kpi_weekly!F12)</f>
        <v/>
      </c>
      <c r="G12" s="9" t="str">
        <f>fact_kpi_weekly!G12</f>
        <v>N/A</v>
      </c>
      <c r="H12" s="9" t="str">
        <f>fact_kpi_weekly!H12</f>
        <v>John</v>
      </c>
      <c r="I12" s="9" t="str">
        <f>fact_kpi_weekly!I12</f>
        <v>$13M</v>
      </c>
      <c r="J12" s="22">
        <f>fact_kpi_weekly!J12</f>
        <v>13000000</v>
      </c>
      <c r="K12" s="20" t="str">
        <f t="array" ref="K12">IFERROR(INDEX(dim_date!H:H,MATCH(A12,dim_date!A:A,0)),"")</f>
        <v>May</v>
      </c>
      <c r="L12" s="20" t="str">
        <f t="array" ref="L12">IFERROR(INDEX(dim_date!G:G,MATCH(A12,dim_date!A:A,0)),"")</f>
        <v>05</v>
      </c>
      <c r="M12" s="9" t="str">
        <f t="array" ref="M12">IFERROR(INDEX(dim_date!I:I,MATCH(A12,dim_date!A:A,0)),"")</f>
        <v>Q2</v>
      </c>
      <c r="N12" s="20" t="str">
        <f t="array" ref="N12">IFERROR(INDEX(dim_date!K:K,MATCH(A12,dim_date!A:A,0)),"")</f>
        <v>20</v>
      </c>
      <c r="O12" s="9" t="str">
        <f t="array" ref="O12">IFERROR(INDEX(dim_date!F:F,MATCH(A12,dim_date!A:A,0)),"")</f>
        <v>5/10-5/16</v>
      </c>
      <c r="P12" s="9" t="str">
        <f t="array" ref="P12">IFERROR(INDEX(dim_kpi!E:E,MATCH(D12,dim_kpi!C:C,0)),"")</f>
        <v>$</v>
      </c>
      <c r="Q12" s="9" t="str">
        <f t="array" ref="Q12">IFERROR(INDEX(dim_kpi!F:F,MATCH(D12,dim_kpi!C:C,0)),"")</f>
        <v>N</v>
      </c>
    </row>
    <row r="13" ht="12.75" customHeight="1">
      <c r="A13" s="20" t="str">
        <f>fact_kpi_weekly!A13</f>
        <v>260517</v>
      </c>
      <c r="B13" s="21">
        <f>fact_kpi_weekly!B13</f>
        <v>46159</v>
      </c>
      <c r="C13" s="9" t="str">
        <f>fact_kpi_weekly!C13</f>
        <v>Contracted Lives</v>
      </c>
      <c r="D13" s="9" t="str">
        <f>fact_kpi_weekly!D13</f>
        <v>Pipeline Growth - 6X Patient Count</v>
      </c>
      <c r="E13" s="9" t="str">
        <f>fact_kpi_weekly!E13</f>
        <v>Goal</v>
      </c>
      <c r="F13" s="9" t="str">
        <f>IF(fact_kpi_weekly!F13="","",fact_kpi_weekly!F13)</f>
        <v/>
      </c>
      <c r="G13" s="9" t="str">
        <f>fact_kpi_weekly!G13</f>
        <v>N/A</v>
      </c>
      <c r="H13" s="9" t="str">
        <f>fact_kpi_weekly!H13</f>
        <v>John</v>
      </c>
      <c r="I13" s="9" t="str">
        <f>fact_kpi_weekly!I13</f>
        <v>$13M</v>
      </c>
      <c r="J13" s="22">
        <f>fact_kpi_weekly!J13</f>
        <v>13000000</v>
      </c>
      <c r="K13" s="20" t="str">
        <f t="array" ref="K13">IFERROR(INDEX(dim_date!H:H,MATCH(A13,dim_date!A:A,0)),"")</f>
        <v>May</v>
      </c>
      <c r="L13" s="20" t="str">
        <f t="array" ref="L13">IFERROR(INDEX(dim_date!G:G,MATCH(A13,dim_date!A:A,0)),"")</f>
        <v>05</v>
      </c>
      <c r="M13" s="9" t="str">
        <f t="array" ref="M13">IFERROR(INDEX(dim_date!I:I,MATCH(A13,dim_date!A:A,0)),"")</f>
        <v>Q2</v>
      </c>
      <c r="N13" s="20" t="str">
        <f t="array" ref="N13">IFERROR(INDEX(dim_date!K:K,MATCH(A13,dim_date!A:A,0)),"")</f>
        <v>21</v>
      </c>
      <c r="O13" s="9" t="str">
        <f t="array" ref="O13">IFERROR(INDEX(dim_date!F:F,MATCH(A13,dim_date!A:A,0)),"")</f>
        <v>5/17-5/23</v>
      </c>
      <c r="P13" s="9" t="str">
        <f t="array" ref="P13">IFERROR(INDEX(dim_kpi!E:E,MATCH(D13,dim_kpi!C:C,0)),"")</f>
        <v>$</v>
      </c>
      <c r="Q13" s="9" t="str">
        <f t="array" ref="Q13">IFERROR(INDEX(dim_kpi!F:F,MATCH(D13,dim_kpi!C:C,0)),"")</f>
        <v>N</v>
      </c>
    </row>
    <row r="14" ht="12.75" customHeight="1">
      <c r="A14" s="20" t="str">
        <f>fact_kpi_weekly!A14</f>
        <v>260524</v>
      </c>
      <c r="B14" s="21">
        <f>fact_kpi_weekly!B14</f>
        <v>46166</v>
      </c>
      <c r="C14" s="9" t="str">
        <f>fact_kpi_weekly!C14</f>
        <v>Contracted Lives</v>
      </c>
      <c r="D14" s="9" t="str">
        <f>fact_kpi_weekly!D14</f>
        <v>Pipeline Growth - 6X Patient Count</v>
      </c>
      <c r="E14" s="9" t="str">
        <f>fact_kpi_weekly!E14</f>
        <v>Goal</v>
      </c>
      <c r="F14" s="9" t="str">
        <f>IF(fact_kpi_weekly!F14="","",fact_kpi_weekly!F14)</f>
        <v/>
      </c>
      <c r="G14" s="9" t="str">
        <f>fact_kpi_weekly!G14</f>
        <v>N/A</v>
      </c>
      <c r="H14" s="9" t="str">
        <f>fact_kpi_weekly!H14</f>
        <v>John</v>
      </c>
      <c r="I14" s="9" t="str">
        <f>fact_kpi_weekly!I14</f>
        <v>$13M</v>
      </c>
      <c r="J14" s="22">
        <f>fact_kpi_weekly!J14</f>
        <v>13000000</v>
      </c>
      <c r="K14" s="20" t="str">
        <f t="array" ref="K14">IFERROR(INDEX(dim_date!H:H,MATCH(A14,dim_date!A:A,0)),"")</f>
        <v>May</v>
      </c>
      <c r="L14" s="20" t="str">
        <f t="array" ref="L14">IFERROR(INDEX(dim_date!G:G,MATCH(A14,dim_date!A:A,0)),"")</f>
        <v>05</v>
      </c>
      <c r="M14" s="9" t="str">
        <f t="array" ref="M14">IFERROR(INDEX(dim_date!I:I,MATCH(A14,dim_date!A:A,0)),"")</f>
        <v>Q2</v>
      </c>
      <c r="N14" s="20" t="str">
        <f t="array" ref="N14">IFERROR(INDEX(dim_date!K:K,MATCH(A14,dim_date!A:A,0)),"")</f>
        <v>22</v>
      </c>
      <c r="O14" s="9" t="str">
        <f t="array" ref="O14">IFERROR(INDEX(dim_date!F:F,MATCH(A14,dim_date!A:A,0)),"")</f>
        <v>5/24-5/30</v>
      </c>
      <c r="P14" s="9" t="str">
        <f t="array" ref="P14">IFERROR(INDEX(dim_kpi!E:E,MATCH(D14,dim_kpi!C:C,0)),"")</f>
        <v>$</v>
      </c>
      <c r="Q14" s="9" t="str">
        <f t="array" ref="Q14">IFERROR(INDEX(dim_kpi!F:F,MATCH(D14,dim_kpi!C:C,0)),"")</f>
        <v>N</v>
      </c>
    </row>
    <row r="15" ht="12.75" customHeight="1">
      <c r="A15" s="20" t="str">
        <f>fact_kpi_weekly!A15</f>
        <v>260601</v>
      </c>
      <c r="B15" s="21">
        <f>fact_kpi_weekly!B15</f>
        <v>46174</v>
      </c>
      <c r="C15" s="9" t="str">
        <f>fact_kpi_weekly!C15</f>
        <v>Contracted Lives</v>
      </c>
      <c r="D15" s="9" t="str">
        <f>fact_kpi_weekly!D15</f>
        <v>Pipeline Growth - 6X Patient Count</v>
      </c>
      <c r="E15" s="9" t="str">
        <f>fact_kpi_weekly!E15</f>
        <v>Goal</v>
      </c>
      <c r="F15" s="9" t="str">
        <f>IF(fact_kpi_weekly!F15="","",fact_kpi_weekly!F15)</f>
        <v/>
      </c>
      <c r="G15" s="9" t="str">
        <f>fact_kpi_weekly!G15</f>
        <v>N/A</v>
      </c>
      <c r="H15" s="9" t="str">
        <f>fact_kpi_weekly!H15</f>
        <v>John</v>
      </c>
      <c r="I15" s="9" t="str">
        <f>fact_kpi_weekly!I15</f>
        <v>$13M</v>
      </c>
      <c r="J15" s="22">
        <f>fact_kpi_weekly!J15</f>
        <v>13000000</v>
      </c>
      <c r="K15" s="20" t="str">
        <f t="array" ref="K15">IFERROR(INDEX(dim_date!H:H,MATCH(A15,dim_date!A:A,0)),"")</f>
        <v>Jun</v>
      </c>
      <c r="L15" s="20" t="str">
        <f t="array" ref="L15">IFERROR(INDEX(dim_date!G:G,MATCH(A15,dim_date!A:A,0)),"")</f>
        <v>06</v>
      </c>
      <c r="M15" s="9" t="str">
        <f t="array" ref="M15">IFERROR(INDEX(dim_date!I:I,MATCH(A15,dim_date!A:A,0)),"")</f>
        <v>Q2</v>
      </c>
      <c r="N15" s="20" t="str">
        <f t="array" ref="N15">IFERROR(INDEX(dim_date!K:K,MATCH(A15,dim_date!A:A,0)),"")</f>
        <v>23</v>
      </c>
      <c r="O15" s="9" t="str">
        <f t="array" ref="O15">IFERROR(INDEX(dim_date!F:F,MATCH(A15,dim_date!A:A,0)),"")</f>
        <v>5/31-6/6</v>
      </c>
      <c r="P15" s="9" t="str">
        <f t="array" ref="P15">IFERROR(INDEX(dim_kpi!E:E,MATCH(D15,dim_kpi!C:C,0)),"")</f>
        <v>$</v>
      </c>
      <c r="Q15" s="9" t="str">
        <f t="array" ref="Q15">IFERROR(INDEX(dim_kpi!F:F,MATCH(D15,dim_kpi!C:C,0)),"")</f>
        <v>N</v>
      </c>
    </row>
    <row r="16" ht="12.75" customHeight="1">
      <c r="A16" s="20" t="str">
        <f>fact_kpi_weekly!A16</f>
        <v>260607</v>
      </c>
      <c r="B16" s="21">
        <f>fact_kpi_weekly!B16</f>
        <v>46180</v>
      </c>
      <c r="C16" s="9" t="str">
        <f>fact_kpi_weekly!C16</f>
        <v>Contracted Lives</v>
      </c>
      <c r="D16" s="9" t="str">
        <f>fact_kpi_weekly!D16</f>
        <v>Pipeline Growth - 6X Patient Count</v>
      </c>
      <c r="E16" s="9" t="str">
        <f>fact_kpi_weekly!E16</f>
        <v>Goal</v>
      </c>
      <c r="F16" s="9" t="str">
        <f>IF(fact_kpi_weekly!F16="","",fact_kpi_weekly!F16)</f>
        <v/>
      </c>
      <c r="G16" s="9" t="str">
        <f>fact_kpi_weekly!G16</f>
        <v>N/A</v>
      </c>
      <c r="H16" s="9" t="str">
        <f>fact_kpi_weekly!H16</f>
        <v>John</v>
      </c>
      <c r="I16" s="9" t="str">
        <f>fact_kpi_weekly!I16</f>
        <v>$13M</v>
      </c>
      <c r="J16" s="22">
        <f>fact_kpi_weekly!J16</f>
        <v>13000000</v>
      </c>
      <c r="K16" s="20" t="str">
        <f t="array" ref="K16">IFERROR(INDEX(dim_date!H:H,MATCH(A16,dim_date!A:A,0)),"")</f>
        <v>Jun</v>
      </c>
      <c r="L16" s="20" t="str">
        <f t="array" ref="L16">IFERROR(INDEX(dim_date!G:G,MATCH(A16,dim_date!A:A,0)),"")</f>
        <v>06</v>
      </c>
      <c r="M16" s="9" t="str">
        <f t="array" ref="M16">IFERROR(INDEX(dim_date!I:I,MATCH(A16,dim_date!A:A,0)),"")</f>
        <v>Q2</v>
      </c>
      <c r="N16" s="20" t="str">
        <f t="array" ref="N16">IFERROR(INDEX(dim_date!K:K,MATCH(A16,dim_date!A:A,0)),"")</f>
        <v>24</v>
      </c>
      <c r="O16" s="9" t="str">
        <f t="array" ref="O16">IFERROR(INDEX(dim_date!F:F,MATCH(A16,dim_date!A:A,0)),"")</f>
        <v>6/7-6/13</v>
      </c>
      <c r="P16" s="9" t="str">
        <f t="array" ref="P16">IFERROR(INDEX(dim_kpi!E:E,MATCH(D16,dim_kpi!C:C,0)),"")</f>
        <v>$</v>
      </c>
      <c r="Q16" s="9" t="str">
        <f t="array" ref="Q16">IFERROR(INDEX(dim_kpi!F:F,MATCH(D16,dim_kpi!C:C,0)),"")</f>
        <v>N</v>
      </c>
    </row>
    <row r="17" ht="12.75" customHeight="1">
      <c r="A17" s="20" t="str">
        <f>fact_kpi_weekly!A17</f>
        <v>260614</v>
      </c>
      <c r="B17" s="21">
        <f>fact_kpi_weekly!B17</f>
        <v>46187</v>
      </c>
      <c r="C17" s="9" t="str">
        <f>fact_kpi_weekly!C17</f>
        <v>Contracted Lives</v>
      </c>
      <c r="D17" s="9" t="str">
        <f>fact_kpi_weekly!D17</f>
        <v>Pipeline Growth - 6X Patient Count</v>
      </c>
      <c r="E17" s="9" t="str">
        <f>fact_kpi_weekly!E17</f>
        <v>Goal</v>
      </c>
      <c r="F17" s="9" t="str">
        <f>IF(fact_kpi_weekly!F17="","",fact_kpi_weekly!F17)</f>
        <v/>
      </c>
      <c r="G17" s="9" t="str">
        <f>fact_kpi_weekly!G17</f>
        <v>N/A</v>
      </c>
      <c r="H17" s="9" t="str">
        <f>fact_kpi_weekly!H17</f>
        <v>John</v>
      </c>
      <c r="I17" s="9" t="str">
        <f>fact_kpi_weekly!I17</f>
        <v>$13M</v>
      </c>
      <c r="J17" s="22">
        <f>fact_kpi_weekly!J17</f>
        <v>13000000</v>
      </c>
      <c r="K17" s="20" t="str">
        <f t="array" ref="K17">IFERROR(INDEX(dim_date!H:H,MATCH(A17,dim_date!A:A,0)),"")</f>
        <v>Jun</v>
      </c>
      <c r="L17" s="20" t="str">
        <f t="array" ref="L17">IFERROR(INDEX(dim_date!G:G,MATCH(A17,dim_date!A:A,0)),"")</f>
        <v>06</v>
      </c>
      <c r="M17" s="9" t="str">
        <f t="array" ref="M17">IFERROR(INDEX(dim_date!I:I,MATCH(A17,dim_date!A:A,0)),"")</f>
        <v>Q2</v>
      </c>
      <c r="N17" s="20" t="str">
        <f t="array" ref="N17">IFERROR(INDEX(dim_date!K:K,MATCH(A17,dim_date!A:A,0)),"")</f>
        <v>25</v>
      </c>
      <c r="O17" s="9" t="str">
        <f t="array" ref="O17">IFERROR(INDEX(dim_date!F:F,MATCH(A17,dim_date!A:A,0)),"")</f>
        <v>6/14-6/20</v>
      </c>
      <c r="P17" s="9" t="str">
        <f t="array" ref="P17">IFERROR(INDEX(dim_kpi!E:E,MATCH(D17,dim_kpi!C:C,0)),"")</f>
        <v>$</v>
      </c>
      <c r="Q17" s="9" t="str">
        <f t="array" ref="Q17">IFERROR(INDEX(dim_kpi!F:F,MATCH(D17,dim_kpi!C:C,0)),"")</f>
        <v>N</v>
      </c>
    </row>
    <row r="18" ht="12.75" customHeight="1">
      <c r="A18" s="20" t="str">
        <f>fact_kpi_weekly!A18</f>
        <v>260621</v>
      </c>
      <c r="B18" s="21">
        <f>fact_kpi_weekly!B18</f>
        <v>46194</v>
      </c>
      <c r="C18" s="9" t="str">
        <f>fact_kpi_weekly!C18</f>
        <v>Contracted Lives</v>
      </c>
      <c r="D18" s="9" t="str">
        <f>fact_kpi_weekly!D18</f>
        <v>Pipeline Growth - 6X Patient Count</v>
      </c>
      <c r="E18" s="9" t="str">
        <f>fact_kpi_weekly!E18</f>
        <v>Goal</v>
      </c>
      <c r="F18" s="9" t="str">
        <f>IF(fact_kpi_weekly!F18="","",fact_kpi_weekly!F18)</f>
        <v/>
      </c>
      <c r="G18" s="9" t="str">
        <f>fact_kpi_weekly!G18</f>
        <v>N/A</v>
      </c>
      <c r="H18" s="9" t="str">
        <f>fact_kpi_weekly!H18</f>
        <v>John</v>
      </c>
      <c r="I18" s="9" t="str">
        <f>fact_kpi_weekly!I18</f>
        <v>$13M</v>
      </c>
      <c r="J18" s="22">
        <f>fact_kpi_weekly!J18</f>
        <v>13000000</v>
      </c>
      <c r="K18" s="20" t="str">
        <f t="array" ref="K18">IFERROR(INDEX(dim_date!H:H,MATCH(A18,dim_date!A:A,0)),"")</f>
        <v>Jun</v>
      </c>
      <c r="L18" s="20" t="str">
        <f t="array" ref="L18">IFERROR(INDEX(dim_date!G:G,MATCH(A18,dim_date!A:A,0)),"")</f>
        <v>06</v>
      </c>
      <c r="M18" s="9" t="str">
        <f t="array" ref="M18">IFERROR(INDEX(dim_date!I:I,MATCH(A18,dim_date!A:A,0)),"")</f>
        <v>Q2</v>
      </c>
      <c r="N18" s="20" t="str">
        <f t="array" ref="N18">IFERROR(INDEX(dim_date!K:K,MATCH(A18,dim_date!A:A,0)),"")</f>
        <v>26</v>
      </c>
      <c r="O18" s="9" t="str">
        <f t="array" ref="O18">IFERROR(INDEX(dim_date!F:F,MATCH(A18,dim_date!A:A,0)),"")</f>
        <v>6/21-6/27</v>
      </c>
      <c r="P18" s="9" t="str">
        <f t="array" ref="P18">IFERROR(INDEX(dim_kpi!E:E,MATCH(D18,dim_kpi!C:C,0)),"")</f>
        <v>$</v>
      </c>
      <c r="Q18" s="9" t="str">
        <f t="array" ref="Q18">IFERROR(INDEX(dim_kpi!F:F,MATCH(D18,dim_kpi!C:C,0)),"")</f>
        <v>N</v>
      </c>
    </row>
    <row r="19" ht="12.75" customHeight="1">
      <c r="A19" s="20" t="str">
        <f>fact_kpi_weekly!A19</f>
        <v>260628</v>
      </c>
      <c r="B19" s="21">
        <f>fact_kpi_weekly!B19</f>
        <v>46201</v>
      </c>
      <c r="C19" s="9" t="str">
        <f>fact_kpi_weekly!C19</f>
        <v>Contracted Lives</v>
      </c>
      <c r="D19" s="9" t="str">
        <f>fact_kpi_weekly!D19</f>
        <v>Pipeline Growth - 6X Patient Count</v>
      </c>
      <c r="E19" s="9" t="str">
        <f>fact_kpi_weekly!E19</f>
        <v>Goal</v>
      </c>
      <c r="F19" s="9" t="str">
        <f>IF(fact_kpi_weekly!F19="","",fact_kpi_weekly!F19)</f>
        <v/>
      </c>
      <c r="G19" s="9" t="str">
        <f>fact_kpi_weekly!G19</f>
        <v>N/A</v>
      </c>
      <c r="H19" s="9" t="str">
        <f>fact_kpi_weekly!H19</f>
        <v>John</v>
      </c>
      <c r="I19" s="9" t="str">
        <f>fact_kpi_weekly!I19</f>
        <v>$13M</v>
      </c>
      <c r="J19" s="22">
        <f>fact_kpi_weekly!J19</f>
        <v>13000000</v>
      </c>
      <c r="K19" s="20" t="str">
        <f t="array" ref="K19">IFERROR(INDEX(dim_date!H:H,MATCH(A19,dim_date!A:A,0)),"")</f>
        <v>Jun</v>
      </c>
      <c r="L19" s="20" t="str">
        <f t="array" ref="L19">IFERROR(INDEX(dim_date!G:G,MATCH(A19,dim_date!A:A,0)),"")</f>
        <v>06</v>
      </c>
      <c r="M19" s="9" t="str">
        <f t="array" ref="M19">IFERROR(INDEX(dim_date!I:I,MATCH(A19,dim_date!A:A,0)),"")</f>
        <v>Q2</v>
      </c>
      <c r="N19" s="20" t="str">
        <f t="array" ref="N19">IFERROR(INDEX(dim_date!K:K,MATCH(A19,dim_date!A:A,0)),"")</f>
        <v>27</v>
      </c>
      <c r="O19" s="9" t="str">
        <f t="array" ref="O19">IFERROR(INDEX(dim_date!F:F,MATCH(A19,dim_date!A:A,0)),"")</f>
        <v>6/28-7/4</v>
      </c>
      <c r="P19" s="9" t="str">
        <f t="array" ref="P19">IFERROR(INDEX(dim_kpi!E:E,MATCH(D19,dim_kpi!C:C,0)),"")</f>
        <v>$</v>
      </c>
      <c r="Q19" s="9" t="str">
        <f t="array" ref="Q19">IFERROR(INDEX(dim_kpi!F:F,MATCH(D19,dim_kpi!C:C,0)),"")</f>
        <v>N</v>
      </c>
    </row>
    <row r="20" ht="12.75" customHeight="1">
      <c r="A20" s="20" t="str">
        <f>fact_kpi_weekly!A20</f>
        <v>260705</v>
      </c>
      <c r="B20" s="21">
        <f>fact_kpi_weekly!B20</f>
        <v>46208</v>
      </c>
      <c r="C20" s="9" t="str">
        <f>fact_kpi_weekly!C20</f>
        <v>Contracted Lives</v>
      </c>
      <c r="D20" s="9" t="str">
        <f>fact_kpi_weekly!D20</f>
        <v>Pipeline Growth - 6X Patient Count</v>
      </c>
      <c r="E20" s="9" t="str">
        <f>fact_kpi_weekly!E20</f>
        <v>Goal</v>
      </c>
      <c r="F20" s="9" t="str">
        <f>IF(fact_kpi_weekly!F20="","",fact_kpi_weekly!F20)</f>
        <v/>
      </c>
      <c r="G20" s="9" t="str">
        <f>fact_kpi_weekly!G20</f>
        <v>N/A</v>
      </c>
      <c r="H20" s="9" t="str">
        <f>fact_kpi_weekly!H20</f>
        <v>John</v>
      </c>
      <c r="I20" s="9" t="str">
        <f>fact_kpi_weekly!I20</f>
        <v>$15M</v>
      </c>
      <c r="J20" s="22">
        <f>fact_kpi_weekly!J20</f>
        <v>15000000</v>
      </c>
      <c r="K20" s="20" t="str">
        <f t="array" ref="K20">IFERROR(INDEX(dim_date!H:H,MATCH(A20,dim_date!A:A,0)),"")</f>
        <v>Jul</v>
      </c>
      <c r="L20" s="20" t="str">
        <f t="array" ref="L20">IFERROR(INDEX(dim_date!G:G,MATCH(A20,dim_date!A:A,0)),"")</f>
        <v>07</v>
      </c>
      <c r="M20" s="9" t="str">
        <f t="array" ref="M20">IFERROR(INDEX(dim_date!I:I,MATCH(A20,dim_date!A:A,0)),"")</f>
        <v>Q3</v>
      </c>
      <c r="N20" s="20" t="str">
        <f t="array" ref="N20">IFERROR(INDEX(dim_date!K:K,MATCH(A20,dim_date!A:A,0)),"")</f>
        <v>28</v>
      </c>
      <c r="O20" s="9" t="str">
        <f t="array" ref="O20">IFERROR(INDEX(dim_date!F:F,MATCH(A20,dim_date!A:A,0)),"")</f>
        <v>7/5-7/11</v>
      </c>
      <c r="P20" s="9" t="str">
        <f t="array" ref="P20">IFERROR(INDEX(dim_kpi!E:E,MATCH(D20,dim_kpi!C:C,0)),"")</f>
        <v>$</v>
      </c>
      <c r="Q20" s="9" t="str">
        <f t="array" ref="Q20">IFERROR(INDEX(dim_kpi!F:F,MATCH(D20,dim_kpi!C:C,0)),"")</f>
        <v>N</v>
      </c>
    </row>
    <row r="21" ht="12.75" customHeight="1">
      <c r="A21" s="20" t="str">
        <f>fact_kpi_weekly!A21</f>
        <v>260712</v>
      </c>
      <c r="B21" s="21">
        <f>fact_kpi_weekly!B21</f>
        <v>46215</v>
      </c>
      <c r="C21" s="9" t="str">
        <f>fact_kpi_weekly!C21</f>
        <v>Contracted Lives</v>
      </c>
      <c r="D21" s="9" t="str">
        <f>fact_kpi_weekly!D21</f>
        <v>Pipeline Growth - 6X Patient Count</v>
      </c>
      <c r="E21" s="9" t="str">
        <f>fact_kpi_weekly!E21</f>
        <v>Goal</v>
      </c>
      <c r="F21" s="9" t="str">
        <f>IF(fact_kpi_weekly!F21="","",fact_kpi_weekly!F21)</f>
        <v/>
      </c>
      <c r="G21" s="9" t="str">
        <f>fact_kpi_weekly!G21</f>
        <v>N/A</v>
      </c>
      <c r="H21" s="9" t="str">
        <f>fact_kpi_weekly!H21</f>
        <v>John</v>
      </c>
      <c r="I21" s="9" t="str">
        <f>fact_kpi_weekly!I21</f>
        <v>$15M</v>
      </c>
      <c r="J21" s="22">
        <f>fact_kpi_weekly!J21</f>
        <v>15000000</v>
      </c>
      <c r="K21" s="20" t="str">
        <f t="array" ref="K21">IFERROR(INDEX(dim_date!H:H,MATCH(A21,dim_date!A:A,0)),"")</f>
        <v>Jul</v>
      </c>
      <c r="L21" s="20" t="str">
        <f t="array" ref="L21">IFERROR(INDEX(dim_date!G:G,MATCH(A21,dim_date!A:A,0)),"")</f>
        <v>07</v>
      </c>
      <c r="M21" s="9" t="str">
        <f t="array" ref="M21">IFERROR(INDEX(dim_date!I:I,MATCH(A21,dim_date!A:A,0)),"")</f>
        <v>Q3</v>
      </c>
      <c r="N21" s="20" t="str">
        <f t="array" ref="N21">IFERROR(INDEX(dim_date!K:K,MATCH(A21,dim_date!A:A,0)),"")</f>
        <v>29</v>
      </c>
      <c r="O21" s="9" t="str">
        <f t="array" ref="O21">IFERROR(INDEX(dim_date!F:F,MATCH(A21,dim_date!A:A,0)),"")</f>
        <v>7/12-7/18</v>
      </c>
      <c r="P21" s="9" t="str">
        <f t="array" ref="P21">IFERROR(INDEX(dim_kpi!E:E,MATCH(D21,dim_kpi!C:C,0)),"")</f>
        <v>$</v>
      </c>
      <c r="Q21" s="9" t="str">
        <f t="array" ref="Q21">IFERROR(INDEX(dim_kpi!F:F,MATCH(D21,dim_kpi!C:C,0)),"")</f>
        <v>N</v>
      </c>
    </row>
    <row r="22" ht="12.75" customHeight="1">
      <c r="A22" s="20" t="str">
        <f>fact_kpi_weekly!A22</f>
        <v>260719</v>
      </c>
      <c r="B22" s="21">
        <f>fact_kpi_weekly!B22</f>
        <v>46222</v>
      </c>
      <c r="C22" s="9" t="str">
        <f>fact_kpi_weekly!C22</f>
        <v>Contracted Lives</v>
      </c>
      <c r="D22" s="9" t="str">
        <f>fact_kpi_weekly!D22</f>
        <v>Pipeline Growth - 6X Patient Count</v>
      </c>
      <c r="E22" s="9" t="str">
        <f>fact_kpi_weekly!E22</f>
        <v>Goal</v>
      </c>
      <c r="F22" s="9" t="str">
        <f>IF(fact_kpi_weekly!F22="","",fact_kpi_weekly!F22)</f>
        <v/>
      </c>
      <c r="G22" s="9" t="str">
        <f>fact_kpi_weekly!G22</f>
        <v>N/A</v>
      </c>
      <c r="H22" s="9" t="str">
        <f>fact_kpi_weekly!H22</f>
        <v>John</v>
      </c>
      <c r="I22" s="9" t="str">
        <f>fact_kpi_weekly!I22</f>
        <v>$15M</v>
      </c>
      <c r="J22" s="22">
        <f>fact_kpi_weekly!J22</f>
        <v>15000000</v>
      </c>
      <c r="K22" s="20" t="str">
        <f t="array" ref="K22">IFERROR(INDEX(dim_date!H:H,MATCH(A22,dim_date!A:A,0)),"")</f>
        <v>Jul</v>
      </c>
      <c r="L22" s="20" t="str">
        <f t="array" ref="L22">IFERROR(INDEX(dim_date!G:G,MATCH(A22,dim_date!A:A,0)),"")</f>
        <v>07</v>
      </c>
      <c r="M22" s="9" t="str">
        <f t="array" ref="M22">IFERROR(INDEX(dim_date!I:I,MATCH(A22,dim_date!A:A,0)),"")</f>
        <v>Q3</v>
      </c>
      <c r="N22" s="20" t="str">
        <f t="array" ref="N22">IFERROR(INDEX(dim_date!K:K,MATCH(A22,dim_date!A:A,0)),"")</f>
        <v>30</v>
      </c>
      <c r="O22" s="9" t="str">
        <f t="array" ref="O22">IFERROR(INDEX(dim_date!F:F,MATCH(A22,dim_date!A:A,0)),"")</f>
        <v>7/19-7/25</v>
      </c>
      <c r="P22" s="9" t="str">
        <f t="array" ref="P22">IFERROR(INDEX(dim_kpi!E:E,MATCH(D22,dim_kpi!C:C,0)),"")</f>
        <v>$</v>
      </c>
      <c r="Q22" s="9" t="str">
        <f t="array" ref="Q22">IFERROR(INDEX(dim_kpi!F:F,MATCH(D22,dim_kpi!C:C,0)),"")</f>
        <v>N</v>
      </c>
    </row>
    <row r="23" ht="12.75" customHeight="1">
      <c r="A23" s="20" t="str">
        <f>fact_kpi_weekly!A23</f>
        <v>260726</v>
      </c>
      <c r="B23" s="21">
        <f>fact_kpi_weekly!B23</f>
        <v>46229</v>
      </c>
      <c r="C23" s="9" t="str">
        <f>fact_kpi_weekly!C23</f>
        <v>Contracted Lives</v>
      </c>
      <c r="D23" s="9" t="str">
        <f>fact_kpi_weekly!D23</f>
        <v>Pipeline Growth - 6X Patient Count</v>
      </c>
      <c r="E23" s="9" t="str">
        <f>fact_kpi_weekly!E23</f>
        <v>Goal</v>
      </c>
      <c r="F23" s="9" t="str">
        <f>IF(fact_kpi_weekly!F23="","",fact_kpi_weekly!F23)</f>
        <v/>
      </c>
      <c r="G23" s="9" t="str">
        <f>fact_kpi_weekly!G23</f>
        <v>N/A</v>
      </c>
      <c r="H23" s="9" t="str">
        <f>fact_kpi_weekly!H23</f>
        <v>John</v>
      </c>
      <c r="I23" s="9" t="str">
        <f>fact_kpi_weekly!I23</f>
        <v>$15M</v>
      </c>
      <c r="J23" s="22">
        <f>fact_kpi_weekly!J23</f>
        <v>15000000</v>
      </c>
      <c r="K23" s="20" t="str">
        <f t="array" ref="K23">IFERROR(INDEX(dim_date!H:H,MATCH(A23,dim_date!A:A,0)),"")</f>
        <v>Jul</v>
      </c>
      <c r="L23" s="20" t="str">
        <f t="array" ref="L23">IFERROR(INDEX(dim_date!G:G,MATCH(A23,dim_date!A:A,0)),"")</f>
        <v>07</v>
      </c>
      <c r="M23" s="9" t="str">
        <f t="array" ref="M23">IFERROR(INDEX(dim_date!I:I,MATCH(A23,dim_date!A:A,0)),"")</f>
        <v>Q3</v>
      </c>
      <c r="N23" s="20" t="str">
        <f t="array" ref="N23">IFERROR(INDEX(dim_date!K:K,MATCH(A23,dim_date!A:A,0)),"")</f>
        <v>31</v>
      </c>
      <c r="O23" s="9" t="str">
        <f t="array" ref="O23">IFERROR(INDEX(dim_date!F:F,MATCH(A23,dim_date!A:A,0)),"")</f>
        <v>7/26-8/1</v>
      </c>
      <c r="P23" s="9" t="str">
        <f t="array" ref="P23">IFERROR(INDEX(dim_kpi!E:E,MATCH(D23,dim_kpi!C:C,0)),"")</f>
        <v>$</v>
      </c>
      <c r="Q23" s="9" t="str">
        <f t="array" ref="Q23">IFERROR(INDEX(dim_kpi!F:F,MATCH(D23,dim_kpi!C:C,0)),"")</f>
        <v>N</v>
      </c>
    </row>
    <row r="24" ht="12.75" customHeight="1">
      <c r="A24" s="20" t="str">
        <f>fact_kpi_weekly!A24</f>
        <v>260802</v>
      </c>
      <c r="B24" s="21">
        <f>fact_kpi_weekly!B24</f>
        <v>46236</v>
      </c>
      <c r="C24" s="9" t="str">
        <f>fact_kpi_weekly!C24</f>
        <v>Contracted Lives</v>
      </c>
      <c r="D24" s="9" t="str">
        <f>fact_kpi_weekly!D24</f>
        <v>Pipeline Growth - 6X Patient Count</v>
      </c>
      <c r="E24" s="9" t="str">
        <f>fact_kpi_weekly!E24</f>
        <v>Goal</v>
      </c>
      <c r="F24" s="9" t="str">
        <f>IF(fact_kpi_weekly!F24="","",fact_kpi_weekly!F24)</f>
        <v/>
      </c>
      <c r="G24" s="9" t="str">
        <f>fact_kpi_weekly!G24</f>
        <v>N/A</v>
      </c>
      <c r="H24" s="9" t="str">
        <f>fact_kpi_weekly!H24</f>
        <v>John</v>
      </c>
      <c r="I24" s="9" t="str">
        <f>fact_kpi_weekly!I24</f>
        <v>$16M</v>
      </c>
      <c r="J24" s="22">
        <f>fact_kpi_weekly!J24</f>
        <v>16000000</v>
      </c>
      <c r="K24" s="20" t="str">
        <f t="array" ref="K24">IFERROR(INDEX(dim_date!H:H,MATCH(A24,dim_date!A:A,0)),"")</f>
        <v>Aug</v>
      </c>
      <c r="L24" s="20" t="str">
        <f t="array" ref="L24">IFERROR(INDEX(dim_date!G:G,MATCH(A24,dim_date!A:A,0)),"")</f>
        <v>08</v>
      </c>
      <c r="M24" s="9" t="str">
        <f t="array" ref="M24">IFERROR(INDEX(dim_date!I:I,MATCH(A24,dim_date!A:A,0)),"")</f>
        <v>Q3</v>
      </c>
      <c r="N24" s="20" t="str">
        <f t="array" ref="N24">IFERROR(INDEX(dim_date!K:K,MATCH(A24,dim_date!A:A,0)),"")</f>
        <v>32</v>
      </c>
      <c r="O24" s="9" t="str">
        <f t="array" ref="O24">IFERROR(INDEX(dim_date!F:F,MATCH(A24,dim_date!A:A,0)),"")</f>
        <v>8/2-8/8</v>
      </c>
      <c r="P24" s="9" t="str">
        <f t="array" ref="P24">IFERROR(INDEX(dim_kpi!E:E,MATCH(D24,dim_kpi!C:C,0)),"")</f>
        <v>$</v>
      </c>
      <c r="Q24" s="9" t="str">
        <f t="array" ref="Q24">IFERROR(INDEX(dim_kpi!F:F,MATCH(D24,dim_kpi!C:C,0)),"")</f>
        <v>N</v>
      </c>
    </row>
    <row r="25" ht="12.75" customHeight="1">
      <c r="A25" s="20" t="str">
        <f>fact_kpi_weekly!A25</f>
        <v>260809</v>
      </c>
      <c r="B25" s="21">
        <f>fact_kpi_weekly!B25</f>
        <v>46243</v>
      </c>
      <c r="C25" s="9" t="str">
        <f>fact_kpi_weekly!C25</f>
        <v>Contracted Lives</v>
      </c>
      <c r="D25" s="9" t="str">
        <f>fact_kpi_weekly!D25</f>
        <v>Pipeline Growth - 6X Patient Count</v>
      </c>
      <c r="E25" s="9" t="str">
        <f>fact_kpi_weekly!E25</f>
        <v>Goal</v>
      </c>
      <c r="F25" s="9" t="str">
        <f>IF(fact_kpi_weekly!F25="","",fact_kpi_weekly!F25)</f>
        <v/>
      </c>
      <c r="G25" s="9" t="str">
        <f>fact_kpi_weekly!G25</f>
        <v>N/A</v>
      </c>
      <c r="H25" s="9" t="str">
        <f>fact_kpi_weekly!H25</f>
        <v>John</v>
      </c>
      <c r="I25" s="9" t="str">
        <f>fact_kpi_weekly!I25</f>
        <v>$16M</v>
      </c>
      <c r="J25" s="22">
        <f>fact_kpi_weekly!J25</f>
        <v>16000000</v>
      </c>
      <c r="K25" s="20" t="str">
        <f t="array" ref="K25">IFERROR(INDEX(dim_date!H:H,MATCH(A25,dim_date!A:A,0)),"")</f>
        <v>Aug</v>
      </c>
      <c r="L25" s="20" t="str">
        <f t="array" ref="L25">IFERROR(INDEX(dim_date!G:G,MATCH(A25,dim_date!A:A,0)),"")</f>
        <v>08</v>
      </c>
      <c r="M25" s="9" t="str">
        <f t="array" ref="M25">IFERROR(INDEX(dim_date!I:I,MATCH(A25,dim_date!A:A,0)),"")</f>
        <v>Q3</v>
      </c>
      <c r="N25" s="20" t="str">
        <f t="array" ref="N25">IFERROR(INDEX(dim_date!K:K,MATCH(A25,dim_date!A:A,0)),"")</f>
        <v>33</v>
      </c>
      <c r="O25" s="9" t="str">
        <f t="array" ref="O25">IFERROR(INDEX(dim_date!F:F,MATCH(A25,dim_date!A:A,0)),"")</f>
        <v>8/9-8/15</v>
      </c>
      <c r="P25" s="9" t="str">
        <f t="array" ref="P25">IFERROR(INDEX(dim_kpi!E:E,MATCH(D25,dim_kpi!C:C,0)),"")</f>
        <v>$</v>
      </c>
      <c r="Q25" s="9" t="str">
        <f t="array" ref="Q25">IFERROR(INDEX(dim_kpi!F:F,MATCH(D25,dim_kpi!C:C,0)),"")</f>
        <v>N</v>
      </c>
    </row>
    <row r="26" ht="12.75" customHeight="1">
      <c r="A26" s="20" t="str">
        <f>fact_kpi_weekly!A26</f>
        <v>260816</v>
      </c>
      <c r="B26" s="21">
        <f>fact_kpi_weekly!B26</f>
        <v>46250</v>
      </c>
      <c r="C26" s="9" t="str">
        <f>fact_kpi_weekly!C26</f>
        <v>Contracted Lives</v>
      </c>
      <c r="D26" s="9" t="str">
        <f>fact_kpi_weekly!D26</f>
        <v>Pipeline Growth - 6X Patient Count</v>
      </c>
      <c r="E26" s="9" t="str">
        <f>fact_kpi_weekly!E26</f>
        <v>Goal</v>
      </c>
      <c r="F26" s="9" t="str">
        <f>IF(fact_kpi_weekly!F26="","",fact_kpi_weekly!F26)</f>
        <v/>
      </c>
      <c r="G26" s="9" t="str">
        <f>fact_kpi_weekly!G26</f>
        <v>N/A</v>
      </c>
      <c r="H26" s="9" t="str">
        <f>fact_kpi_weekly!H26</f>
        <v>John</v>
      </c>
      <c r="I26" s="9" t="str">
        <f>fact_kpi_weekly!I26</f>
        <v>$16M</v>
      </c>
      <c r="J26" s="22">
        <f>fact_kpi_weekly!J26</f>
        <v>16000000</v>
      </c>
      <c r="K26" s="20" t="str">
        <f t="array" ref="K26">IFERROR(INDEX(dim_date!H:H,MATCH(A26,dim_date!A:A,0)),"")</f>
        <v>Aug</v>
      </c>
      <c r="L26" s="20" t="str">
        <f t="array" ref="L26">IFERROR(INDEX(dim_date!G:G,MATCH(A26,dim_date!A:A,0)),"")</f>
        <v>08</v>
      </c>
      <c r="M26" s="9" t="str">
        <f t="array" ref="M26">IFERROR(INDEX(dim_date!I:I,MATCH(A26,dim_date!A:A,0)),"")</f>
        <v>Q3</v>
      </c>
      <c r="N26" s="20" t="str">
        <f t="array" ref="N26">IFERROR(INDEX(dim_date!K:K,MATCH(A26,dim_date!A:A,0)),"")</f>
        <v>34</v>
      </c>
      <c r="O26" s="9" t="str">
        <f t="array" ref="O26">IFERROR(INDEX(dim_date!F:F,MATCH(A26,dim_date!A:A,0)),"")</f>
        <v>8/16-8/22</v>
      </c>
      <c r="P26" s="9" t="str">
        <f t="array" ref="P26">IFERROR(INDEX(dim_kpi!E:E,MATCH(D26,dim_kpi!C:C,0)),"")</f>
        <v>$</v>
      </c>
      <c r="Q26" s="9" t="str">
        <f t="array" ref="Q26">IFERROR(INDEX(dim_kpi!F:F,MATCH(D26,dim_kpi!C:C,0)),"")</f>
        <v>N</v>
      </c>
    </row>
    <row r="27" ht="12.75" customHeight="1">
      <c r="A27" s="20" t="str">
        <f>fact_kpi_weekly!A27</f>
        <v>260823</v>
      </c>
      <c r="B27" s="21">
        <f>fact_kpi_weekly!B27</f>
        <v>46257</v>
      </c>
      <c r="C27" s="9" t="str">
        <f>fact_kpi_weekly!C27</f>
        <v>Contracted Lives</v>
      </c>
      <c r="D27" s="9" t="str">
        <f>fact_kpi_weekly!D27</f>
        <v>Pipeline Growth - 6X Patient Count</v>
      </c>
      <c r="E27" s="9" t="str">
        <f>fact_kpi_weekly!E27</f>
        <v>Goal</v>
      </c>
      <c r="F27" s="9" t="str">
        <f>IF(fact_kpi_weekly!F27="","",fact_kpi_weekly!F27)</f>
        <v/>
      </c>
      <c r="G27" s="9" t="str">
        <f>fact_kpi_weekly!G27</f>
        <v>N/A</v>
      </c>
      <c r="H27" s="9" t="str">
        <f>fact_kpi_weekly!H27</f>
        <v>John</v>
      </c>
      <c r="I27" s="9" t="str">
        <f>fact_kpi_weekly!I27</f>
        <v>$16M</v>
      </c>
      <c r="J27" s="22">
        <f>fact_kpi_weekly!J27</f>
        <v>16000000</v>
      </c>
      <c r="K27" s="20" t="str">
        <f t="array" ref="K27">IFERROR(INDEX(dim_date!H:H,MATCH(A27,dim_date!A:A,0)),"")</f>
        <v>Aug</v>
      </c>
      <c r="L27" s="20" t="str">
        <f t="array" ref="L27">IFERROR(INDEX(dim_date!G:G,MATCH(A27,dim_date!A:A,0)),"")</f>
        <v>08</v>
      </c>
      <c r="M27" s="9" t="str">
        <f t="array" ref="M27">IFERROR(INDEX(dim_date!I:I,MATCH(A27,dim_date!A:A,0)),"")</f>
        <v>Q3</v>
      </c>
      <c r="N27" s="20" t="str">
        <f t="array" ref="N27">IFERROR(INDEX(dim_date!K:K,MATCH(A27,dim_date!A:A,0)),"")</f>
        <v>35</v>
      </c>
      <c r="O27" s="9" t="str">
        <f t="array" ref="O27">IFERROR(INDEX(dim_date!F:F,MATCH(A27,dim_date!A:A,0)),"")</f>
        <v>8/23-8/29</v>
      </c>
      <c r="P27" s="9" t="str">
        <f t="array" ref="P27">IFERROR(INDEX(dim_kpi!E:E,MATCH(D27,dim_kpi!C:C,0)),"")</f>
        <v>$</v>
      </c>
      <c r="Q27" s="9" t="str">
        <f t="array" ref="Q27">IFERROR(INDEX(dim_kpi!F:F,MATCH(D27,dim_kpi!C:C,0)),"")</f>
        <v>N</v>
      </c>
    </row>
    <row r="28" ht="12.75" customHeight="1">
      <c r="A28" s="20" t="str">
        <f>fact_kpi_weekly!A28</f>
        <v>260830</v>
      </c>
      <c r="B28" s="21">
        <f>fact_kpi_weekly!B28</f>
        <v>46264</v>
      </c>
      <c r="C28" s="9" t="str">
        <f>fact_kpi_weekly!C28</f>
        <v>Contracted Lives</v>
      </c>
      <c r="D28" s="9" t="str">
        <f>fact_kpi_weekly!D28</f>
        <v>Pipeline Growth - 6X Patient Count</v>
      </c>
      <c r="E28" s="9" t="str">
        <f>fact_kpi_weekly!E28</f>
        <v>Goal</v>
      </c>
      <c r="F28" s="9" t="str">
        <f>IF(fact_kpi_weekly!F28="","",fact_kpi_weekly!F28)</f>
        <v/>
      </c>
      <c r="G28" s="9" t="str">
        <f>fact_kpi_weekly!G28</f>
        <v>N/A</v>
      </c>
      <c r="H28" s="9" t="str">
        <f>fact_kpi_weekly!H28</f>
        <v>John</v>
      </c>
      <c r="I28" s="9" t="str">
        <f>fact_kpi_weekly!I28</f>
        <v>$17M</v>
      </c>
      <c r="J28" s="22">
        <f>fact_kpi_weekly!J28</f>
        <v>17000000</v>
      </c>
      <c r="K28" s="20" t="str">
        <f t="array" ref="K28">IFERROR(INDEX(dim_date!H:H,MATCH(A28,dim_date!A:A,0)),"")</f>
        <v>Aug</v>
      </c>
      <c r="L28" s="20" t="str">
        <f t="array" ref="L28">IFERROR(INDEX(dim_date!G:G,MATCH(A28,dim_date!A:A,0)),"")</f>
        <v>08</v>
      </c>
      <c r="M28" s="9" t="str">
        <f t="array" ref="M28">IFERROR(INDEX(dim_date!I:I,MATCH(A28,dim_date!A:A,0)),"")</f>
        <v>Q3</v>
      </c>
      <c r="N28" s="20" t="str">
        <f t="array" ref="N28">IFERROR(INDEX(dim_date!K:K,MATCH(A28,dim_date!A:A,0)),"")</f>
        <v>36</v>
      </c>
      <c r="O28" s="9" t="str">
        <f t="array" ref="O28">IFERROR(INDEX(dim_date!F:F,MATCH(A28,dim_date!A:A,0)),"")</f>
        <v>8/30-9/5</v>
      </c>
      <c r="P28" s="9" t="str">
        <f t="array" ref="P28">IFERROR(INDEX(dim_kpi!E:E,MATCH(D28,dim_kpi!C:C,0)),"")</f>
        <v>$</v>
      </c>
      <c r="Q28" s="9" t="str">
        <f t="array" ref="Q28">IFERROR(INDEX(dim_kpi!F:F,MATCH(D28,dim_kpi!C:C,0)),"")</f>
        <v>N</v>
      </c>
    </row>
    <row r="29" ht="12.75" customHeight="1">
      <c r="A29" s="20" t="str">
        <f>fact_kpi_weekly!A29</f>
        <v>260906</v>
      </c>
      <c r="B29" s="21">
        <f>fact_kpi_weekly!B29</f>
        <v>46271</v>
      </c>
      <c r="C29" s="9" t="str">
        <f>fact_kpi_weekly!C29</f>
        <v>Contracted Lives</v>
      </c>
      <c r="D29" s="9" t="str">
        <f>fact_kpi_weekly!D29</f>
        <v>Pipeline Growth - 6X Patient Count</v>
      </c>
      <c r="E29" s="9" t="str">
        <f>fact_kpi_weekly!E29</f>
        <v>Goal</v>
      </c>
      <c r="F29" s="9" t="str">
        <f>IF(fact_kpi_weekly!F29="","",fact_kpi_weekly!F29)</f>
        <v/>
      </c>
      <c r="G29" s="9" t="str">
        <f>fact_kpi_weekly!G29</f>
        <v>N/A</v>
      </c>
      <c r="H29" s="9" t="str">
        <f>fact_kpi_weekly!H29</f>
        <v>John</v>
      </c>
      <c r="I29" s="9" t="str">
        <f>fact_kpi_weekly!I29</f>
        <v>$17M</v>
      </c>
      <c r="J29" s="22">
        <f>fact_kpi_weekly!J29</f>
        <v>17000000</v>
      </c>
      <c r="K29" s="20" t="str">
        <f t="array" ref="K29">IFERROR(INDEX(dim_date!H:H,MATCH(A29,dim_date!A:A,0)),"")</f>
        <v>Sep</v>
      </c>
      <c r="L29" s="20" t="str">
        <f t="array" ref="L29">IFERROR(INDEX(dim_date!G:G,MATCH(A29,dim_date!A:A,0)),"")</f>
        <v>09</v>
      </c>
      <c r="M29" s="9" t="str">
        <f t="array" ref="M29">IFERROR(INDEX(dim_date!I:I,MATCH(A29,dim_date!A:A,0)),"")</f>
        <v>Q3</v>
      </c>
      <c r="N29" s="20" t="str">
        <f t="array" ref="N29">IFERROR(INDEX(dim_date!K:K,MATCH(A29,dim_date!A:A,0)),"")</f>
        <v>37</v>
      </c>
      <c r="O29" s="9" t="str">
        <f t="array" ref="O29">IFERROR(INDEX(dim_date!F:F,MATCH(A29,dim_date!A:A,0)),"")</f>
        <v>9/6-9/12</v>
      </c>
      <c r="P29" s="9" t="str">
        <f t="array" ref="P29">IFERROR(INDEX(dim_kpi!E:E,MATCH(D29,dim_kpi!C:C,0)),"")</f>
        <v>$</v>
      </c>
      <c r="Q29" s="9" t="str">
        <f t="array" ref="Q29">IFERROR(INDEX(dim_kpi!F:F,MATCH(D29,dim_kpi!C:C,0)),"")</f>
        <v>N</v>
      </c>
    </row>
    <row r="30" ht="12.75" customHeight="1">
      <c r="A30" s="20" t="str">
        <f>fact_kpi_weekly!A30</f>
        <v>260913</v>
      </c>
      <c r="B30" s="21">
        <f>fact_kpi_weekly!B30</f>
        <v>46278</v>
      </c>
      <c r="C30" s="9" t="str">
        <f>fact_kpi_weekly!C30</f>
        <v>Contracted Lives</v>
      </c>
      <c r="D30" s="9" t="str">
        <f>fact_kpi_weekly!D30</f>
        <v>Pipeline Growth - 6X Patient Count</v>
      </c>
      <c r="E30" s="9" t="str">
        <f>fact_kpi_weekly!E30</f>
        <v>Goal</v>
      </c>
      <c r="F30" s="9" t="str">
        <f>IF(fact_kpi_weekly!F30="","",fact_kpi_weekly!F30)</f>
        <v/>
      </c>
      <c r="G30" s="9" t="str">
        <f>fact_kpi_weekly!G30</f>
        <v>N/A</v>
      </c>
      <c r="H30" s="9" t="str">
        <f>fact_kpi_weekly!H30</f>
        <v>John</v>
      </c>
      <c r="I30" s="9" t="str">
        <f>fact_kpi_weekly!I30</f>
        <v>$17M</v>
      </c>
      <c r="J30" s="22">
        <f>fact_kpi_weekly!J30</f>
        <v>17000000</v>
      </c>
      <c r="K30" s="20" t="str">
        <f t="array" ref="K30">IFERROR(INDEX(dim_date!H:H,MATCH(A30,dim_date!A:A,0)),"")</f>
        <v>Sep</v>
      </c>
      <c r="L30" s="20" t="str">
        <f t="array" ref="L30">IFERROR(INDEX(dim_date!G:G,MATCH(A30,dim_date!A:A,0)),"")</f>
        <v>09</v>
      </c>
      <c r="M30" s="9" t="str">
        <f t="array" ref="M30">IFERROR(INDEX(dim_date!I:I,MATCH(A30,dim_date!A:A,0)),"")</f>
        <v>Q3</v>
      </c>
      <c r="N30" s="20" t="str">
        <f t="array" ref="N30">IFERROR(INDEX(dim_date!K:K,MATCH(A30,dim_date!A:A,0)),"")</f>
        <v>38</v>
      </c>
      <c r="O30" s="9" t="str">
        <f t="array" ref="O30">IFERROR(INDEX(dim_date!F:F,MATCH(A30,dim_date!A:A,0)),"")</f>
        <v>9/13-9/19</v>
      </c>
      <c r="P30" s="9" t="str">
        <f t="array" ref="P30">IFERROR(INDEX(dim_kpi!E:E,MATCH(D30,dim_kpi!C:C,0)),"")</f>
        <v>$</v>
      </c>
      <c r="Q30" s="9" t="str">
        <f t="array" ref="Q30">IFERROR(INDEX(dim_kpi!F:F,MATCH(D30,dim_kpi!C:C,0)),"")</f>
        <v>N</v>
      </c>
    </row>
    <row r="31" ht="12.75" customHeight="1">
      <c r="A31" s="20" t="str">
        <f>fact_kpi_weekly!A31</f>
        <v>260920</v>
      </c>
      <c r="B31" s="21">
        <f>fact_kpi_weekly!B31</f>
        <v>46285</v>
      </c>
      <c r="C31" s="9" t="str">
        <f>fact_kpi_weekly!C31</f>
        <v>Contracted Lives</v>
      </c>
      <c r="D31" s="9" t="str">
        <f>fact_kpi_weekly!D31</f>
        <v>Pipeline Growth - 6X Patient Count</v>
      </c>
      <c r="E31" s="9" t="str">
        <f>fact_kpi_weekly!E31</f>
        <v>Goal</v>
      </c>
      <c r="F31" s="9" t="str">
        <f>IF(fact_kpi_weekly!F31="","",fact_kpi_weekly!F31)</f>
        <v/>
      </c>
      <c r="G31" s="9" t="str">
        <f>fact_kpi_weekly!G31</f>
        <v>N/A</v>
      </c>
      <c r="H31" s="9" t="str">
        <f>fact_kpi_weekly!H31</f>
        <v>John</v>
      </c>
      <c r="I31" s="9" t="str">
        <f>fact_kpi_weekly!I31</f>
        <v>$17M</v>
      </c>
      <c r="J31" s="22">
        <f>fact_kpi_weekly!J31</f>
        <v>17000000</v>
      </c>
      <c r="K31" s="20" t="str">
        <f t="array" ref="K31">IFERROR(INDEX(dim_date!H:H,MATCH(A31,dim_date!A:A,0)),"")</f>
        <v>Sep</v>
      </c>
      <c r="L31" s="20" t="str">
        <f t="array" ref="L31">IFERROR(INDEX(dim_date!G:G,MATCH(A31,dim_date!A:A,0)),"")</f>
        <v>09</v>
      </c>
      <c r="M31" s="9" t="str">
        <f t="array" ref="M31">IFERROR(INDEX(dim_date!I:I,MATCH(A31,dim_date!A:A,0)),"")</f>
        <v>Q3</v>
      </c>
      <c r="N31" s="20" t="str">
        <f t="array" ref="N31">IFERROR(INDEX(dim_date!K:K,MATCH(A31,dim_date!A:A,0)),"")</f>
        <v>39</v>
      </c>
      <c r="O31" s="9" t="str">
        <f t="array" ref="O31">IFERROR(INDEX(dim_date!F:F,MATCH(A31,dim_date!A:A,0)),"")</f>
        <v>9/20-9/26</v>
      </c>
      <c r="P31" s="9" t="str">
        <f t="array" ref="P31">IFERROR(INDEX(dim_kpi!E:E,MATCH(D31,dim_kpi!C:C,0)),"")</f>
        <v>$</v>
      </c>
      <c r="Q31" s="9" t="str">
        <f t="array" ref="Q31">IFERROR(INDEX(dim_kpi!F:F,MATCH(D31,dim_kpi!C:C,0)),"")</f>
        <v>N</v>
      </c>
    </row>
    <row r="32" ht="12.75" customHeight="1">
      <c r="A32" s="20" t="str">
        <f>fact_kpi_weekly!A32</f>
        <v>260927</v>
      </c>
      <c r="B32" s="21">
        <f>fact_kpi_weekly!B32</f>
        <v>46292</v>
      </c>
      <c r="C32" s="9" t="str">
        <f>fact_kpi_weekly!C32</f>
        <v>Contracted Lives</v>
      </c>
      <c r="D32" s="9" t="str">
        <f>fact_kpi_weekly!D32</f>
        <v>Pipeline Growth - 6X Patient Count</v>
      </c>
      <c r="E32" s="9" t="str">
        <f>fact_kpi_weekly!E32</f>
        <v>Goal</v>
      </c>
      <c r="F32" s="9" t="str">
        <f>IF(fact_kpi_weekly!F32="","",fact_kpi_weekly!F32)</f>
        <v/>
      </c>
      <c r="G32" s="9" t="str">
        <f>fact_kpi_weekly!G32</f>
        <v>N/A</v>
      </c>
      <c r="H32" s="9" t="str">
        <f>fact_kpi_weekly!H32</f>
        <v>John</v>
      </c>
      <c r="I32" s="9" t="str">
        <f>fact_kpi_weekly!I32</f>
        <v>$17M</v>
      </c>
      <c r="J32" s="22">
        <f>fact_kpi_weekly!J32</f>
        <v>17000000</v>
      </c>
      <c r="K32" s="20" t="str">
        <f t="array" ref="K32">IFERROR(INDEX(dim_date!H:H,MATCH(A32,dim_date!A:A,0)),"")</f>
        <v>Sep</v>
      </c>
      <c r="L32" s="20" t="str">
        <f t="array" ref="L32">IFERROR(INDEX(dim_date!G:G,MATCH(A32,dim_date!A:A,0)),"")</f>
        <v>09</v>
      </c>
      <c r="M32" s="9" t="str">
        <f t="array" ref="M32">IFERROR(INDEX(dim_date!I:I,MATCH(A32,dim_date!A:A,0)),"")</f>
        <v>Q3</v>
      </c>
      <c r="N32" s="20" t="str">
        <f t="array" ref="N32">IFERROR(INDEX(dim_date!K:K,MATCH(A32,dim_date!A:A,0)),"")</f>
        <v>40</v>
      </c>
      <c r="O32" s="9" t="str">
        <f t="array" ref="O32">IFERROR(INDEX(dim_date!F:F,MATCH(A32,dim_date!A:A,0)),"")</f>
        <v>9/27-10/3</v>
      </c>
      <c r="P32" s="9" t="str">
        <f t="array" ref="P32">IFERROR(INDEX(dim_kpi!E:E,MATCH(D32,dim_kpi!C:C,0)),"")</f>
        <v>$</v>
      </c>
      <c r="Q32" s="9" t="str">
        <f t="array" ref="Q32">IFERROR(INDEX(dim_kpi!F:F,MATCH(D32,dim_kpi!C:C,0)),"")</f>
        <v>N</v>
      </c>
    </row>
    <row r="33" ht="12.75" customHeight="1">
      <c r="A33" s="20" t="str">
        <f>fact_kpi_weekly!A33</f>
        <v>261004</v>
      </c>
      <c r="B33" s="21">
        <f>fact_kpi_weekly!B33</f>
        <v>46299</v>
      </c>
      <c r="C33" s="9" t="str">
        <f>fact_kpi_weekly!C33</f>
        <v>Contracted Lives</v>
      </c>
      <c r="D33" s="9" t="str">
        <f>fact_kpi_weekly!D33</f>
        <v>Pipeline Growth - 6X Patient Count</v>
      </c>
      <c r="E33" s="9" t="str">
        <f>fact_kpi_weekly!E33</f>
        <v>Goal</v>
      </c>
      <c r="F33" s="9" t="str">
        <f>IF(fact_kpi_weekly!F33="","",fact_kpi_weekly!F33)</f>
        <v/>
      </c>
      <c r="G33" s="9" t="str">
        <f>fact_kpi_weekly!G33</f>
        <v>N/A</v>
      </c>
      <c r="H33" s="9" t="str">
        <f>fact_kpi_weekly!H33</f>
        <v>John</v>
      </c>
      <c r="I33" s="9" t="str">
        <f>fact_kpi_weekly!I33</f>
        <v>$18M</v>
      </c>
      <c r="J33" s="22">
        <f>fact_kpi_weekly!J33</f>
        <v>18000000</v>
      </c>
      <c r="K33" s="20" t="str">
        <f t="array" ref="K33">IFERROR(INDEX(dim_date!H:H,MATCH(A33,dim_date!A:A,0)),"")</f>
        <v>Oct</v>
      </c>
      <c r="L33" s="20" t="str">
        <f t="array" ref="L33">IFERROR(INDEX(dim_date!G:G,MATCH(A33,dim_date!A:A,0)),"")</f>
        <v>10</v>
      </c>
      <c r="M33" s="9" t="str">
        <f t="array" ref="M33">IFERROR(INDEX(dim_date!I:I,MATCH(A33,dim_date!A:A,0)),"")</f>
        <v>Q4</v>
      </c>
      <c r="N33" s="20" t="str">
        <f t="array" ref="N33">IFERROR(INDEX(dim_date!K:K,MATCH(A33,dim_date!A:A,0)),"")</f>
        <v>41</v>
      </c>
      <c r="O33" s="9" t="str">
        <f t="array" ref="O33">IFERROR(INDEX(dim_date!F:F,MATCH(A33,dim_date!A:A,0)),"")</f>
        <v>10/4-10/10</v>
      </c>
      <c r="P33" s="9" t="str">
        <f t="array" ref="P33">IFERROR(INDEX(dim_kpi!E:E,MATCH(D33,dim_kpi!C:C,0)),"")</f>
        <v>$</v>
      </c>
      <c r="Q33" s="9" t="str">
        <f t="array" ref="Q33">IFERROR(INDEX(dim_kpi!F:F,MATCH(D33,dim_kpi!C:C,0)),"")</f>
        <v>N</v>
      </c>
    </row>
    <row r="34" ht="12.75" customHeight="1">
      <c r="A34" s="20" t="str">
        <f>fact_kpi_weekly!A34</f>
        <v>261011</v>
      </c>
      <c r="B34" s="21">
        <f>fact_kpi_weekly!B34</f>
        <v>46306</v>
      </c>
      <c r="C34" s="9" t="str">
        <f>fact_kpi_weekly!C34</f>
        <v>Contracted Lives</v>
      </c>
      <c r="D34" s="9" t="str">
        <f>fact_kpi_weekly!D34</f>
        <v>Pipeline Growth - 6X Patient Count</v>
      </c>
      <c r="E34" s="9" t="str">
        <f>fact_kpi_weekly!E34</f>
        <v>Goal</v>
      </c>
      <c r="F34" s="9" t="str">
        <f>IF(fact_kpi_weekly!F34="","",fact_kpi_weekly!F34)</f>
        <v/>
      </c>
      <c r="G34" s="9" t="str">
        <f>fact_kpi_weekly!G34</f>
        <v>N/A</v>
      </c>
      <c r="H34" s="9" t="str">
        <f>fact_kpi_weekly!H34</f>
        <v>John</v>
      </c>
      <c r="I34" s="9" t="str">
        <f>fact_kpi_weekly!I34</f>
        <v>$18M</v>
      </c>
      <c r="J34" s="22">
        <f>fact_kpi_weekly!J34</f>
        <v>18000000</v>
      </c>
      <c r="K34" s="20" t="str">
        <f t="array" ref="K34">IFERROR(INDEX(dim_date!H:H,MATCH(A34,dim_date!A:A,0)),"")</f>
        <v>Oct</v>
      </c>
      <c r="L34" s="20" t="str">
        <f t="array" ref="L34">IFERROR(INDEX(dim_date!G:G,MATCH(A34,dim_date!A:A,0)),"")</f>
        <v>10</v>
      </c>
      <c r="M34" s="9" t="str">
        <f t="array" ref="M34">IFERROR(INDEX(dim_date!I:I,MATCH(A34,dim_date!A:A,0)),"")</f>
        <v>Q4</v>
      </c>
      <c r="N34" s="20" t="str">
        <f t="array" ref="N34">IFERROR(INDEX(dim_date!K:K,MATCH(A34,dim_date!A:A,0)),"")</f>
        <v>42</v>
      </c>
      <c r="O34" s="9" t="str">
        <f t="array" ref="O34">IFERROR(INDEX(dim_date!F:F,MATCH(A34,dim_date!A:A,0)),"")</f>
        <v>10/11-10/17</v>
      </c>
      <c r="P34" s="9" t="str">
        <f t="array" ref="P34">IFERROR(INDEX(dim_kpi!E:E,MATCH(D34,dim_kpi!C:C,0)),"")</f>
        <v>$</v>
      </c>
      <c r="Q34" s="9" t="str">
        <f t="array" ref="Q34">IFERROR(INDEX(dim_kpi!F:F,MATCH(D34,dim_kpi!C:C,0)),"")</f>
        <v>N</v>
      </c>
    </row>
    <row r="35" ht="12.75" customHeight="1">
      <c r="A35" s="20" t="str">
        <f>fact_kpi_weekly!A35</f>
        <v>261018</v>
      </c>
      <c r="B35" s="21">
        <f>fact_kpi_weekly!B35</f>
        <v>46313</v>
      </c>
      <c r="C35" s="9" t="str">
        <f>fact_kpi_weekly!C35</f>
        <v>Contracted Lives</v>
      </c>
      <c r="D35" s="9" t="str">
        <f>fact_kpi_weekly!D35</f>
        <v>Pipeline Growth - 6X Patient Count</v>
      </c>
      <c r="E35" s="9" t="str">
        <f>fact_kpi_weekly!E35</f>
        <v>Goal</v>
      </c>
      <c r="F35" s="9" t="str">
        <f>IF(fact_kpi_weekly!F35="","",fact_kpi_weekly!F35)</f>
        <v/>
      </c>
      <c r="G35" s="9" t="str">
        <f>fact_kpi_weekly!G35</f>
        <v>N/A</v>
      </c>
      <c r="H35" s="9" t="str">
        <f>fact_kpi_weekly!H35</f>
        <v>John</v>
      </c>
      <c r="I35" s="9" t="str">
        <f>fact_kpi_weekly!I35</f>
        <v>$18M</v>
      </c>
      <c r="J35" s="22">
        <f>fact_kpi_weekly!J35</f>
        <v>18000000</v>
      </c>
      <c r="K35" s="20" t="str">
        <f t="array" ref="K35">IFERROR(INDEX(dim_date!H:H,MATCH(A35,dim_date!A:A,0)),"")</f>
        <v>Oct</v>
      </c>
      <c r="L35" s="20" t="str">
        <f t="array" ref="L35">IFERROR(INDEX(dim_date!G:G,MATCH(A35,dim_date!A:A,0)),"")</f>
        <v>10</v>
      </c>
      <c r="M35" s="9" t="str">
        <f t="array" ref="M35">IFERROR(INDEX(dim_date!I:I,MATCH(A35,dim_date!A:A,0)),"")</f>
        <v>Q4</v>
      </c>
      <c r="N35" s="20" t="str">
        <f t="array" ref="N35">IFERROR(INDEX(dim_date!K:K,MATCH(A35,dim_date!A:A,0)),"")</f>
        <v>43</v>
      </c>
      <c r="O35" s="9" t="str">
        <f t="array" ref="O35">IFERROR(INDEX(dim_date!F:F,MATCH(A35,dim_date!A:A,0)),"")</f>
        <v>10/18-10/24</v>
      </c>
      <c r="P35" s="9" t="str">
        <f t="array" ref="P35">IFERROR(INDEX(dim_kpi!E:E,MATCH(D35,dim_kpi!C:C,0)),"")</f>
        <v>$</v>
      </c>
      <c r="Q35" s="9" t="str">
        <f t="array" ref="Q35">IFERROR(INDEX(dim_kpi!F:F,MATCH(D35,dim_kpi!C:C,0)),"")</f>
        <v>N</v>
      </c>
    </row>
    <row r="36" ht="12.75" customHeight="1">
      <c r="A36" s="20" t="str">
        <f>fact_kpi_weekly!A36</f>
        <v>261025</v>
      </c>
      <c r="B36" s="21">
        <f>fact_kpi_weekly!B36</f>
        <v>46320</v>
      </c>
      <c r="C36" s="9" t="str">
        <f>fact_kpi_weekly!C36</f>
        <v>Contracted Lives</v>
      </c>
      <c r="D36" s="9" t="str">
        <f>fact_kpi_weekly!D36</f>
        <v>Pipeline Growth - 6X Patient Count</v>
      </c>
      <c r="E36" s="9" t="str">
        <f>fact_kpi_weekly!E36</f>
        <v>Goal</v>
      </c>
      <c r="F36" s="9" t="str">
        <f>IF(fact_kpi_weekly!F36="","",fact_kpi_weekly!F36)</f>
        <v/>
      </c>
      <c r="G36" s="9" t="str">
        <f>fact_kpi_weekly!G36</f>
        <v>N/A</v>
      </c>
      <c r="H36" s="9" t="str">
        <f>fact_kpi_weekly!H36</f>
        <v>John</v>
      </c>
      <c r="I36" s="9" t="str">
        <f>fact_kpi_weekly!I36</f>
        <v>$18M</v>
      </c>
      <c r="J36" s="22">
        <f>fact_kpi_weekly!J36</f>
        <v>18000000</v>
      </c>
      <c r="K36" s="20" t="str">
        <f t="array" ref="K36">IFERROR(INDEX(dim_date!H:H,MATCH(A36,dim_date!A:A,0)),"")</f>
        <v>Oct</v>
      </c>
      <c r="L36" s="20" t="str">
        <f t="array" ref="L36">IFERROR(INDEX(dim_date!G:G,MATCH(A36,dim_date!A:A,0)),"")</f>
        <v>10</v>
      </c>
      <c r="M36" s="9" t="str">
        <f t="array" ref="M36">IFERROR(INDEX(dim_date!I:I,MATCH(A36,dim_date!A:A,0)),"")</f>
        <v>Q4</v>
      </c>
      <c r="N36" s="20" t="str">
        <f t="array" ref="N36">IFERROR(INDEX(dim_date!K:K,MATCH(A36,dim_date!A:A,0)),"")</f>
        <v>44</v>
      </c>
      <c r="O36" s="9" t="str">
        <f t="array" ref="O36">IFERROR(INDEX(dim_date!F:F,MATCH(A36,dim_date!A:A,0)),"")</f>
        <v>10/25-10/31</v>
      </c>
      <c r="P36" s="9" t="str">
        <f t="array" ref="P36">IFERROR(INDEX(dim_kpi!E:E,MATCH(D36,dim_kpi!C:C,0)),"")</f>
        <v>$</v>
      </c>
      <c r="Q36" s="9" t="str">
        <f t="array" ref="Q36">IFERROR(INDEX(dim_kpi!F:F,MATCH(D36,dim_kpi!C:C,0)),"")</f>
        <v>N</v>
      </c>
    </row>
    <row r="37" ht="12.75" customHeight="1">
      <c r="A37" s="20" t="str">
        <f>fact_kpi_weekly!A37</f>
        <v>261101</v>
      </c>
      <c r="B37" s="21">
        <f>fact_kpi_weekly!B37</f>
        <v>46327</v>
      </c>
      <c r="C37" s="9" t="str">
        <f>fact_kpi_weekly!C37</f>
        <v>Contracted Lives</v>
      </c>
      <c r="D37" s="9" t="str">
        <f>fact_kpi_weekly!D37</f>
        <v>Pipeline Growth - 6X Patient Count</v>
      </c>
      <c r="E37" s="9" t="str">
        <f>fact_kpi_weekly!E37</f>
        <v>Goal</v>
      </c>
      <c r="F37" s="9" t="str">
        <f>IF(fact_kpi_weekly!F37="","",fact_kpi_weekly!F37)</f>
        <v/>
      </c>
      <c r="G37" s="9" t="str">
        <f>fact_kpi_weekly!G37</f>
        <v>N/A</v>
      </c>
      <c r="H37" s="9" t="str">
        <f>fact_kpi_weekly!H37</f>
        <v>John</v>
      </c>
      <c r="I37" s="9" t="str">
        <f>fact_kpi_weekly!I37</f>
        <v>$19M</v>
      </c>
      <c r="J37" s="22">
        <f>fact_kpi_weekly!J37</f>
        <v>19000000</v>
      </c>
      <c r="K37" s="20" t="str">
        <f t="array" ref="K37">IFERROR(INDEX(dim_date!H:H,MATCH(A37,dim_date!A:A,0)),"")</f>
        <v>Nov</v>
      </c>
      <c r="L37" s="20" t="str">
        <f t="array" ref="L37">IFERROR(INDEX(dim_date!G:G,MATCH(A37,dim_date!A:A,0)),"")</f>
        <v>11</v>
      </c>
      <c r="M37" s="9" t="str">
        <f t="array" ref="M37">IFERROR(INDEX(dim_date!I:I,MATCH(A37,dim_date!A:A,0)),"")</f>
        <v>Q4</v>
      </c>
      <c r="N37" s="20" t="str">
        <f t="array" ref="N37">IFERROR(INDEX(dim_date!K:K,MATCH(A37,dim_date!A:A,0)),"")</f>
        <v>45</v>
      </c>
      <c r="O37" s="9" t="str">
        <f t="array" ref="O37">IFERROR(INDEX(dim_date!F:F,MATCH(A37,dim_date!A:A,0)),"")</f>
        <v>11/1-11/7</v>
      </c>
      <c r="P37" s="9" t="str">
        <f t="array" ref="P37">IFERROR(INDEX(dim_kpi!E:E,MATCH(D37,dim_kpi!C:C,0)),"")</f>
        <v>$</v>
      </c>
      <c r="Q37" s="9" t="str">
        <f t="array" ref="Q37">IFERROR(INDEX(dim_kpi!F:F,MATCH(D37,dim_kpi!C:C,0)),"")</f>
        <v>N</v>
      </c>
    </row>
    <row r="38" ht="12.75" customHeight="1">
      <c r="A38" s="20" t="str">
        <f>fact_kpi_weekly!A38</f>
        <v>261108</v>
      </c>
      <c r="B38" s="21">
        <f>fact_kpi_weekly!B38</f>
        <v>46334</v>
      </c>
      <c r="C38" s="9" t="str">
        <f>fact_kpi_weekly!C38</f>
        <v>Contracted Lives</v>
      </c>
      <c r="D38" s="9" t="str">
        <f>fact_kpi_weekly!D38</f>
        <v>Pipeline Growth - 6X Patient Count</v>
      </c>
      <c r="E38" s="9" t="str">
        <f>fact_kpi_weekly!E38</f>
        <v>Goal</v>
      </c>
      <c r="F38" s="9" t="str">
        <f>IF(fact_kpi_weekly!F38="","",fact_kpi_weekly!F38)</f>
        <v/>
      </c>
      <c r="G38" s="9" t="str">
        <f>fact_kpi_weekly!G38</f>
        <v>N/A</v>
      </c>
      <c r="H38" s="9" t="str">
        <f>fact_kpi_weekly!H38</f>
        <v>John</v>
      </c>
      <c r="I38" s="9" t="str">
        <f>fact_kpi_weekly!I38</f>
        <v>$19M</v>
      </c>
      <c r="J38" s="22">
        <f>fact_kpi_weekly!J38</f>
        <v>19000000</v>
      </c>
      <c r="K38" s="20" t="str">
        <f t="array" ref="K38">IFERROR(INDEX(dim_date!H:H,MATCH(A38,dim_date!A:A,0)),"")</f>
        <v>Nov</v>
      </c>
      <c r="L38" s="20" t="str">
        <f t="array" ref="L38">IFERROR(INDEX(dim_date!G:G,MATCH(A38,dim_date!A:A,0)),"")</f>
        <v>11</v>
      </c>
      <c r="M38" s="9" t="str">
        <f t="array" ref="M38">IFERROR(INDEX(dim_date!I:I,MATCH(A38,dim_date!A:A,0)),"")</f>
        <v>Q4</v>
      </c>
      <c r="N38" s="20" t="str">
        <f t="array" ref="N38">IFERROR(INDEX(dim_date!K:K,MATCH(A38,dim_date!A:A,0)),"")</f>
        <v>46</v>
      </c>
      <c r="O38" s="9" t="str">
        <f t="array" ref="O38">IFERROR(INDEX(dim_date!F:F,MATCH(A38,dim_date!A:A,0)),"")</f>
        <v>11/8-11/14</v>
      </c>
      <c r="P38" s="9" t="str">
        <f t="array" ref="P38">IFERROR(INDEX(dim_kpi!E:E,MATCH(D38,dim_kpi!C:C,0)),"")</f>
        <v>$</v>
      </c>
      <c r="Q38" s="9" t="str">
        <f t="array" ref="Q38">IFERROR(INDEX(dim_kpi!F:F,MATCH(D38,dim_kpi!C:C,0)),"")</f>
        <v>N</v>
      </c>
    </row>
    <row r="39" ht="12.75" customHeight="1">
      <c r="A39" s="20" t="str">
        <f>fact_kpi_weekly!A39</f>
        <v>261115</v>
      </c>
      <c r="B39" s="21">
        <f>fact_kpi_weekly!B39</f>
        <v>46341</v>
      </c>
      <c r="C39" s="9" t="str">
        <f>fact_kpi_weekly!C39</f>
        <v>Contracted Lives</v>
      </c>
      <c r="D39" s="9" t="str">
        <f>fact_kpi_weekly!D39</f>
        <v>Pipeline Growth - 6X Patient Count</v>
      </c>
      <c r="E39" s="9" t="str">
        <f>fact_kpi_weekly!E39</f>
        <v>Goal</v>
      </c>
      <c r="F39" s="9" t="str">
        <f>IF(fact_kpi_weekly!F39="","",fact_kpi_weekly!F39)</f>
        <v/>
      </c>
      <c r="G39" s="9" t="str">
        <f>fact_kpi_weekly!G39</f>
        <v>N/A</v>
      </c>
      <c r="H39" s="9" t="str">
        <f>fact_kpi_weekly!H39</f>
        <v>John</v>
      </c>
      <c r="I39" s="9" t="str">
        <f>fact_kpi_weekly!I39</f>
        <v>$19M</v>
      </c>
      <c r="J39" s="22">
        <f>fact_kpi_weekly!J39</f>
        <v>19000000</v>
      </c>
      <c r="K39" s="20" t="str">
        <f t="array" ref="K39">IFERROR(INDEX(dim_date!H:H,MATCH(A39,dim_date!A:A,0)),"")</f>
        <v>Nov</v>
      </c>
      <c r="L39" s="20" t="str">
        <f t="array" ref="L39">IFERROR(INDEX(dim_date!G:G,MATCH(A39,dim_date!A:A,0)),"")</f>
        <v>11</v>
      </c>
      <c r="M39" s="9" t="str">
        <f t="array" ref="M39">IFERROR(INDEX(dim_date!I:I,MATCH(A39,dim_date!A:A,0)),"")</f>
        <v>Q4</v>
      </c>
      <c r="N39" s="20" t="str">
        <f t="array" ref="N39">IFERROR(INDEX(dim_date!K:K,MATCH(A39,dim_date!A:A,0)),"")</f>
        <v>47</v>
      </c>
      <c r="O39" s="9" t="str">
        <f t="array" ref="O39">IFERROR(INDEX(dim_date!F:F,MATCH(A39,dim_date!A:A,0)),"")</f>
        <v>11/15-11/21</v>
      </c>
      <c r="P39" s="9" t="str">
        <f t="array" ref="P39">IFERROR(INDEX(dim_kpi!E:E,MATCH(D39,dim_kpi!C:C,0)),"")</f>
        <v>$</v>
      </c>
      <c r="Q39" s="9" t="str">
        <f t="array" ref="Q39">IFERROR(INDEX(dim_kpi!F:F,MATCH(D39,dim_kpi!C:C,0)),"")</f>
        <v>N</v>
      </c>
    </row>
    <row r="40" ht="12.75" customHeight="1">
      <c r="A40" s="20" t="str">
        <f>fact_kpi_weekly!A40</f>
        <v>261122</v>
      </c>
      <c r="B40" s="21">
        <f>fact_kpi_weekly!B40</f>
        <v>46348</v>
      </c>
      <c r="C40" s="9" t="str">
        <f>fact_kpi_weekly!C40</f>
        <v>Contracted Lives</v>
      </c>
      <c r="D40" s="9" t="str">
        <f>fact_kpi_weekly!D40</f>
        <v>Pipeline Growth - 6X Patient Count</v>
      </c>
      <c r="E40" s="9" t="str">
        <f>fact_kpi_weekly!E40</f>
        <v>Goal</v>
      </c>
      <c r="F40" s="9" t="str">
        <f>IF(fact_kpi_weekly!F40="","",fact_kpi_weekly!F40)</f>
        <v/>
      </c>
      <c r="G40" s="9" t="str">
        <f>fact_kpi_weekly!G40</f>
        <v>N/A</v>
      </c>
      <c r="H40" s="9" t="str">
        <f>fact_kpi_weekly!H40</f>
        <v>John</v>
      </c>
      <c r="I40" s="9" t="str">
        <f>fact_kpi_weekly!I40</f>
        <v>$19M</v>
      </c>
      <c r="J40" s="22">
        <f>fact_kpi_weekly!J40</f>
        <v>19000000</v>
      </c>
      <c r="K40" s="20" t="str">
        <f t="array" ref="K40">IFERROR(INDEX(dim_date!H:H,MATCH(A40,dim_date!A:A,0)),"")</f>
        <v>Nov</v>
      </c>
      <c r="L40" s="20" t="str">
        <f t="array" ref="L40">IFERROR(INDEX(dim_date!G:G,MATCH(A40,dim_date!A:A,0)),"")</f>
        <v>11</v>
      </c>
      <c r="M40" s="9" t="str">
        <f t="array" ref="M40">IFERROR(INDEX(dim_date!I:I,MATCH(A40,dim_date!A:A,0)),"")</f>
        <v>Q4</v>
      </c>
      <c r="N40" s="20" t="str">
        <f t="array" ref="N40">IFERROR(INDEX(dim_date!K:K,MATCH(A40,dim_date!A:A,0)),"")</f>
        <v>48</v>
      </c>
      <c r="O40" s="9" t="str">
        <f t="array" ref="O40">IFERROR(INDEX(dim_date!F:F,MATCH(A40,dim_date!A:A,0)),"")</f>
        <v>11/22-11/28</v>
      </c>
      <c r="P40" s="9" t="str">
        <f t="array" ref="P40">IFERROR(INDEX(dim_kpi!E:E,MATCH(D40,dim_kpi!C:C,0)),"")</f>
        <v>$</v>
      </c>
      <c r="Q40" s="9" t="str">
        <f t="array" ref="Q40">IFERROR(INDEX(dim_kpi!F:F,MATCH(D40,dim_kpi!C:C,0)),"")</f>
        <v>N</v>
      </c>
    </row>
    <row r="41" ht="12.75" customHeight="1">
      <c r="A41" s="20" t="str">
        <f>fact_kpi_weekly!A41</f>
        <v>261129</v>
      </c>
      <c r="B41" s="21">
        <f>fact_kpi_weekly!B41</f>
        <v>46355</v>
      </c>
      <c r="C41" s="9" t="str">
        <f>fact_kpi_weekly!C41</f>
        <v>Contracted Lives</v>
      </c>
      <c r="D41" s="9" t="str">
        <f>fact_kpi_weekly!D41</f>
        <v>Pipeline Growth - 6X Patient Count</v>
      </c>
      <c r="E41" s="9" t="str">
        <f>fact_kpi_weekly!E41</f>
        <v>Goal</v>
      </c>
      <c r="F41" s="9" t="str">
        <f>IF(fact_kpi_weekly!F41="","",fact_kpi_weekly!F41)</f>
        <v/>
      </c>
      <c r="G41" s="9" t="str">
        <f>fact_kpi_weekly!G41</f>
        <v>N/A</v>
      </c>
      <c r="H41" s="9" t="str">
        <f>fact_kpi_weekly!H41</f>
        <v>John</v>
      </c>
      <c r="I41" s="9" t="str">
        <f>fact_kpi_weekly!I41</f>
        <v>$19M</v>
      </c>
      <c r="J41" s="22">
        <f>fact_kpi_weekly!J41</f>
        <v>19000000</v>
      </c>
      <c r="K41" s="20" t="str">
        <f t="array" ref="K41">IFERROR(INDEX(dim_date!H:H,MATCH(A41,dim_date!A:A,0)),"")</f>
        <v>Nov</v>
      </c>
      <c r="L41" s="20" t="str">
        <f t="array" ref="L41">IFERROR(INDEX(dim_date!G:G,MATCH(A41,dim_date!A:A,0)),"")</f>
        <v>11</v>
      </c>
      <c r="M41" s="9" t="str">
        <f t="array" ref="M41">IFERROR(INDEX(dim_date!I:I,MATCH(A41,dim_date!A:A,0)),"")</f>
        <v>Q4</v>
      </c>
      <c r="N41" s="20" t="str">
        <f t="array" ref="N41">IFERROR(INDEX(dim_date!K:K,MATCH(A41,dim_date!A:A,0)),"")</f>
        <v>49</v>
      </c>
      <c r="O41" s="9" t="str">
        <f t="array" ref="O41">IFERROR(INDEX(dim_date!F:F,MATCH(A41,dim_date!A:A,0)),"")</f>
        <v>11/29-12/5</v>
      </c>
      <c r="P41" s="9" t="str">
        <f t="array" ref="P41">IFERROR(INDEX(dim_kpi!E:E,MATCH(D41,dim_kpi!C:C,0)),"")</f>
        <v>$</v>
      </c>
      <c r="Q41" s="9" t="str">
        <f t="array" ref="Q41">IFERROR(INDEX(dim_kpi!F:F,MATCH(D41,dim_kpi!C:C,0)),"")</f>
        <v>N</v>
      </c>
    </row>
    <row r="42" ht="12.75" customHeight="1">
      <c r="A42" s="20" t="str">
        <f>fact_kpi_weekly!A42</f>
        <v>261206</v>
      </c>
      <c r="B42" s="21">
        <f>fact_kpi_weekly!B42</f>
        <v>46362</v>
      </c>
      <c r="C42" s="9" t="str">
        <f>fact_kpi_weekly!C42</f>
        <v>Contracted Lives</v>
      </c>
      <c r="D42" s="9" t="str">
        <f>fact_kpi_weekly!D42</f>
        <v>Pipeline Growth - 6X Patient Count</v>
      </c>
      <c r="E42" s="9" t="str">
        <f>fact_kpi_weekly!E42</f>
        <v>Goal</v>
      </c>
      <c r="F42" s="9" t="str">
        <f>IF(fact_kpi_weekly!F42="","",fact_kpi_weekly!F42)</f>
        <v/>
      </c>
      <c r="G42" s="9" t="str">
        <f>fact_kpi_weekly!G42</f>
        <v>N/A</v>
      </c>
      <c r="H42" s="9" t="str">
        <f>fact_kpi_weekly!H42</f>
        <v>John</v>
      </c>
      <c r="I42" s="9" t="str">
        <f>fact_kpi_weekly!I42</f>
        <v>$20M</v>
      </c>
      <c r="J42" s="22">
        <f>fact_kpi_weekly!J42</f>
        <v>20000000</v>
      </c>
      <c r="K42" s="20" t="str">
        <f t="array" ref="K42">IFERROR(INDEX(dim_date!H:H,MATCH(A42,dim_date!A:A,0)),"")</f>
        <v>Dec</v>
      </c>
      <c r="L42" s="20" t="str">
        <f t="array" ref="L42">IFERROR(INDEX(dim_date!G:G,MATCH(A42,dim_date!A:A,0)),"")</f>
        <v>12</v>
      </c>
      <c r="M42" s="9" t="str">
        <f t="array" ref="M42">IFERROR(INDEX(dim_date!I:I,MATCH(A42,dim_date!A:A,0)),"")</f>
        <v>Q4</v>
      </c>
      <c r="N42" s="20" t="str">
        <f t="array" ref="N42">IFERROR(INDEX(dim_date!K:K,MATCH(A42,dim_date!A:A,0)),"")</f>
        <v>50</v>
      </c>
      <c r="O42" s="9" t="str">
        <f t="array" ref="O42">IFERROR(INDEX(dim_date!F:F,MATCH(A42,dim_date!A:A,0)),"")</f>
        <v>12/6-12/12</v>
      </c>
      <c r="P42" s="9" t="str">
        <f t="array" ref="P42">IFERROR(INDEX(dim_kpi!E:E,MATCH(D42,dim_kpi!C:C,0)),"")</f>
        <v>$</v>
      </c>
      <c r="Q42" s="9" t="str">
        <f t="array" ref="Q42">IFERROR(INDEX(dim_kpi!F:F,MATCH(D42,dim_kpi!C:C,0)),"")</f>
        <v>N</v>
      </c>
    </row>
    <row r="43" ht="12.75" customHeight="1">
      <c r="A43" s="20" t="str">
        <f>fact_kpi_weekly!A43</f>
        <v>261213</v>
      </c>
      <c r="B43" s="21">
        <f>fact_kpi_weekly!B43</f>
        <v>46369</v>
      </c>
      <c r="C43" s="9" t="str">
        <f>fact_kpi_weekly!C43</f>
        <v>Contracted Lives</v>
      </c>
      <c r="D43" s="9" t="str">
        <f>fact_kpi_weekly!D43</f>
        <v>Pipeline Growth - 6X Patient Count</v>
      </c>
      <c r="E43" s="9" t="str">
        <f>fact_kpi_weekly!E43</f>
        <v>Goal</v>
      </c>
      <c r="F43" s="9" t="str">
        <f>IF(fact_kpi_weekly!F43="","",fact_kpi_weekly!F43)</f>
        <v/>
      </c>
      <c r="G43" s="9" t="str">
        <f>fact_kpi_weekly!G43</f>
        <v>N/A</v>
      </c>
      <c r="H43" s="9" t="str">
        <f>fact_kpi_weekly!H43</f>
        <v>John</v>
      </c>
      <c r="I43" s="9" t="str">
        <f>fact_kpi_weekly!I43</f>
        <v>$20M</v>
      </c>
      <c r="J43" s="22">
        <f>fact_kpi_weekly!J43</f>
        <v>20000000</v>
      </c>
      <c r="K43" s="20" t="str">
        <f t="array" ref="K43">IFERROR(INDEX(dim_date!H:H,MATCH(A43,dim_date!A:A,0)),"")</f>
        <v>Dec</v>
      </c>
      <c r="L43" s="20" t="str">
        <f t="array" ref="L43">IFERROR(INDEX(dim_date!G:G,MATCH(A43,dim_date!A:A,0)),"")</f>
        <v>12</v>
      </c>
      <c r="M43" s="9" t="str">
        <f t="array" ref="M43">IFERROR(INDEX(dim_date!I:I,MATCH(A43,dim_date!A:A,0)),"")</f>
        <v>Q4</v>
      </c>
      <c r="N43" s="20" t="str">
        <f t="array" ref="N43">IFERROR(INDEX(dim_date!K:K,MATCH(A43,dim_date!A:A,0)),"")</f>
        <v>51</v>
      </c>
      <c r="O43" s="9" t="str">
        <f t="array" ref="O43">IFERROR(INDEX(dim_date!F:F,MATCH(A43,dim_date!A:A,0)),"")</f>
        <v>12/13-12/19</v>
      </c>
      <c r="P43" s="9" t="str">
        <f t="array" ref="P43">IFERROR(INDEX(dim_kpi!E:E,MATCH(D43,dim_kpi!C:C,0)),"")</f>
        <v>$</v>
      </c>
      <c r="Q43" s="9" t="str">
        <f t="array" ref="Q43">IFERROR(INDEX(dim_kpi!F:F,MATCH(D43,dim_kpi!C:C,0)),"")</f>
        <v>N</v>
      </c>
    </row>
    <row r="44" ht="12.75" customHeight="1">
      <c r="A44" s="20" t="str">
        <f>fact_kpi_weekly!A44</f>
        <v>261220</v>
      </c>
      <c r="B44" s="21">
        <f>fact_kpi_weekly!B44</f>
        <v>46376</v>
      </c>
      <c r="C44" s="9" t="str">
        <f>fact_kpi_weekly!C44</f>
        <v>Contracted Lives</v>
      </c>
      <c r="D44" s="9" t="str">
        <f>fact_kpi_weekly!D44</f>
        <v>Pipeline Growth - 6X Patient Count</v>
      </c>
      <c r="E44" s="9" t="str">
        <f>fact_kpi_weekly!E44</f>
        <v>Goal</v>
      </c>
      <c r="F44" s="9" t="str">
        <f>IF(fact_kpi_weekly!F44="","",fact_kpi_weekly!F44)</f>
        <v/>
      </c>
      <c r="G44" s="9" t="str">
        <f>fact_kpi_weekly!G44</f>
        <v>N/A</v>
      </c>
      <c r="H44" s="9" t="str">
        <f>fact_kpi_weekly!H44</f>
        <v>John</v>
      </c>
      <c r="I44" s="9" t="str">
        <f>fact_kpi_weekly!I44</f>
        <v>$20M</v>
      </c>
      <c r="J44" s="22">
        <f>fact_kpi_weekly!J44</f>
        <v>20000000</v>
      </c>
      <c r="K44" s="20" t="str">
        <f t="array" ref="K44">IFERROR(INDEX(dim_date!H:H,MATCH(A44,dim_date!A:A,0)),"")</f>
        <v>Dec</v>
      </c>
      <c r="L44" s="20" t="str">
        <f t="array" ref="L44">IFERROR(INDEX(dim_date!G:G,MATCH(A44,dim_date!A:A,0)),"")</f>
        <v>12</v>
      </c>
      <c r="M44" s="9" t="str">
        <f t="array" ref="M44">IFERROR(INDEX(dim_date!I:I,MATCH(A44,dim_date!A:A,0)),"")</f>
        <v>Q4</v>
      </c>
      <c r="N44" s="20" t="str">
        <f t="array" ref="N44">IFERROR(INDEX(dim_date!K:K,MATCH(A44,dim_date!A:A,0)),"")</f>
        <v>52</v>
      </c>
      <c r="O44" s="9" t="str">
        <f t="array" ref="O44">IFERROR(INDEX(dim_date!F:F,MATCH(A44,dim_date!A:A,0)),"")</f>
        <v>12/20-12/26</v>
      </c>
      <c r="P44" s="9" t="str">
        <f t="array" ref="P44">IFERROR(INDEX(dim_kpi!E:E,MATCH(D44,dim_kpi!C:C,0)),"")</f>
        <v>$</v>
      </c>
      <c r="Q44" s="9" t="str">
        <f t="array" ref="Q44">IFERROR(INDEX(dim_kpi!F:F,MATCH(D44,dim_kpi!C:C,0)),"")</f>
        <v>N</v>
      </c>
    </row>
    <row r="45" ht="12.75" customHeight="1">
      <c r="A45" s="20" t="str">
        <f>fact_kpi_weekly!A45</f>
        <v>261227</v>
      </c>
      <c r="B45" s="21">
        <f>fact_kpi_weekly!B45</f>
        <v>46383</v>
      </c>
      <c r="C45" s="9" t="str">
        <f>fact_kpi_weekly!C45</f>
        <v>Contracted Lives</v>
      </c>
      <c r="D45" s="9" t="str">
        <f>fact_kpi_weekly!D45</f>
        <v>Pipeline Growth - 6X Patient Count</v>
      </c>
      <c r="E45" s="9" t="str">
        <f>fact_kpi_weekly!E45</f>
        <v>Goal</v>
      </c>
      <c r="F45" s="9" t="str">
        <f>IF(fact_kpi_weekly!F45="","",fact_kpi_weekly!F45)</f>
        <v/>
      </c>
      <c r="G45" s="9" t="str">
        <f>fact_kpi_weekly!G45</f>
        <v>N/A</v>
      </c>
      <c r="H45" s="9" t="str">
        <f>fact_kpi_weekly!H45</f>
        <v>John</v>
      </c>
      <c r="I45" s="9" t="str">
        <f>fact_kpi_weekly!I45</f>
        <v>$20M</v>
      </c>
      <c r="J45" s="22">
        <f>fact_kpi_weekly!J45</f>
        <v>20000000</v>
      </c>
      <c r="K45" s="20" t="str">
        <f t="array" ref="K45">IFERROR(INDEX(dim_date!H:H,MATCH(A45,dim_date!A:A,0)),"")</f>
        <v>Dec</v>
      </c>
      <c r="L45" s="20" t="str">
        <f t="array" ref="L45">IFERROR(INDEX(dim_date!G:G,MATCH(A45,dim_date!A:A,0)),"")</f>
        <v>12</v>
      </c>
      <c r="M45" s="9" t="str">
        <f t="array" ref="M45">IFERROR(INDEX(dim_date!I:I,MATCH(A45,dim_date!A:A,0)),"")</f>
        <v>Q4</v>
      </c>
      <c r="N45" s="20" t="str">
        <f t="array" ref="N45">IFERROR(INDEX(dim_date!K:K,MATCH(A45,dim_date!A:A,0)),"")</f>
        <v>53</v>
      </c>
      <c r="O45" s="9" t="str">
        <f t="array" ref="O45">IFERROR(INDEX(dim_date!F:F,MATCH(A45,dim_date!A:A,0)),"")</f>
        <v>12/27-1/2</v>
      </c>
      <c r="P45" s="9" t="str">
        <f t="array" ref="P45">IFERROR(INDEX(dim_kpi!E:E,MATCH(D45,dim_kpi!C:C,0)),"")</f>
        <v>$</v>
      </c>
      <c r="Q45" s="9" t="str">
        <f t="array" ref="Q45">IFERROR(INDEX(dim_kpi!F:F,MATCH(D45,dim_kpi!C:C,0)),"")</f>
        <v>N</v>
      </c>
    </row>
    <row r="46" ht="12.75" customHeight="1">
      <c r="A46" s="20" t="str">
        <f>fact_kpi_weekly!A46</f>
        <v>260301</v>
      </c>
      <c r="B46" s="21">
        <f>fact_kpi_weekly!B46</f>
        <v>46082</v>
      </c>
      <c r="C46" s="9" t="str">
        <f>fact_kpi_weekly!C46</f>
        <v>Contracted Lives</v>
      </c>
      <c r="D46" s="9" t="str">
        <f>fact_kpi_weekly!D46</f>
        <v>Pipeline Growth - 6X Patient Count</v>
      </c>
      <c r="E46" s="9" t="str">
        <f>fact_kpi_weekly!E46</f>
        <v>Actual</v>
      </c>
      <c r="F46" s="9" t="str">
        <f>IF(fact_kpi_weekly!F46="","",fact_kpi_weekly!F46)</f>
        <v/>
      </c>
      <c r="G46" s="9" t="str">
        <f>fact_kpi_weekly!G46</f>
        <v>N/A</v>
      </c>
      <c r="H46" s="9" t="str">
        <f>fact_kpi_weekly!H46</f>
        <v>John</v>
      </c>
      <c r="I46" s="9" t="str">
        <f>fact_kpi_weekly!I46</f>
        <v>$15M</v>
      </c>
      <c r="J46" s="22">
        <f>fact_kpi_weekly!J46</f>
        <v>15000000</v>
      </c>
      <c r="K46" s="20" t="str">
        <f t="array" ref="K46">IFERROR(INDEX(dim_date!H:H,MATCH(A46,dim_date!A:A,0)),"")</f>
        <v>Mar</v>
      </c>
      <c r="L46" s="20" t="str">
        <f t="array" ref="L46">IFERROR(INDEX(dim_date!G:G,MATCH(A46,dim_date!A:A,0)),"")</f>
        <v>03</v>
      </c>
      <c r="M46" s="9" t="str">
        <f t="array" ref="M46">IFERROR(INDEX(dim_date!I:I,MATCH(A46,dim_date!A:A,0)),"")</f>
        <v>Q1</v>
      </c>
      <c r="N46" s="20" t="str">
        <f t="array" ref="N46">IFERROR(INDEX(dim_date!K:K,MATCH(A46,dim_date!A:A,0)),"")</f>
        <v>10</v>
      </c>
      <c r="O46" s="9" t="str">
        <f t="array" ref="O46">IFERROR(INDEX(dim_date!F:F,MATCH(A46,dim_date!A:A,0)),"")</f>
        <v>3/1-3/7</v>
      </c>
      <c r="P46" s="9" t="str">
        <f t="array" ref="P46">IFERROR(INDEX(dim_kpi!E:E,MATCH(D46,dim_kpi!C:C,0)),"")</f>
        <v>$</v>
      </c>
      <c r="Q46" s="9" t="str">
        <f t="array" ref="Q46">IFERROR(INDEX(dim_kpi!F:F,MATCH(D46,dim_kpi!C:C,0)),"")</f>
        <v>N</v>
      </c>
    </row>
    <row r="47" ht="12.75" customHeight="1">
      <c r="A47" s="20" t="str">
        <f>fact_kpi_weekly!A47</f>
        <v>260315</v>
      </c>
      <c r="B47" s="21">
        <f>fact_kpi_weekly!B47</f>
        <v>46096</v>
      </c>
      <c r="C47" s="9" t="str">
        <f>fact_kpi_weekly!C47</f>
        <v>Contracted Lives</v>
      </c>
      <c r="D47" s="9" t="str">
        <f>fact_kpi_weekly!D47</f>
        <v>Pipeline Growth - 6X Patient Count</v>
      </c>
      <c r="E47" s="9" t="str">
        <f>fact_kpi_weekly!E47</f>
        <v>Actual</v>
      </c>
      <c r="F47" s="9" t="str">
        <f>IF(fact_kpi_weekly!F47="","",fact_kpi_weekly!F47)</f>
        <v/>
      </c>
      <c r="G47" s="9" t="str">
        <f>fact_kpi_weekly!G47</f>
        <v>N/A</v>
      </c>
      <c r="H47" s="9" t="str">
        <f>fact_kpi_weekly!H47</f>
        <v>John</v>
      </c>
      <c r="I47" s="9" t="str">
        <f>fact_kpi_weekly!I47</f>
        <v>$14.7M</v>
      </c>
      <c r="J47" s="22">
        <f>fact_kpi_weekly!J47</f>
        <v>14700000</v>
      </c>
      <c r="K47" s="20" t="str">
        <f t="array" ref="K47">IFERROR(INDEX(dim_date!H:H,MATCH(A47,dim_date!A:A,0)),"")</f>
        <v>Mar</v>
      </c>
      <c r="L47" s="20" t="str">
        <f t="array" ref="L47">IFERROR(INDEX(dim_date!G:G,MATCH(A47,dim_date!A:A,0)),"")</f>
        <v>03</v>
      </c>
      <c r="M47" s="9" t="str">
        <f t="array" ref="M47">IFERROR(INDEX(dim_date!I:I,MATCH(A47,dim_date!A:A,0)),"")</f>
        <v>Q1</v>
      </c>
      <c r="N47" s="20" t="str">
        <f t="array" ref="N47">IFERROR(INDEX(dim_date!K:K,MATCH(A47,dim_date!A:A,0)),"")</f>
        <v>12</v>
      </c>
      <c r="O47" s="9" t="str">
        <f t="array" ref="O47">IFERROR(INDEX(dim_date!F:F,MATCH(A47,dim_date!A:A,0)),"")</f>
        <v>3/15-3/21</v>
      </c>
      <c r="P47" s="9" t="str">
        <f t="array" ref="P47">IFERROR(INDEX(dim_kpi!E:E,MATCH(D47,dim_kpi!C:C,0)),"")</f>
        <v>$</v>
      </c>
      <c r="Q47" s="9" t="str">
        <f t="array" ref="Q47">IFERROR(INDEX(dim_kpi!F:F,MATCH(D47,dim_kpi!C:C,0)),"")</f>
        <v>N</v>
      </c>
    </row>
    <row r="48" ht="12.75" customHeight="1">
      <c r="A48" s="20" t="str">
        <f>fact_kpi_weekly!A48</f>
        <v>260301</v>
      </c>
      <c r="B48" s="21">
        <f>fact_kpi_weekly!B48</f>
        <v>46082</v>
      </c>
      <c r="C48" s="9" t="str">
        <f>fact_kpi_weekly!C48</f>
        <v>Contracted Lives</v>
      </c>
      <c r="D48" s="9" t="str">
        <f>fact_kpi_weekly!D48</f>
        <v>Pipeline Growth - 6X Revenue</v>
      </c>
      <c r="E48" s="9" t="str">
        <f>fact_kpi_weekly!E48</f>
        <v>Goal</v>
      </c>
      <c r="F48" s="9" t="str">
        <f>IF(fact_kpi_weekly!F48="","",fact_kpi_weekly!F48)</f>
        <v/>
      </c>
      <c r="G48" s="9" t="str">
        <f>fact_kpi_weekly!G48</f>
        <v>N/A</v>
      </c>
      <c r="H48" s="9" t="str">
        <f>fact_kpi_weekly!H48</f>
        <v>John</v>
      </c>
      <c r="I48" s="9" t="str">
        <f>fact_kpi_weekly!I48</f>
        <v>$23.0M</v>
      </c>
      <c r="J48" s="22">
        <f>fact_kpi_weekly!J48</f>
        <v>23000000</v>
      </c>
      <c r="K48" s="20" t="str">
        <f t="array" ref="K48">IFERROR(INDEX(dim_date!H:H,MATCH(A48,dim_date!A:A,0)),"")</f>
        <v>Mar</v>
      </c>
      <c r="L48" s="20" t="str">
        <f t="array" ref="L48">IFERROR(INDEX(dim_date!G:G,MATCH(A48,dim_date!A:A,0)),"")</f>
        <v>03</v>
      </c>
      <c r="M48" s="9" t="str">
        <f t="array" ref="M48">IFERROR(INDEX(dim_date!I:I,MATCH(A48,dim_date!A:A,0)),"")</f>
        <v>Q1</v>
      </c>
      <c r="N48" s="20" t="str">
        <f t="array" ref="N48">IFERROR(INDEX(dim_date!K:K,MATCH(A48,dim_date!A:A,0)),"")</f>
        <v>10</v>
      </c>
      <c r="O48" s="9" t="str">
        <f t="array" ref="O48">IFERROR(INDEX(dim_date!F:F,MATCH(A48,dim_date!A:A,0)),"")</f>
        <v>3/1-3/7</v>
      </c>
      <c r="P48" s="9" t="str">
        <f t="array" ref="P48">IFERROR(INDEX(dim_kpi!E:E,MATCH(D48,dim_kpi!C:C,0)),"")</f>
        <v>$</v>
      </c>
      <c r="Q48" s="9" t="str">
        <f t="array" ref="Q48">IFERROR(INDEX(dim_kpi!F:F,MATCH(D48,dim_kpi!C:C,0)),"")</f>
        <v>N</v>
      </c>
    </row>
    <row r="49" ht="12.75" customHeight="1">
      <c r="A49" s="20" t="str">
        <f>fact_kpi_weekly!A49</f>
        <v>260308</v>
      </c>
      <c r="B49" s="21">
        <f>fact_kpi_weekly!B49</f>
        <v>46089</v>
      </c>
      <c r="C49" s="9" t="str">
        <f>fact_kpi_weekly!C49</f>
        <v>Contracted Lives</v>
      </c>
      <c r="D49" s="9" t="str">
        <f>fact_kpi_weekly!D49</f>
        <v>Pipeline Growth - 6X Revenue</v>
      </c>
      <c r="E49" s="9" t="str">
        <f>fact_kpi_weekly!E49</f>
        <v>Goal</v>
      </c>
      <c r="F49" s="9" t="str">
        <f>IF(fact_kpi_weekly!F49="","",fact_kpi_weekly!F49)</f>
        <v/>
      </c>
      <c r="G49" s="9" t="str">
        <f>fact_kpi_weekly!G49</f>
        <v>N/A</v>
      </c>
      <c r="H49" s="9" t="str">
        <f>fact_kpi_weekly!H49</f>
        <v>John</v>
      </c>
      <c r="I49" s="9" t="str">
        <f>fact_kpi_weekly!I49</f>
        <v>$23.0M</v>
      </c>
      <c r="J49" s="22">
        <f>fact_kpi_weekly!J49</f>
        <v>23000000</v>
      </c>
      <c r="K49" s="20" t="str">
        <f t="array" ref="K49">IFERROR(INDEX(dim_date!H:H,MATCH(A49,dim_date!A:A,0)),"")</f>
        <v>Mar</v>
      </c>
      <c r="L49" s="20" t="str">
        <f t="array" ref="L49">IFERROR(INDEX(dim_date!G:G,MATCH(A49,dim_date!A:A,0)),"")</f>
        <v>03</v>
      </c>
      <c r="M49" s="9" t="str">
        <f t="array" ref="M49">IFERROR(INDEX(dim_date!I:I,MATCH(A49,dim_date!A:A,0)),"")</f>
        <v>Q1</v>
      </c>
      <c r="N49" s="20" t="str">
        <f t="array" ref="N49">IFERROR(INDEX(dim_date!K:K,MATCH(A49,dim_date!A:A,0)),"")</f>
        <v>11</v>
      </c>
      <c r="O49" s="9" t="str">
        <f t="array" ref="O49">IFERROR(INDEX(dim_date!F:F,MATCH(A49,dim_date!A:A,0)),"")</f>
        <v>3/8-3/14</v>
      </c>
      <c r="P49" s="9" t="str">
        <f t="array" ref="P49">IFERROR(INDEX(dim_kpi!E:E,MATCH(D49,dim_kpi!C:C,0)),"")</f>
        <v>$</v>
      </c>
      <c r="Q49" s="9" t="str">
        <f t="array" ref="Q49">IFERROR(INDEX(dim_kpi!F:F,MATCH(D49,dim_kpi!C:C,0)),"")</f>
        <v>N</v>
      </c>
    </row>
    <row r="50" ht="12.75" customHeight="1">
      <c r="A50" s="20" t="str">
        <f>fact_kpi_weekly!A50</f>
        <v>260315</v>
      </c>
      <c r="B50" s="21">
        <f>fact_kpi_weekly!B50</f>
        <v>46096</v>
      </c>
      <c r="C50" s="9" t="str">
        <f>fact_kpi_weekly!C50</f>
        <v>Contracted Lives</v>
      </c>
      <c r="D50" s="9" t="str">
        <f>fact_kpi_weekly!D50</f>
        <v>Pipeline Growth - 6X Revenue</v>
      </c>
      <c r="E50" s="9" t="str">
        <f>fact_kpi_weekly!E50</f>
        <v>Goal</v>
      </c>
      <c r="F50" s="9" t="str">
        <f>IF(fact_kpi_weekly!F50="","",fact_kpi_weekly!F50)</f>
        <v/>
      </c>
      <c r="G50" s="9" t="str">
        <f>fact_kpi_weekly!G50</f>
        <v>N/A</v>
      </c>
      <c r="H50" s="9" t="str">
        <f>fact_kpi_weekly!H50</f>
        <v>John</v>
      </c>
      <c r="I50" s="9" t="str">
        <f>fact_kpi_weekly!I50</f>
        <v>$23.0M</v>
      </c>
      <c r="J50" s="22">
        <f>fact_kpi_weekly!J50</f>
        <v>23000000</v>
      </c>
      <c r="K50" s="20" t="str">
        <f t="array" ref="K50">IFERROR(INDEX(dim_date!H:H,MATCH(A50,dim_date!A:A,0)),"")</f>
        <v>Mar</v>
      </c>
      <c r="L50" s="20" t="str">
        <f t="array" ref="L50">IFERROR(INDEX(dim_date!G:G,MATCH(A50,dim_date!A:A,0)),"")</f>
        <v>03</v>
      </c>
      <c r="M50" s="9" t="str">
        <f t="array" ref="M50">IFERROR(INDEX(dim_date!I:I,MATCH(A50,dim_date!A:A,0)),"")</f>
        <v>Q1</v>
      </c>
      <c r="N50" s="20" t="str">
        <f t="array" ref="N50">IFERROR(INDEX(dim_date!K:K,MATCH(A50,dim_date!A:A,0)),"")</f>
        <v>12</v>
      </c>
      <c r="O50" s="9" t="str">
        <f t="array" ref="O50">IFERROR(INDEX(dim_date!F:F,MATCH(A50,dim_date!A:A,0)),"")</f>
        <v>3/15-3/21</v>
      </c>
      <c r="P50" s="9" t="str">
        <f t="array" ref="P50">IFERROR(INDEX(dim_kpi!E:E,MATCH(D50,dim_kpi!C:C,0)),"")</f>
        <v>$</v>
      </c>
      <c r="Q50" s="9" t="str">
        <f t="array" ref="Q50">IFERROR(INDEX(dim_kpi!F:F,MATCH(D50,dim_kpi!C:C,0)),"")</f>
        <v>N</v>
      </c>
    </row>
    <row r="51" ht="12.75" customHeight="1">
      <c r="A51" s="20" t="str">
        <f>fact_kpi_weekly!A51</f>
        <v>260322</v>
      </c>
      <c r="B51" s="21">
        <f>fact_kpi_weekly!B51</f>
        <v>46103</v>
      </c>
      <c r="C51" s="9" t="str">
        <f>fact_kpi_weekly!C51</f>
        <v>Contracted Lives</v>
      </c>
      <c r="D51" s="9" t="str">
        <f>fact_kpi_weekly!D51</f>
        <v>Pipeline Growth - 6X Revenue</v>
      </c>
      <c r="E51" s="9" t="str">
        <f>fact_kpi_weekly!E51</f>
        <v>Goal</v>
      </c>
      <c r="F51" s="9" t="str">
        <f>IF(fact_kpi_weekly!F51="","",fact_kpi_weekly!F51)</f>
        <v/>
      </c>
      <c r="G51" s="9" t="str">
        <f>fact_kpi_weekly!G51</f>
        <v>N/A</v>
      </c>
      <c r="H51" s="9" t="str">
        <f>fact_kpi_weekly!H51</f>
        <v>John</v>
      </c>
      <c r="I51" s="9" t="str">
        <f>fact_kpi_weekly!I51</f>
        <v>$23.0M</v>
      </c>
      <c r="J51" s="22">
        <f>fact_kpi_weekly!J51</f>
        <v>23000000</v>
      </c>
      <c r="K51" s="20" t="str">
        <f t="array" ref="K51">IFERROR(INDEX(dim_date!H:H,MATCH(A51,dim_date!A:A,0)),"")</f>
        <v>Mar</v>
      </c>
      <c r="L51" s="20" t="str">
        <f t="array" ref="L51">IFERROR(INDEX(dim_date!G:G,MATCH(A51,dim_date!A:A,0)),"")</f>
        <v>03</v>
      </c>
      <c r="M51" s="9" t="str">
        <f t="array" ref="M51">IFERROR(INDEX(dim_date!I:I,MATCH(A51,dim_date!A:A,0)),"")</f>
        <v>Q1</v>
      </c>
      <c r="N51" s="20" t="str">
        <f t="array" ref="N51">IFERROR(INDEX(dim_date!K:K,MATCH(A51,dim_date!A:A,0)),"")</f>
        <v>13</v>
      </c>
      <c r="O51" s="9" t="str">
        <f t="array" ref="O51">IFERROR(INDEX(dim_date!F:F,MATCH(A51,dim_date!A:A,0)),"")</f>
        <v>3/22-3/28</v>
      </c>
      <c r="P51" s="9" t="str">
        <f t="array" ref="P51">IFERROR(INDEX(dim_kpi!E:E,MATCH(D51,dim_kpi!C:C,0)),"")</f>
        <v>$</v>
      </c>
      <c r="Q51" s="9" t="str">
        <f t="array" ref="Q51">IFERROR(INDEX(dim_kpi!F:F,MATCH(D51,dim_kpi!C:C,0)),"")</f>
        <v>N</v>
      </c>
    </row>
    <row r="52" ht="12.75" customHeight="1">
      <c r="A52" s="20" t="str">
        <f>fact_kpi_weekly!A52</f>
        <v>260329</v>
      </c>
      <c r="B52" s="21">
        <f>fact_kpi_weekly!B52</f>
        <v>46110</v>
      </c>
      <c r="C52" s="9" t="str">
        <f>fact_kpi_weekly!C52</f>
        <v>Contracted Lives</v>
      </c>
      <c r="D52" s="9" t="str">
        <f>fact_kpi_weekly!D52</f>
        <v>Pipeline Growth - 6X Revenue</v>
      </c>
      <c r="E52" s="9" t="str">
        <f>fact_kpi_weekly!E52</f>
        <v>Goal</v>
      </c>
      <c r="F52" s="9" t="str">
        <f>IF(fact_kpi_weekly!F52="","",fact_kpi_weekly!F52)</f>
        <v/>
      </c>
      <c r="G52" s="9" t="str">
        <f>fact_kpi_weekly!G52</f>
        <v>N/A</v>
      </c>
      <c r="H52" s="9" t="str">
        <f>fact_kpi_weekly!H52</f>
        <v>John</v>
      </c>
      <c r="I52" s="9" t="str">
        <f>fact_kpi_weekly!I52</f>
        <v>$23.0M</v>
      </c>
      <c r="J52" s="22">
        <f>fact_kpi_weekly!J52</f>
        <v>23000000</v>
      </c>
      <c r="K52" s="20" t="str">
        <f t="array" ref="K52">IFERROR(INDEX(dim_date!H:H,MATCH(A52,dim_date!A:A,0)),"")</f>
        <v>Mar</v>
      </c>
      <c r="L52" s="20" t="str">
        <f t="array" ref="L52">IFERROR(INDEX(dim_date!G:G,MATCH(A52,dim_date!A:A,0)),"")</f>
        <v>03</v>
      </c>
      <c r="M52" s="9" t="str">
        <f t="array" ref="M52">IFERROR(INDEX(dim_date!I:I,MATCH(A52,dim_date!A:A,0)),"")</f>
        <v>Q1</v>
      </c>
      <c r="N52" s="20" t="str">
        <f t="array" ref="N52">IFERROR(INDEX(dim_date!K:K,MATCH(A52,dim_date!A:A,0)),"")</f>
        <v>14</v>
      </c>
      <c r="O52" s="9" t="str">
        <f t="array" ref="O52">IFERROR(INDEX(dim_date!F:F,MATCH(A52,dim_date!A:A,0)),"")</f>
        <v>3/29-4/4</v>
      </c>
      <c r="P52" s="9" t="str">
        <f t="array" ref="P52">IFERROR(INDEX(dim_kpi!E:E,MATCH(D52,dim_kpi!C:C,0)),"")</f>
        <v>$</v>
      </c>
      <c r="Q52" s="9" t="str">
        <f t="array" ref="Q52">IFERROR(INDEX(dim_kpi!F:F,MATCH(D52,dim_kpi!C:C,0)),"")</f>
        <v>N</v>
      </c>
    </row>
    <row r="53" ht="12.75" customHeight="1">
      <c r="A53" s="20" t="str">
        <f>fact_kpi_weekly!A53</f>
        <v>260405</v>
      </c>
      <c r="B53" s="21">
        <f>fact_kpi_weekly!B53</f>
        <v>46117</v>
      </c>
      <c r="C53" s="9" t="str">
        <f>fact_kpi_weekly!C53</f>
        <v>Contracted Lives</v>
      </c>
      <c r="D53" s="9" t="str">
        <f>fact_kpi_weekly!D53</f>
        <v>Pipeline Growth - 6X Revenue</v>
      </c>
      <c r="E53" s="9" t="str">
        <f>fact_kpi_weekly!E53</f>
        <v>Goal</v>
      </c>
      <c r="F53" s="9" t="str">
        <f>IF(fact_kpi_weekly!F53="","",fact_kpi_weekly!F53)</f>
        <v/>
      </c>
      <c r="G53" s="9" t="str">
        <f>fact_kpi_weekly!G53</f>
        <v>N/A</v>
      </c>
      <c r="H53" s="9" t="str">
        <f>fact_kpi_weekly!H53</f>
        <v>John</v>
      </c>
      <c r="I53" s="9" t="str">
        <f>fact_kpi_weekly!I53</f>
        <v>$28.0M</v>
      </c>
      <c r="J53" s="22">
        <f>fact_kpi_weekly!J53</f>
        <v>28000000</v>
      </c>
      <c r="K53" s="20" t="str">
        <f t="array" ref="K53">IFERROR(INDEX(dim_date!H:H,MATCH(A53,dim_date!A:A,0)),"")</f>
        <v>Apr</v>
      </c>
      <c r="L53" s="20" t="str">
        <f t="array" ref="L53">IFERROR(INDEX(dim_date!G:G,MATCH(A53,dim_date!A:A,0)),"")</f>
        <v>04</v>
      </c>
      <c r="M53" s="9" t="str">
        <f t="array" ref="M53">IFERROR(INDEX(dim_date!I:I,MATCH(A53,dim_date!A:A,0)),"")</f>
        <v>Q2</v>
      </c>
      <c r="N53" s="20" t="str">
        <f t="array" ref="N53">IFERROR(INDEX(dim_date!K:K,MATCH(A53,dim_date!A:A,0)),"")</f>
        <v>15</v>
      </c>
      <c r="O53" s="9" t="str">
        <f t="array" ref="O53">IFERROR(INDEX(dim_date!F:F,MATCH(A53,dim_date!A:A,0)),"")</f>
        <v>4/5-4/11</v>
      </c>
      <c r="P53" s="9" t="str">
        <f t="array" ref="P53">IFERROR(INDEX(dim_kpi!E:E,MATCH(D53,dim_kpi!C:C,0)),"")</f>
        <v>$</v>
      </c>
      <c r="Q53" s="9" t="str">
        <f t="array" ref="Q53">IFERROR(INDEX(dim_kpi!F:F,MATCH(D53,dim_kpi!C:C,0)),"")</f>
        <v>N</v>
      </c>
    </row>
    <row r="54" ht="12.75" customHeight="1">
      <c r="A54" s="20" t="str">
        <f>fact_kpi_weekly!A54</f>
        <v>260412</v>
      </c>
      <c r="B54" s="21">
        <f>fact_kpi_weekly!B54</f>
        <v>46124</v>
      </c>
      <c r="C54" s="9" t="str">
        <f>fact_kpi_weekly!C54</f>
        <v>Contracted Lives</v>
      </c>
      <c r="D54" s="9" t="str">
        <f>fact_kpi_weekly!D54</f>
        <v>Pipeline Growth - 6X Revenue</v>
      </c>
      <c r="E54" s="9" t="str">
        <f>fact_kpi_weekly!E54</f>
        <v>Goal</v>
      </c>
      <c r="F54" s="9" t="str">
        <f>IF(fact_kpi_weekly!F54="","",fact_kpi_weekly!F54)</f>
        <v/>
      </c>
      <c r="G54" s="9" t="str">
        <f>fact_kpi_weekly!G54</f>
        <v>N/A</v>
      </c>
      <c r="H54" s="9" t="str">
        <f>fact_kpi_weekly!H54</f>
        <v>John</v>
      </c>
      <c r="I54" s="9" t="str">
        <f>fact_kpi_weekly!I54</f>
        <v>$28.0M</v>
      </c>
      <c r="J54" s="22">
        <f>fact_kpi_weekly!J54</f>
        <v>28000000</v>
      </c>
      <c r="K54" s="20" t="str">
        <f t="array" ref="K54">IFERROR(INDEX(dim_date!H:H,MATCH(A54,dim_date!A:A,0)),"")</f>
        <v>Apr</v>
      </c>
      <c r="L54" s="20" t="str">
        <f t="array" ref="L54">IFERROR(INDEX(dim_date!G:G,MATCH(A54,dim_date!A:A,0)),"")</f>
        <v>04</v>
      </c>
      <c r="M54" s="9" t="str">
        <f t="array" ref="M54">IFERROR(INDEX(dim_date!I:I,MATCH(A54,dim_date!A:A,0)),"")</f>
        <v>Q2</v>
      </c>
      <c r="N54" s="20" t="str">
        <f t="array" ref="N54">IFERROR(INDEX(dim_date!K:K,MATCH(A54,dim_date!A:A,0)),"")</f>
        <v>16</v>
      </c>
      <c r="O54" s="9" t="str">
        <f t="array" ref="O54">IFERROR(INDEX(dim_date!F:F,MATCH(A54,dim_date!A:A,0)),"")</f>
        <v>4/12-4/18</v>
      </c>
      <c r="P54" s="9" t="str">
        <f t="array" ref="P54">IFERROR(INDEX(dim_kpi!E:E,MATCH(D54,dim_kpi!C:C,0)),"")</f>
        <v>$</v>
      </c>
      <c r="Q54" s="9" t="str">
        <f t="array" ref="Q54">IFERROR(INDEX(dim_kpi!F:F,MATCH(D54,dim_kpi!C:C,0)),"")</f>
        <v>N</v>
      </c>
    </row>
    <row r="55" ht="12.75" customHeight="1">
      <c r="A55" s="20" t="str">
        <f>fact_kpi_weekly!A55</f>
        <v>260419</v>
      </c>
      <c r="B55" s="21">
        <f>fact_kpi_weekly!B55</f>
        <v>46131</v>
      </c>
      <c r="C55" s="9" t="str">
        <f>fact_kpi_weekly!C55</f>
        <v>Contracted Lives</v>
      </c>
      <c r="D55" s="9" t="str">
        <f>fact_kpi_weekly!D55</f>
        <v>Pipeline Growth - 6X Revenue</v>
      </c>
      <c r="E55" s="9" t="str">
        <f>fact_kpi_weekly!E55</f>
        <v>Goal</v>
      </c>
      <c r="F55" s="9" t="str">
        <f>IF(fact_kpi_weekly!F55="","",fact_kpi_weekly!F55)</f>
        <v/>
      </c>
      <c r="G55" s="9" t="str">
        <f>fact_kpi_weekly!G55</f>
        <v>N/A</v>
      </c>
      <c r="H55" s="9" t="str">
        <f>fact_kpi_weekly!H55</f>
        <v>John</v>
      </c>
      <c r="I55" s="9" t="str">
        <f>fact_kpi_weekly!I55</f>
        <v>$28.0M</v>
      </c>
      <c r="J55" s="22">
        <f>fact_kpi_weekly!J55</f>
        <v>28000000</v>
      </c>
      <c r="K55" s="20" t="str">
        <f t="array" ref="K55">IFERROR(INDEX(dim_date!H:H,MATCH(A55,dim_date!A:A,0)),"")</f>
        <v>Apr</v>
      </c>
      <c r="L55" s="20" t="str">
        <f t="array" ref="L55">IFERROR(INDEX(dim_date!G:G,MATCH(A55,dim_date!A:A,0)),"")</f>
        <v>04</v>
      </c>
      <c r="M55" s="9" t="str">
        <f t="array" ref="M55">IFERROR(INDEX(dim_date!I:I,MATCH(A55,dim_date!A:A,0)),"")</f>
        <v>Q2</v>
      </c>
      <c r="N55" s="20" t="str">
        <f t="array" ref="N55">IFERROR(INDEX(dim_date!K:K,MATCH(A55,dim_date!A:A,0)),"")</f>
        <v>17</v>
      </c>
      <c r="O55" s="9" t="str">
        <f t="array" ref="O55">IFERROR(INDEX(dim_date!F:F,MATCH(A55,dim_date!A:A,0)),"")</f>
        <v>4/19-4/25</v>
      </c>
      <c r="P55" s="9" t="str">
        <f t="array" ref="P55">IFERROR(INDEX(dim_kpi!E:E,MATCH(D55,dim_kpi!C:C,0)),"")</f>
        <v>$</v>
      </c>
      <c r="Q55" s="9" t="str">
        <f t="array" ref="Q55">IFERROR(INDEX(dim_kpi!F:F,MATCH(D55,dim_kpi!C:C,0)),"")</f>
        <v>N</v>
      </c>
    </row>
    <row r="56" ht="12.75" customHeight="1">
      <c r="A56" s="20" t="str">
        <f>fact_kpi_weekly!A56</f>
        <v>260426</v>
      </c>
      <c r="B56" s="21">
        <f>fact_kpi_weekly!B56</f>
        <v>46138</v>
      </c>
      <c r="C56" s="9" t="str">
        <f>fact_kpi_weekly!C56</f>
        <v>Contracted Lives</v>
      </c>
      <c r="D56" s="9" t="str">
        <f>fact_kpi_weekly!D56</f>
        <v>Pipeline Growth - 6X Revenue</v>
      </c>
      <c r="E56" s="9" t="str">
        <f>fact_kpi_weekly!E56</f>
        <v>Goal</v>
      </c>
      <c r="F56" s="9" t="str">
        <f>IF(fact_kpi_weekly!F56="","",fact_kpi_weekly!F56)</f>
        <v/>
      </c>
      <c r="G56" s="9" t="str">
        <f>fact_kpi_weekly!G56</f>
        <v>N/A</v>
      </c>
      <c r="H56" s="9" t="str">
        <f>fact_kpi_weekly!H56</f>
        <v>John</v>
      </c>
      <c r="I56" s="9" t="str">
        <f>fact_kpi_weekly!I56</f>
        <v>$28.0M</v>
      </c>
      <c r="J56" s="22">
        <f>fact_kpi_weekly!J56</f>
        <v>28000000</v>
      </c>
      <c r="K56" s="20" t="str">
        <f t="array" ref="K56">IFERROR(INDEX(dim_date!H:H,MATCH(A56,dim_date!A:A,0)),"")</f>
        <v>Apr</v>
      </c>
      <c r="L56" s="20" t="str">
        <f t="array" ref="L56">IFERROR(INDEX(dim_date!G:G,MATCH(A56,dim_date!A:A,0)),"")</f>
        <v>04</v>
      </c>
      <c r="M56" s="9" t="str">
        <f t="array" ref="M56">IFERROR(INDEX(dim_date!I:I,MATCH(A56,dim_date!A:A,0)),"")</f>
        <v>Q2</v>
      </c>
      <c r="N56" s="20" t="str">
        <f t="array" ref="N56">IFERROR(INDEX(dim_date!K:K,MATCH(A56,dim_date!A:A,0)),"")</f>
        <v>18</v>
      </c>
      <c r="O56" s="9" t="str">
        <f t="array" ref="O56">IFERROR(INDEX(dim_date!F:F,MATCH(A56,dim_date!A:A,0)),"")</f>
        <v>4/26-5/2</v>
      </c>
      <c r="P56" s="9" t="str">
        <f t="array" ref="P56">IFERROR(INDEX(dim_kpi!E:E,MATCH(D56,dim_kpi!C:C,0)),"")</f>
        <v>$</v>
      </c>
      <c r="Q56" s="9" t="str">
        <f t="array" ref="Q56">IFERROR(INDEX(dim_kpi!F:F,MATCH(D56,dim_kpi!C:C,0)),"")</f>
        <v>N</v>
      </c>
    </row>
    <row r="57" ht="12.75" customHeight="1">
      <c r="A57" s="20" t="str">
        <f>fact_kpi_weekly!A57</f>
        <v>260503</v>
      </c>
      <c r="B57" s="21">
        <f>fact_kpi_weekly!B57</f>
        <v>46145</v>
      </c>
      <c r="C57" s="9" t="str">
        <f>fact_kpi_weekly!C57</f>
        <v>Contracted Lives</v>
      </c>
      <c r="D57" s="9" t="str">
        <f>fact_kpi_weekly!D57</f>
        <v>Pipeline Growth - 6X Revenue</v>
      </c>
      <c r="E57" s="9" t="str">
        <f>fact_kpi_weekly!E57</f>
        <v>Goal</v>
      </c>
      <c r="F57" s="9" t="str">
        <f>IF(fact_kpi_weekly!F57="","",fact_kpi_weekly!F57)</f>
        <v/>
      </c>
      <c r="G57" s="9" t="str">
        <f>fact_kpi_weekly!G57</f>
        <v>N/A</v>
      </c>
      <c r="H57" s="9" t="str">
        <f>fact_kpi_weekly!H57</f>
        <v>John</v>
      </c>
      <c r="I57" s="9" t="str">
        <f>fact_kpi_weekly!I57</f>
        <v>$33.0M</v>
      </c>
      <c r="J57" s="22">
        <f>fact_kpi_weekly!J57</f>
        <v>33000000</v>
      </c>
      <c r="K57" s="20" t="str">
        <f t="array" ref="K57">IFERROR(INDEX(dim_date!H:H,MATCH(A57,dim_date!A:A,0)),"")</f>
        <v>May</v>
      </c>
      <c r="L57" s="20" t="str">
        <f t="array" ref="L57">IFERROR(INDEX(dim_date!G:G,MATCH(A57,dim_date!A:A,0)),"")</f>
        <v>05</v>
      </c>
      <c r="M57" s="9" t="str">
        <f t="array" ref="M57">IFERROR(INDEX(dim_date!I:I,MATCH(A57,dim_date!A:A,0)),"")</f>
        <v>Q2</v>
      </c>
      <c r="N57" s="20" t="str">
        <f t="array" ref="N57">IFERROR(INDEX(dim_date!K:K,MATCH(A57,dim_date!A:A,0)),"")</f>
        <v>19</v>
      </c>
      <c r="O57" s="9" t="str">
        <f t="array" ref="O57">IFERROR(INDEX(dim_date!F:F,MATCH(A57,dim_date!A:A,0)),"")</f>
        <v>5/3-5/9</v>
      </c>
      <c r="P57" s="9" t="str">
        <f t="array" ref="P57">IFERROR(INDEX(dim_kpi!E:E,MATCH(D57,dim_kpi!C:C,0)),"")</f>
        <v>$</v>
      </c>
      <c r="Q57" s="9" t="str">
        <f t="array" ref="Q57">IFERROR(INDEX(dim_kpi!F:F,MATCH(D57,dim_kpi!C:C,0)),"")</f>
        <v>N</v>
      </c>
    </row>
    <row r="58" ht="12.75" customHeight="1">
      <c r="A58" s="20" t="str">
        <f>fact_kpi_weekly!A58</f>
        <v>260510</v>
      </c>
      <c r="B58" s="21">
        <f>fact_kpi_weekly!B58</f>
        <v>46152</v>
      </c>
      <c r="C58" s="9" t="str">
        <f>fact_kpi_weekly!C58</f>
        <v>Contracted Lives</v>
      </c>
      <c r="D58" s="9" t="str">
        <f>fact_kpi_weekly!D58</f>
        <v>Pipeline Growth - 6X Revenue</v>
      </c>
      <c r="E58" s="9" t="str">
        <f>fact_kpi_weekly!E58</f>
        <v>Goal</v>
      </c>
      <c r="F58" s="9" t="str">
        <f>IF(fact_kpi_weekly!F58="","",fact_kpi_weekly!F58)</f>
        <v/>
      </c>
      <c r="G58" s="9" t="str">
        <f>fact_kpi_weekly!G58</f>
        <v>N/A</v>
      </c>
      <c r="H58" s="9" t="str">
        <f>fact_kpi_weekly!H58</f>
        <v>John</v>
      </c>
      <c r="I58" s="9" t="str">
        <f>fact_kpi_weekly!I58</f>
        <v>$33.0M</v>
      </c>
      <c r="J58" s="22">
        <f>fact_kpi_weekly!J58</f>
        <v>33000000</v>
      </c>
      <c r="K58" s="20" t="str">
        <f t="array" ref="K58">IFERROR(INDEX(dim_date!H:H,MATCH(A58,dim_date!A:A,0)),"")</f>
        <v>May</v>
      </c>
      <c r="L58" s="20" t="str">
        <f t="array" ref="L58">IFERROR(INDEX(dim_date!G:G,MATCH(A58,dim_date!A:A,0)),"")</f>
        <v>05</v>
      </c>
      <c r="M58" s="9" t="str">
        <f t="array" ref="M58">IFERROR(INDEX(dim_date!I:I,MATCH(A58,dim_date!A:A,0)),"")</f>
        <v>Q2</v>
      </c>
      <c r="N58" s="20" t="str">
        <f t="array" ref="N58">IFERROR(INDEX(dim_date!K:K,MATCH(A58,dim_date!A:A,0)),"")</f>
        <v>20</v>
      </c>
      <c r="O58" s="9" t="str">
        <f t="array" ref="O58">IFERROR(INDEX(dim_date!F:F,MATCH(A58,dim_date!A:A,0)),"")</f>
        <v>5/10-5/16</v>
      </c>
      <c r="P58" s="9" t="str">
        <f t="array" ref="P58">IFERROR(INDEX(dim_kpi!E:E,MATCH(D58,dim_kpi!C:C,0)),"")</f>
        <v>$</v>
      </c>
      <c r="Q58" s="9" t="str">
        <f t="array" ref="Q58">IFERROR(INDEX(dim_kpi!F:F,MATCH(D58,dim_kpi!C:C,0)),"")</f>
        <v>N</v>
      </c>
    </row>
    <row r="59" ht="12.75" customHeight="1">
      <c r="A59" s="20" t="str">
        <f>fact_kpi_weekly!A59</f>
        <v>260517</v>
      </c>
      <c r="B59" s="21">
        <f>fact_kpi_weekly!B59</f>
        <v>46159</v>
      </c>
      <c r="C59" s="9" t="str">
        <f>fact_kpi_weekly!C59</f>
        <v>Contracted Lives</v>
      </c>
      <c r="D59" s="9" t="str">
        <f>fact_kpi_weekly!D59</f>
        <v>Pipeline Growth - 6X Revenue</v>
      </c>
      <c r="E59" s="9" t="str">
        <f>fact_kpi_weekly!E59</f>
        <v>Goal</v>
      </c>
      <c r="F59" s="9" t="str">
        <f>IF(fact_kpi_weekly!F59="","",fact_kpi_weekly!F59)</f>
        <v/>
      </c>
      <c r="G59" s="9" t="str">
        <f>fact_kpi_weekly!G59</f>
        <v>N/A</v>
      </c>
      <c r="H59" s="9" t="str">
        <f>fact_kpi_weekly!H59</f>
        <v>John</v>
      </c>
      <c r="I59" s="9" t="str">
        <f>fact_kpi_weekly!I59</f>
        <v>$33.0M</v>
      </c>
      <c r="J59" s="22">
        <f>fact_kpi_weekly!J59</f>
        <v>33000000</v>
      </c>
      <c r="K59" s="20" t="str">
        <f t="array" ref="K59">IFERROR(INDEX(dim_date!H:H,MATCH(A59,dim_date!A:A,0)),"")</f>
        <v>May</v>
      </c>
      <c r="L59" s="20" t="str">
        <f t="array" ref="L59">IFERROR(INDEX(dim_date!G:G,MATCH(A59,dim_date!A:A,0)),"")</f>
        <v>05</v>
      </c>
      <c r="M59" s="9" t="str">
        <f t="array" ref="M59">IFERROR(INDEX(dim_date!I:I,MATCH(A59,dim_date!A:A,0)),"")</f>
        <v>Q2</v>
      </c>
      <c r="N59" s="20" t="str">
        <f t="array" ref="N59">IFERROR(INDEX(dim_date!K:K,MATCH(A59,dim_date!A:A,0)),"")</f>
        <v>21</v>
      </c>
      <c r="O59" s="9" t="str">
        <f t="array" ref="O59">IFERROR(INDEX(dim_date!F:F,MATCH(A59,dim_date!A:A,0)),"")</f>
        <v>5/17-5/23</v>
      </c>
      <c r="P59" s="9" t="str">
        <f t="array" ref="P59">IFERROR(INDEX(dim_kpi!E:E,MATCH(D59,dim_kpi!C:C,0)),"")</f>
        <v>$</v>
      </c>
      <c r="Q59" s="9" t="str">
        <f t="array" ref="Q59">IFERROR(INDEX(dim_kpi!F:F,MATCH(D59,dim_kpi!C:C,0)),"")</f>
        <v>N</v>
      </c>
    </row>
    <row r="60" ht="12.75" customHeight="1">
      <c r="A60" s="20" t="str">
        <f>fact_kpi_weekly!A60</f>
        <v>260524</v>
      </c>
      <c r="B60" s="21">
        <f>fact_kpi_weekly!B60</f>
        <v>46166</v>
      </c>
      <c r="C60" s="9" t="str">
        <f>fact_kpi_weekly!C60</f>
        <v>Contracted Lives</v>
      </c>
      <c r="D60" s="9" t="str">
        <f>fact_kpi_weekly!D60</f>
        <v>Pipeline Growth - 6X Revenue</v>
      </c>
      <c r="E60" s="9" t="str">
        <f>fact_kpi_weekly!E60</f>
        <v>Goal</v>
      </c>
      <c r="F60" s="9" t="str">
        <f>IF(fact_kpi_weekly!F60="","",fact_kpi_weekly!F60)</f>
        <v/>
      </c>
      <c r="G60" s="9" t="str">
        <f>fact_kpi_weekly!G60</f>
        <v>N/A</v>
      </c>
      <c r="H60" s="9" t="str">
        <f>fact_kpi_weekly!H60</f>
        <v>John</v>
      </c>
      <c r="I60" s="9" t="str">
        <f>fact_kpi_weekly!I60</f>
        <v>$33.0M</v>
      </c>
      <c r="J60" s="22">
        <f>fact_kpi_weekly!J60</f>
        <v>33000000</v>
      </c>
      <c r="K60" s="20" t="str">
        <f t="array" ref="K60">IFERROR(INDEX(dim_date!H:H,MATCH(A60,dim_date!A:A,0)),"")</f>
        <v>May</v>
      </c>
      <c r="L60" s="20" t="str">
        <f t="array" ref="L60">IFERROR(INDEX(dim_date!G:G,MATCH(A60,dim_date!A:A,0)),"")</f>
        <v>05</v>
      </c>
      <c r="M60" s="9" t="str">
        <f t="array" ref="M60">IFERROR(INDEX(dim_date!I:I,MATCH(A60,dim_date!A:A,0)),"")</f>
        <v>Q2</v>
      </c>
      <c r="N60" s="20" t="str">
        <f t="array" ref="N60">IFERROR(INDEX(dim_date!K:K,MATCH(A60,dim_date!A:A,0)),"")</f>
        <v>22</v>
      </c>
      <c r="O60" s="9" t="str">
        <f t="array" ref="O60">IFERROR(INDEX(dim_date!F:F,MATCH(A60,dim_date!A:A,0)),"")</f>
        <v>5/24-5/30</v>
      </c>
      <c r="P60" s="9" t="str">
        <f t="array" ref="P60">IFERROR(INDEX(dim_kpi!E:E,MATCH(D60,dim_kpi!C:C,0)),"")</f>
        <v>$</v>
      </c>
      <c r="Q60" s="9" t="str">
        <f t="array" ref="Q60">IFERROR(INDEX(dim_kpi!F:F,MATCH(D60,dim_kpi!C:C,0)),"")</f>
        <v>N</v>
      </c>
    </row>
    <row r="61" ht="12.75" customHeight="1">
      <c r="A61" s="20" t="str">
        <f>fact_kpi_weekly!A61</f>
        <v>260601</v>
      </c>
      <c r="B61" s="21">
        <f>fact_kpi_weekly!B61</f>
        <v>46174</v>
      </c>
      <c r="C61" s="9" t="str">
        <f>fact_kpi_weekly!C61</f>
        <v>Contracted Lives</v>
      </c>
      <c r="D61" s="9" t="str">
        <f>fact_kpi_weekly!D61</f>
        <v>Pipeline Growth - 6X Revenue</v>
      </c>
      <c r="E61" s="9" t="str">
        <f>fact_kpi_weekly!E61</f>
        <v>Goal</v>
      </c>
      <c r="F61" s="9" t="str">
        <f>IF(fact_kpi_weekly!F61="","",fact_kpi_weekly!F61)</f>
        <v/>
      </c>
      <c r="G61" s="9" t="str">
        <f>fact_kpi_weekly!G61</f>
        <v>N/A</v>
      </c>
      <c r="H61" s="9" t="str">
        <f>fact_kpi_weekly!H61</f>
        <v>John</v>
      </c>
      <c r="I61" s="9" t="str">
        <f>fact_kpi_weekly!I61</f>
        <v>$39.0M</v>
      </c>
      <c r="J61" s="22">
        <f>fact_kpi_weekly!J61</f>
        <v>39000000</v>
      </c>
      <c r="K61" s="20" t="str">
        <f t="array" ref="K61">IFERROR(INDEX(dim_date!H:H,MATCH(A61,dim_date!A:A,0)),"")</f>
        <v>Jun</v>
      </c>
      <c r="L61" s="20" t="str">
        <f t="array" ref="L61">IFERROR(INDEX(dim_date!G:G,MATCH(A61,dim_date!A:A,0)),"")</f>
        <v>06</v>
      </c>
      <c r="M61" s="9" t="str">
        <f t="array" ref="M61">IFERROR(INDEX(dim_date!I:I,MATCH(A61,dim_date!A:A,0)),"")</f>
        <v>Q2</v>
      </c>
      <c r="N61" s="20" t="str">
        <f t="array" ref="N61">IFERROR(INDEX(dim_date!K:K,MATCH(A61,dim_date!A:A,0)),"")</f>
        <v>23</v>
      </c>
      <c r="O61" s="9" t="str">
        <f t="array" ref="O61">IFERROR(INDEX(dim_date!F:F,MATCH(A61,dim_date!A:A,0)),"")</f>
        <v>5/31-6/6</v>
      </c>
      <c r="P61" s="9" t="str">
        <f t="array" ref="P61">IFERROR(INDEX(dim_kpi!E:E,MATCH(D61,dim_kpi!C:C,0)),"")</f>
        <v>$</v>
      </c>
      <c r="Q61" s="9" t="str">
        <f t="array" ref="Q61">IFERROR(INDEX(dim_kpi!F:F,MATCH(D61,dim_kpi!C:C,0)),"")</f>
        <v>N</v>
      </c>
    </row>
    <row r="62" ht="12.75" customHeight="1">
      <c r="A62" s="20" t="str">
        <f>fact_kpi_weekly!A62</f>
        <v>260607</v>
      </c>
      <c r="B62" s="21">
        <f>fact_kpi_weekly!B62</f>
        <v>46180</v>
      </c>
      <c r="C62" s="9" t="str">
        <f>fact_kpi_weekly!C62</f>
        <v>Contracted Lives</v>
      </c>
      <c r="D62" s="9" t="str">
        <f>fact_kpi_weekly!D62</f>
        <v>Pipeline Growth - 6X Revenue</v>
      </c>
      <c r="E62" s="9" t="str">
        <f>fact_kpi_weekly!E62</f>
        <v>Goal</v>
      </c>
      <c r="F62" s="9" t="str">
        <f>IF(fact_kpi_weekly!F62="","",fact_kpi_weekly!F62)</f>
        <v/>
      </c>
      <c r="G62" s="9" t="str">
        <f>fact_kpi_weekly!G62</f>
        <v>N/A</v>
      </c>
      <c r="H62" s="9" t="str">
        <f>fact_kpi_weekly!H62</f>
        <v>John</v>
      </c>
      <c r="I62" s="9" t="str">
        <f>fact_kpi_weekly!I62</f>
        <v>$39.0M</v>
      </c>
      <c r="J62" s="22">
        <f>fact_kpi_weekly!J62</f>
        <v>39000000</v>
      </c>
      <c r="K62" s="20" t="str">
        <f t="array" ref="K62">IFERROR(INDEX(dim_date!H:H,MATCH(A62,dim_date!A:A,0)),"")</f>
        <v>Jun</v>
      </c>
      <c r="L62" s="20" t="str">
        <f t="array" ref="L62">IFERROR(INDEX(dim_date!G:G,MATCH(A62,dim_date!A:A,0)),"")</f>
        <v>06</v>
      </c>
      <c r="M62" s="9" t="str">
        <f t="array" ref="M62">IFERROR(INDEX(dim_date!I:I,MATCH(A62,dim_date!A:A,0)),"")</f>
        <v>Q2</v>
      </c>
      <c r="N62" s="20" t="str">
        <f t="array" ref="N62">IFERROR(INDEX(dim_date!K:K,MATCH(A62,dim_date!A:A,0)),"")</f>
        <v>24</v>
      </c>
      <c r="O62" s="9" t="str">
        <f t="array" ref="O62">IFERROR(INDEX(dim_date!F:F,MATCH(A62,dim_date!A:A,0)),"")</f>
        <v>6/7-6/13</v>
      </c>
      <c r="P62" s="9" t="str">
        <f t="array" ref="P62">IFERROR(INDEX(dim_kpi!E:E,MATCH(D62,dim_kpi!C:C,0)),"")</f>
        <v>$</v>
      </c>
      <c r="Q62" s="9" t="str">
        <f t="array" ref="Q62">IFERROR(INDEX(dim_kpi!F:F,MATCH(D62,dim_kpi!C:C,0)),"")</f>
        <v>N</v>
      </c>
    </row>
    <row r="63" ht="12.75" customHeight="1">
      <c r="A63" s="20" t="str">
        <f>fact_kpi_weekly!A63</f>
        <v>260614</v>
      </c>
      <c r="B63" s="21">
        <f>fact_kpi_weekly!B63</f>
        <v>46187</v>
      </c>
      <c r="C63" s="9" t="str">
        <f>fact_kpi_weekly!C63</f>
        <v>Contracted Lives</v>
      </c>
      <c r="D63" s="9" t="str">
        <f>fact_kpi_weekly!D63</f>
        <v>Pipeline Growth - 6X Revenue</v>
      </c>
      <c r="E63" s="9" t="str">
        <f>fact_kpi_weekly!E63</f>
        <v>Goal</v>
      </c>
      <c r="F63" s="9" t="str">
        <f>IF(fact_kpi_weekly!F63="","",fact_kpi_weekly!F63)</f>
        <v/>
      </c>
      <c r="G63" s="9" t="str">
        <f>fact_kpi_weekly!G63</f>
        <v>N/A</v>
      </c>
      <c r="H63" s="9" t="str">
        <f>fact_kpi_weekly!H63</f>
        <v>John</v>
      </c>
      <c r="I63" s="9" t="str">
        <f>fact_kpi_weekly!I63</f>
        <v>$39.0M</v>
      </c>
      <c r="J63" s="22">
        <f>fact_kpi_weekly!J63</f>
        <v>39000000</v>
      </c>
      <c r="K63" s="20" t="str">
        <f t="array" ref="K63">IFERROR(INDEX(dim_date!H:H,MATCH(A63,dim_date!A:A,0)),"")</f>
        <v>Jun</v>
      </c>
      <c r="L63" s="20" t="str">
        <f t="array" ref="L63">IFERROR(INDEX(dim_date!G:G,MATCH(A63,dim_date!A:A,0)),"")</f>
        <v>06</v>
      </c>
      <c r="M63" s="9" t="str">
        <f t="array" ref="M63">IFERROR(INDEX(dim_date!I:I,MATCH(A63,dim_date!A:A,0)),"")</f>
        <v>Q2</v>
      </c>
      <c r="N63" s="20" t="str">
        <f t="array" ref="N63">IFERROR(INDEX(dim_date!K:K,MATCH(A63,dim_date!A:A,0)),"")</f>
        <v>25</v>
      </c>
      <c r="O63" s="9" t="str">
        <f t="array" ref="O63">IFERROR(INDEX(dim_date!F:F,MATCH(A63,dim_date!A:A,0)),"")</f>
        <v>6/14-6/20</v>
      </c>
      <c r="P63" s="9" t="str">
        <f t="array" ref="P63">IFERROR(INDEX(dim_kpi!E:E,MATCH(D63,dim_kpi!C:C,0)),"")</f>
        <v>$</v>
      </c>
      <c r="Q63" s="9" t="str">
        <f t="array" ref="Q63">IFERROR(INDEX(dim_kpi!F:F,MATCH(D63,dim_kpi!C:C,0)),"")</f>
        <v>N</v>
      </c>
    </row>
    <row r="64" ht="12.75" customHeight="1">
      <c r="A64" s="20" t="str">
        <f>fact_kpi_weekly!A64</f>
        <v>260621</v>
      </c>
      <c r="B64" s="21">
        <f>fact_kpi_weekly!B64</f>
        <v>46194</v>
      </c>
      <c r="C64" s="9" t="str">
        <f>fact_kpi_weekly!C64</f>
        <v>Contracted Lives</v>
      </c>
      <c r="D64" s="9" t="str">
        <f>fact_kpi_weekly!D64</f>
        <v>Pipeline Growth - 6X Revenue</v>
      </c>
      <c r="E64" s="9" t="str">
        <f>fact_kpi_weekly!E64</f>
        <v>Goal</v>
      </c>
      <c r="F64" s="9" t="str">
        <f>IF(fact_kpi_weekly!F64="","",fact_kpi_weekly!F64)</f>
        <v/>
      </c>
      <c r="G64" s="9" t="str">
        <f>fact_kpi_weekly!G64</f>
        <v>N/A</v>
      </c>
      <c r="H64" s="9" t="str">
        <f>fact_kpi_weekly!H64</f>
        <v>John</v>
      </c>
      <c r="I64" s="9" t="str">
        <f>fact_kpi_weekly!I64</f>
        <v>$39.0M</v>
      </c>
      <c r="J64" s="22">
        <f>fact_kpi_weekly!J64</f>
        <v>39000000</v>
      </c>
      <c r="K64" s="20" t="str">
        <f t="array" ref="K64">IFERROR(INDEX(dim_date!H:H,MATCH(A64,dim_date!A:A,0)),"")</f>
        <v>Jun</v>
      </c>
      <c r="L64" s="20" t="str">
        <f t="array" ref="L64">IFERROR(INDEX(dim_date!G:G,MATCH(A64,dim_date!A:A,0)),"")</f>
        <v>06</v>
      </c>
      <c r="M64" s="9" t="str">
        <f t="array" ref="M64">IFERROR(INDEX(dim_date!I:I,MATCH(A64,dim_date!A:A,0)),"")</f>
        <v>Q2</v>
      </c>
      <c r="N64" s="20" t="str">
        <f t="array" ref="N64">IFERROR(INDEX(dim_date!K:K,MATCH(A64,dim_date!A:A,0)),"")</f>
        <v>26</v>
      </c>
      <c r="O64" s="9" t="str">
        <f t="array" ref="O64">IFERROR(INDEX(dim_date!F:F,MATCH(A64,dim_date!A:A,0)),"")</f>
        <v>6/21-6/27</v>
      </c>
      <c r="P64" s="9" t="str">
        <f t="array" ref="P64">IFERROR(INDEX(dim_kpi!E:E,MATCH(D64,dim_kpi!C:C,0)),"")</f>
        <v>$</v>
      </c>
      <c r="Q64" s="9" t="str">
        <f t="array" ref="Q64">IFERROR(INDEX(dim_kpi!F:F,MATCH(D64,dim_kpi!C:C,0)),"")</f>
        <v>N</v>
      </c>
    </row>
    <row r="65" ht="12.75" customHeight="1">
      <c r="A65" s="20" t="str">
        <f>fact_kpi_weekly!A65</f>
        <v>260628</v>
      </c>
      <c r="B65" s="21">
        <f>fact_kpi_weekly!B65</f>
        <v>46201</v>
      </c>
      <c r="C65" s="9" t="str">
        <f>fact_kpi_weekly!C65</f>
        <v>Contracted Lives</v>
      </c>
      <c r="D65" s="9" t="str">
        <f>fact_kpi_weekly!D65</f>
        <v>Pipeline Growth - 6X Revenue</v>
      </c>
      <c r="E65" s="9" t="str">
        <f>fact_kpi_weekly!E65</f>
        <v>Goal</v>
      </c>
      <c r="F65" s="9" t="str">
        <f>IF(fact_kpi_weekly!F65="","",fact_kpi_weekly!F65)</f>
        <v/>
      </c>
      <c r="G65" s="9" t="str">
        <f>fact_kpi_weekly!G65</f>
        <v>N/A</v>
      </c>
      <c r="H65" s="9" t="str">
        <f>fact_kpi_weekly!H65</f>
        <v>John</v>
      </c>
      <c r="I65" s="9" t="str">
        <f>fact_kpi_weekly!I65</f>
        <v>$39.0M</v>
      </c>
      <c r="J65" s="22">
        <f>fact_kpi_weekly!J65</f>
        <v>39000000</v>
      </c>
      <c r="K65" s="20" t="str">
        <f t="array" ref="K65">IFERROR(INDEX(dim_date!H:H,MATCH(A65,dim_date!A:A,0)),"")</f>
        <v>Jun</v>
      </c>
      <c r="L65" s="20" t="str">
        <f t="array" ref="L65">IFERROR(INDEX(dim_date!G:G,MATCH(A65,dim_date!A:A,0)),"")</f>
        <v>06</v>
      </c>
      <c r="M65" s="9" t="str">
        <f t="array" ref="M65">IFERROR(INDEX(dim_date!I:I,MATCH(A65,dim_date!A:A,0)),"")</f>
        <v>Q2</v>
      </c>
      <c r="N65" s="20" t="str">
        <f t="array" ref="N65">IFERROR(INDEX(dim_date!K:K,MATCH(A65,dim_date!A:A,0)),"")</f>
        <v>27</v>
      </c>
      <c r="O65" s="9" t="str">
        <f t="array" ref="O65">IFERROR(INDEX(dim_date!F:F,MATCH(A65,dim_date!A:A,0)),"")</f>
        <v>6/28-7/4</v>
      </c>
      <c r="P65" s="9" t="str">
        <f t="array" ref="P65">IFERROR(INDEX(dim_kpi!E:E,MATCH(D65,dim_kpi!C:C,0)),"")</f>
        <v>$</v>
      </c>
      <c r="Q65" s="9" t="str">
        <f t="array" ref="Q65">IFERROR(INDEX(dim_kpi!F:F,MATCH(D65,dim_kpi!C:C,0)),"")</f>
        <v>N</v>
      </c>
    </row>
    <row r="66" ht="12.75" customHeight="1">
      <c r="A66" s="20" t="str">
        <f>fact_kpi_weekly!A66</f>
        <v>260705</v>
      </c>
      <c r="B66" s="21">
        <f>fact_kpi_weekly!B66</f>
        <v>46208</v>
      </c>
      <c r="C66" s="9" t="str">
        <f>fact_kpi_weekly!C66</f>
        <v>Contracted Lives</v>
      </c>
      <c r="D66" s="9" t="str">
        <f>fact_kpi_weekly!D66</f>
        <v>Pipeline Growth - 6X Revenue</v>
      </c>
      <c r="E66" s="9" t="str">
        <f>fact_kpi_weekly!E66</f>
        <v>Goal</v>
      </c>
      <c r="F66" s="9" t="str">
        <f>IF(fact_kpi_weekly!F66="","",fact_kpi_weekly!F66)</f>
        <v/>
      </c>
      <c r="G66" s="9" t="str">
        <f>fact_kpi_weekly!G66</f>
        <v>N/A</v>
      </c>
      <c r="H66" s="9" t="str">
        <f>fact_kpi_weekly!H66</f>
        <v>John</v>
      </c>
      <c r="I66" s="9" t="str">
        <f>fact_kpi_weekly!I66</f>
        <v>$46.0M</v>
      </c>
      <c r="J66" s="22">
        <f>fact_kpi_weekly!J66</f>
        <v>46000000</v>
      </c>
      <c r="K66" s="20" t="str">
        <f t="array" ref="K66">IFERROR(INDEX(dim_date!H:H,MATCH(A66,dim_date!A:A,0)),"")</f>
        <v>Jul</v>
      </c>
      <c r="L66" s="20" t="str">
        <f t="array" ref="L66">IFERROR(INDEX(dim_date!G:G,MATCH(A66,dim_date!A:A,0)),"")</f>
        <v>07</v>
      </c>
      <c r="M66" s="9" t="str">
        <f t="array" ref="M66">IFERROR(INDEX(dim_date!I:I,MATCH(A66,dim_date!A:A,0)),"")</f>
        <v>Q3</v>
      </c>
      <c r="N66" s="20" t="str">
        <f t="array" ref="N66">IFERROR(INDEX(dim_date!K:K,MATCH(A66,dim_date!A:A,0)),"")</f>
        <v>28</v>
      </c>
      <c r="O66" s="9" t="str">
        <f t="array" ref="O66">IFERROR(INDEX(dim_date!F:F,MATCH(A66,dim_date!A:A,0)),"")</f>
        <v>7/5-7/11</v>
      </c>
      <c r="P66" s="9" t="str">
        <f t="array" ref="P66">IFERROR(INDEX(dim_kpi!E:E,MATCH(D66,dim_kpi!C:C,0)),"")</f>
        <v>$</v>
      </c>
      <c r="Q66" s="9" t="str">
        <f t="array" ref="Q66">IFERROR(INDEX(dim_kpi!F:F,MATCH(D66,dim_kpi!C:C,0)),"")</f>
        <v>N</v>
      </c>
    </row>
    <row r="67" ht="12.75" customHeight="1">
      <c r="A67" s="20" t="str">
        <f>fact_kpi_weekly!A67</f>
        <v>260712</v>
      </c>
      <c r="B67" s="21">
        <f>fact_kpi_weekly!B67</f>
        <v>46215</v>
      </c>
      <c r="C67" s="9" t="str">
        <f>fact_kpi_weekly!C67</f>
        <v>Contracted Lives</v>
      </c>
      <c r="D67" s="9" t="str">
        <f>fact_kpi_weekly!D67</f>
        <v>Pipeline Growth - 6X Revenue</v>
      </c>
      <c r="E67" s="9" t="str">
        <f>fact_kpi_weekly!E67</f>
        <v>Goal</v>
      </c>
      <c r="F67" s="9" t="str">
        <f>IF(fact_kpi_weekly!F67="","",fact_kpi_weekly!F67)</f>
        <v/>
      </c>
      <c r="G67" s="9" t="str">
        <f>fact_kpi_weekly!G67</f>
        <v>N/A</v>
      </c>
      <c r="H67" s="9" t="str">
        <f>fact_kpi_weekly!H67</f>
        <v>John</v>
      </c>
      <c r="I67" s="9" t="str">
        <f>fact_kpi_weekly!I67</f>
        <v>$46.0M</v>
      </c>
      <c r="J67" s="22">
        <f>fact_kpi_weekly!J67</f>
        <v>46000000</v>
      </c>
      <c r="K67" s="20" t="str">
        <f t="array" ref="K67">IFERROR(INDEX(dim_date!H:H,MATCH(A67,dim_date!A:A,0)),"")</f>
        <v>Jul</v>
      </c>
      <c r="L67" s="20" t="str">
        <f t="array" ref="L67">IFERROR(INDEX(dim_date!G:G,MATCH(A67,dim_date!A:A,0)),"")</f>
        <v>07</v>
      </c>
      <c r="M67" s="9" t="str">
        <f t="array" ref="M67">IFERROR(INDEX(dim_date!I:I,MATCH(A67,dim_date!A:A,0)),"")</f>
        <v>Q3</v>
      </c>
      <c r="N67" s="20" t="str">
        <f t="array" ref="N67">IFERROR(INDEX(dim_date!K:K,MATCH(A67,dim_date!A:A,0)),"")</f>
        <v>29</v>
      </c>
      <c r="O67" s="9" t="str">
        <f t="array" ref="O67">IFERROR(INDEX(dim_date!F:F,MATCH(A67,dim_date!A:A,0)),"")</f>
        <v>7/12-7/18</v>
      </c>
      <c r="P67" s="9" t="str">
        <f t="array" ref="P67">IFERROR(INDEX(dim_kpi!E:E,MATCH(D67,dim_kpi!C:C,0)),"")</f>
        <v>$</v>
      </c>
      <c r="Q67" s="9" t="str">
        <f t="array" ref="Q67">IFERROR(INDEX(dim_kpi!F:F,MATCH(D67,dim_kpi!C:C,0)),"")</f>
        <v>N</v>
      </c>
    </row>
    <row r="68" ht="12.75" customHeight="1">
      <c r="A68" s="20" t="str">
        <f>fact_kpi_weekly!A68</f>
        <v>260719</v>
      </c>
      <c r="B68" s="21">
        <f>fact_kpi_weekly!B68</f>
        <v>46222</v>
      </c>
      <c r="C68" s="9" t="str">
        <f>fact_kpi_weekly!C68</f>
        <v>Contracted Lives</v>
      </c>
      <c r="D68" s="9" t="str">
        <f>fact_kpi_weekly!D68</f>
        <v>Pipeline Growth - 6X Revenue</v>
      </c>
      <c r="E68" s="9" t="str">
        <f>fact_kpi_weekly!E68</f>
        <v>Goal</v>
      </c>
      <c r="F68" s="9" t="str">
        <f>IF(fact_kpi_weekly!F68="","",fact_kpi_weekly!F68)</f>
        <v/>
      </c>
      <c r="G68" s="9" t="str">
        <f>fact_kpi_weekly!G68</f>
        <v>N/A</v>
      </c>
      <c r="H68" s="9" t="str">
        <f>fact_kpi_weekly!H68</f>
        <v>John</v>
      </c>
      <c r="I68" s="9" t="str">
        <f>fact_kpi_weekly!I68</f>
        <v>$46.0M</v>
      </c>
      <c r="J68" s="22">
        <f>fact_kpi_weekly!J68</f>
        <v>46000000</v>
      </c>
      <c r="K68" s="20" t="str">
        <f t="array" ref="K68">IFERROR(INDEX(dim_date!H:H,MATCH(A68,dim_date!A:A,0)),"")</f>
        <v>Jul</v>
      </c>
      <c r="L68" s="20" t="str">
        <f t="array" ref="L68">IFERROR(INDEX(dim_date!G:G,MATCH(A68,dim_date!A:A,0)),"")</f>
        <v>07</v>
      </c>
      <c r="M68" s="9" t="str">
        <f t="array" ref="M68">IFERROR(INDEX(dim_date!I:I,MATCH(A68,dim_date!A:A,0)),"")</f>
        <v>Q3</v>
      </c>
      <c r="N68" s="20" t="str">
        <f t="array" ref="N68">IFERROR(INDEX(dim_date!K:K,MATCH(A68,dim_date!A:A,0)),"")</f>
        <v>30</v>
      </c>
      <c r="O68" s="9" t="str">
        <f t="array" ref="O68">IFERROR(INDEX(dim_date!F:F,MATCH(A68,dim_date!A:A,0)),"")</f>
        <v>7/19-7/25</v>
      </c>
      <c r="P68" s="9" t="str">
        <f t="array" ref="P68">IFERROR(INDEX(dim_kpi!E:E,MATCH(D68,dim_kpi!C:C,0)),"")</f>
        <v>$</v>
      </c>
      <c r="Q68" s="9" t="str">
        <f t="array" ref="Q68">IFERROR(INDEX(dim_kpi!F:F,MATCH(D68,dim_kpi!C:C,0)),"")</f>
        <v>N</v>
      </c>
    </row>
    <row r="69" ht="12.75" customHeight="1">
      <c r="A69" s="20" t="str">
        <f>fact_kpi_weekly!A69</f>
        <v>260726</v>
      </c>
      <c r="B69" s="21">
        <f>fact_kpi_weekly!B69</f>
        <v>46229</v>
      </c>
      <c r="C69" s="9" t="str">
        <f>fact_kpi_weekly!C69</f>
        <v>Contracted Lives</v>
      </c>
      <c r="D69" s="9" t="str">
        <f>fact_kpi_weekly!D69</f>
        <v>Pipeline Growth - 6X Revenue</v>
      </c>
      <c r="E69" s="9" t="str">
        <f>fact_kpi_weekly!E69</f>
        <v>Goal</v>
      </c>
      <c r="F69" s="9" t="str">
        <f>IF(fact_kpi_weekly!F69="","",fact_kpi_weekly!F69)</f>
        <v/>
      </c>
      <c r="G69" s="9" t="str">
        <f>fact_kpi_weekly!G69</f>
        <v>N/A</v>
      </c>
      <c r="H69" s="9" t="str">
        <f>fact_kpi_weekly!H69</f>
        <v>John</v>
      </c>
      <c r="I69" s="9" t="str">
        <f>fact_kpi_weekly!I69</f>
        <v>$46.0M</v>
      </c>
      <c r="J69" s="22">
        <f>fact_kpi_weekly!J69</f>
        <v>46000000</v>
      </c>
      <c r="K69" s="20" t="str">
        <f t="array" ref="K69">IFERROR(INDEX(dim_date!H:H,MATCH(A69,dim_date!A:A,0)),"")</f>
        <v>Jul</v>
      </c>
      <c r="L69" s="20" t="str">
        <f t="array" ref="L69">IFERROR(INDEX(dim_date!G:G,MATCH(A69,dim_date!A:A,0)),"")</f>
        <v>07</v>
      </c>
      <c r="M69" s="9" t="str">
        <f t="array" ref="M69">IFERROR(INDEX(dim_date!I:I,MATCH(A69,dim_date!A:A,0)),"")</f>
        <v>Q3</v>
      </c>
      <c r="N69" s="20" t="str">
        <f t="array" ref="N69">IFERROR(INDEX(dim_date!K:K,MATCH(A69,dim_date!A:A,0)),"")</f>
        <v>31</v>
      </c>
      <c r="O69" s="9" t="str">
        <f t="array" ref="O69">IFERROR(INDEX(dim_date!F:F,MATCH(A69,dim_date!A:A,0)),"")</f>
        <v>7/26-8/1</v>
      </c>
      <c r="P69" s="9" t="str">
        <f t="array" ref="P69">IFERROR(INDEX(dim_kpi!E:E,MATCH(D69,dim_kpi!C:C,0)),"")</f>
        <v>$</v>
      </c>
      <c r="Q69" s="9" t="str">
        <f t="array" ref="Q69">IFERROR(INDEX(dim_kpi!F:F,MATCH(D69,dim_kpi!C:C,0)),"")</f>
        <v>N</v>
      </c>
    </row>
    <row r="70" ht="12.75" customHeight="1">
      <c r="A70" s="20" t="str">
        <f>fact_kpi_weekly!A70</f>
        <v>260802</v>
      </c>
      <c r="B70" s="21">
        <f>fact_kpi_weekly!B70</f>
        <v>46236</v>
      </c>
      <c r="C70" s="9" t="str">
        <f>fact_kpi_weekly!C70</f>
        <v>Contracted Lives</v>
      </c>
      <c r="D70" s="9" t="str">
        <f>fact_kpi_weekly!D70</f>
        <v>Pipeline Growth - 6X Revenue</v>
      </c>
      <c r="E70" s="9" t="str">
        <f>fact_kpi_weekly!E70</f>
        <v>Goal</v>
      </c>
      <c r="F70" s="9" t="str">
        <f>IF(fact_kpi_weekly!F70="","",fact_kpi_weekly!F70)</f>
        <v/>
      </c>
      <c r="G70" s="9" t="str">
        <f>fact_kpi_weekly!G70</f>
        <v>N/A</v>
      </c>
      <c r="H70" s="9" t="str">
        <f>fact_kpi_weekly!H70</f>
        <v>John</v>
      </c>
      <c r="I70" s="9" t="str">
        <f>fact_kpi_weekly!I70</f>
        <v>$53.0M</v>
      </c>
      <c r="J70" s="22">
        <f>fact_kpi_weekly!J70</f>
        <v>53000000</v>
      </c>
      <c r="K70" s="20" t="str">
        <f t="array" ref="K70">IFERROR(INDEX(dim_date!H:H,MATCH(A70,dim_date!A:A,0)),"")</f>
        <v>Aug</v>
      </c>
      <c r="L70" s="20" t="str">
        <f t="array" ref="L70">IFERROR(INDEX(dim_date!G:G,MATCH(A70,dim_date!A:A,0)),"")</f>
        <v>08</v>
      </c>
      <c r="M70" s="9" t="str">
        <f t="array" ref="M70">IFERROR(INDEX(dim_date!I:I,MATCH(A70,dim_date!A:A,0)),"")</f>
        <v>Q3</v>
      </c>
      <c r="N70" s="20" t="str">
        <f t="array" ref="N70">IFERROR(INDEX(dim_date!K:K,MATCH(A70,dim_date!A:A,0)),"")</f>
        <v>32</v>
      </c>
      <c r="O70" s="9" t="str">
        <f t="array" ref="O70">IFERROR(INDEX(dim_date!F:F,MATCH(A70,dim_date!A:A,0)),"")</f>
        <v>8/2-8/8</v>
      </c>
      <c r="P70" s="9" t="str">
        <f t="array" ref="P70">IFERROR(INDEX(dim_kpi!E:E,MATCH(D70,dim_kpi!C:C,0)),"")</f>
        <v>$</v>
      </c>
      <c r="Q70" s="9" t="str">
        <f t="array" ref="Q70">IFERROR(INDEX(dim_kpi!F:F,MATCH(D70,dim_kpi!C:C,0)),"")</f>
        <v>N</v>
      </c>
    </row>
    <row r="71" ht="12.75" customHeight="1">
      <c r="A71" s="20" t="str">
        <f>fact_kpi_weekly!A71</f>
        <v>260809</v>
      </c>
      <c r="B71" s="21">
        <f>fact_kpi_weekly!B71</f>
        <v>46243</v>
      </c>
      <c r="C71" s="9" t="str">
        <f>fact_kpi_weekly!C71</f>
        <v>Contracted Lives</v>
      </c>
      <c r="D71" s="9" t="str">
        <f>fact_kpi_weekly!D71</f>
        <v>Pipeline Growth - 6X Revenue</v>
      </c>
      <c r="E71" s="9" t="str">
        <f>fact_kpi_weekly!E71</f>
        <v>Goal</v>
      </c>
      <c r="F71" s="9" t="str">
        <f>IF(fact_kpi_weekly!F71="","",fact_kpi_weekly!F71)</f>
        <v/>
      </c>
      <c r="G71" s="9" t="str">
        <f>fact_kpi_weekly!G71</f>
        <v>N/A</v>
      </c>
      <c r="H71" s="9" t="str">
        <f>fact_kpi_weekly!H71</f>
        <v>John</v>
      </c>
      <c r="I71" s="9" t="str">
        <f>fact_kpi_weekly!I71</f>
        <v>$53.0M</v>
      </c>
      <c r="J71" s="22">
        <f>fact_kpi_weekly!J71</f>
        <v>53000000</v>
      </c>
      <c r="K71" s="20" t="str">
        <f t="array" ref="K71">IFERROR(INDEX(dim_date!H:H,MATCH(A71,dim_date!A:A,0)),"")</f>
        <v>Aug</v>
      </c>
      <c r="L71" s="20" t="str">
        <f t="array" ref="L71">IFERROR(INDEX(dim_date!G:G,MATCH(A71,dim_date!A:A,0)),"")</f>
        <v>08</v>
      </c>
      <c r="M71" s="9" t="str">
        <f t="array" ref="M71">IFERROR(INDEX(dim_date!I:I,MATCH(A71,dim_date!A:A,0)),"")</f>
        <v>Q3</v>
      </c>
      <c r="N71" s="20" t="str">
        <f t="array" ref="N71">IFERROR(INDEX(dim_date!K:K,MATCH(A71,dim_date!A:A,0)),"")</f>
        <v>33</v>
      </c>
      <c r="O71" s="9" t="str">
        <f t="array" ref="O71">IFERROR(INDEX(dim_date!F:F,MATCH(A71,dim_date!A:A,0)),"")</f>
        <v>8/9-8/15</v>
      </c>
      <c r="P71" s="9" t="str">
        <f t="array" ref="P71">IFERROR(INDEX(dim_kpi!E:E,MATCH(D71,dim_kpi!C:C,0)),"")</f>
        <v>$</v>
      </c>
      <c r="Q71" s="9" t="str">
        <f t="array" ref="Q71">IFERROR(INDEX(dim_kpi!F:F,MATCH(D71,dim_kpi!C:C,0)),"")</f>
        <v>N</v>
      </c>
    </row>
    <row r="72" ht="12.75" customHeight="1">
      <c r="A72" s="20" t="str">
        <f>fact_kpi_weekly!A72</f>
        <v>260816</v>
      </c>
      <c r="B72" s="21">
        <f>fact_kpi_weekly!B72</f>
        <v>46250</v>
      </c>
      <c r="C72" s="9" t="str">
        <f>fact_kpi_weekly!C72</f>
        <v>Contracted Lives</v>
      </c>
      <c r="D72" s="9" t="str">
        <f>fact_kpi_weekly!D72</f>
        <v>Pipeline Growth - 6X Revenue</v>
      </c>
      <c r="E72" s="9" t="str">
        <f>fact_kpi_weekly!E72</f>
        <v>Goal</v>
      </c>
      <c r="F72" s="9" t="str">
        <f>IF(fact_kpi_weekly!F72="","",fact_kpi_weekly!F72)</f>
        <v/>
      </c>
      <c r="G72" s="9" t="str">
        <f>fact_kpi_weekly!G72</f>
        <v>N/A</v>
      </c>
      <c r="H72" s="9" t="str">
        <f>fact_kpi_weekly!H72</f>
        <v>John</v>
      </c>
      <c r="I72" s="9" t="str">
        <f>fact_kpi_weekly!I72</f>
        <v>$53.0M</v>
      </c>
      <c r="J72" s="22">
        <f>fact_kpi_weekly!J72</f>
        <v>53000000</v>
      </c>
      <c r="K72" s="20" t="str">
        <f t="array" ref="K72">IFERROR(INDEX(dim_date!H:H,MATCH(A72,dim_date!A:A,0)),"")</f>
        <v>Aug</v>
      </c>
      <c r="L72" s="20" t="str">
        <f t="array" ref="L72">IFERROR(INDEX(dim_date!G:G,MATCH(A72,dim_date!A:A,0)),"")</f>
        <v>08</v>
      </c>
      <c r="M72" s="9" t="str">
        <f t="array" ref="M72">IFERROR(INDEX(dim_date!I:I,MATCH(A72,dim_date!A:A,0)),"")</f>
        <v>Q3</v>
      </c>
      <c r="N72" s="20" t="str">
        <f t="array" ref="N72">IFERROR(INDEX(dim_date!K:K,MATCH(A72,dim_date!A:A,0)),"")</f>
        <v>34</v>
      </c>
      <c r="O72" s="9" t="str">
        <f t="array" ref="O72">IFERROR(INDEX(dim_date!F:F,MATCH(A72,dim_date!A:A,0)),"")</f>
        <v>8/16-8/22</v>
      </c>
      <c r="P72" s="9" t="str">
        <f t="array" ref="P72">IFERROR(INDEX(dim_kpi!E:E,MATCH(D72,dim_kpi!C:C,0)),"")</f>
        <v>$</v>
      </c>
      <c r="Q72" s="9" t="str">
        <f t="array" ref="Q72">IFERROR(INDEX(dim_kpi!F:F,MATCH(D72,dim_kpi!C:C,0)),"")</f>
        <v>N</v>
      </c>
    </row>
    <row r="73" ht="12.75" customHeight="1">
      <c r="A73" s="20" t="str">
        <f>fact_kpi_weekly!A73</f>
        <v>260823</v>
      </c>
      <c r="B73" s="21">
        <f>fact_kpi_weekly!B73</f>
        <v>46257</v>
      </c>
      <c r="C73" s="9" t="str">
        <f>fact_kpi_weekly!C73</f>
        <v>Contracted Lives</v>
      </c>
      <c r="D73" s="9" t="str">
        <f>fact_kpi_weekly!D73</f>
        <v>Pipeline Growth - 6X Revenue</v>
      </c>
      <c r="E73" s="9" t="str">
        <f>fact_kpi_weekly!E73</f>
        <v>Goal</v>
      </c>
      <c r="F73" s="9" t="str">
        <f>IF(fact_kpi_weekly!F73="","",fact_kpi_weekly!F73)</f>
        <v/>
      </c>
      <c r="G73" s="9" t="str">
        <f>fact_kpi_weekly!G73</f>
        <v>N/A</v>
      </c>
      <c r="H73" s="9" t="str">
        <f>fact_kpi_weekly!H73</f>
        <v>John</v>
      </c>
      <c r="I73" s="9" t="str">
        <f>fact_kpi_weekly!I73</f>
        <v>$53.0M</v>
      </c>
      <c r="J73" s="22">
        <f>fact_kpi_weekly!J73</f>
        <v>53000000</v>
      </c>
      <c r="K73" s="20" t="str">
        <f t="array" ref="K73">IFERROR(INDEX(dim_date!H:H,MATCH(A73,dim_date!A:A,0)),"")</f>
        <v>Aug</v>
      </c>
      <c r="L73" s="20" t="str">
        <f t="array" ref="L73">IFERROR(INDEX(dim_date!G:G,MATCH(A73,dim_date!A:A,0)),"")</f>
        <v>08</v>
      </c>
      <c r="M73" s="9" t="str">
        <f t="array" ref="M73">IFERROR(INDEX(dim_date!I:I,MATCH(A73,dim_date!A:A,0)),"")</f>
        <v>Q3</v>
      </c>
      <c r="N73" s="20" t="str">
        <f t="array" ref="N73">IFERROR(INDEX(dim_date!K:K,MATCH(A73,dim_date!A:A,0)),"")</f>
        <v>35</v>
      </c>
      <c r="O73" s="9" t="str">
        <f t="array" ref="O73">IFERROR(INDEX(dim_date!F:F,MATCH(A73,dim_date!A:A,0)),"")</f>
        <v>8/23-8/29</v>
      </c>
      <c r="P73" s="9" t="str">
        <f t="array" ref="P73">IFERROR(INDEX(dim_kpi!E:E,MATCH(D73,dim_kpi!C:C,0)),"")</f>
        <v>$</v>
      </c>
      <c r="Q73" s="9" t="str">
        <f t="array" ref="Q73">IFERROR(INDEX(dim_kpi!F:F,MATCH(D73,dim_kpi!C:C,0)),"")</f>
        <v>N</v>
      </c>
    </row>
    <row r="74" ht="12.75" customHeight="1">
      <c r="A74" s="20" t="str">
        <f>fact_kpi_weekly!A74</f>
        <v>260830</v>
      </c>
      <c r="B74" s="21">
        <f>fact_kpi_weekly!B74</f>
        <v>46264</v>
      </c>
      <c r="C74" s="9" t="str">
        <f>fact_kpi_weekly!C74</f>
        <v>Contracted Lives</v>
      </c>
      <c r="D74" s="9" t="str">
        <f>fact_kpi_weekly!D74</f>
        <v>Pipeline Growth - 6X Revenue</v>
      </c>
      <c r="E74" s="9" t="str">
        <f>fact_kpi_weekly!E74</f>
        <v>Goal</v>
      </c>
      <c r="F74" s="9" t="str">
        <f>IF(fact_kpi_weekly!F74="","",fact_kpi_weekly!F74)</f>
        <v/>
      </c>
      <c r="G74" s="9" t="str">
        <f>fact_kpi_weekly!G74</f>
        <v>N/A</v>
      </c>
      <c r="H74" s="9" t="str">
        <f>fact_kpi_weekly!H74</f>
        <v>John</v>
      </c>
      <c r="I74" s="9" t="str">
        <f>fact_kpi_weekly!I74</f>
        <v>$61.0M</v>
      </c>
      <c r="J74" s="22">
        <f>fact_kpi_weekly!J74</f>
        <v>61000000</v>
      </c>
      <c r="K74" s="20" t="str">
        <f t="array" ref="K74">IFERROR(INDEX(dim_date!H:H,MATCH(A74,dim_date!A:A,0)),"")</f>
        <v>Aug</v>
      </c>
      <c r="L74" s="20" t="str">
        <f t="array" ref="L74">IFERROR(INDEX(dim_date!G:G,MATCH(A74,dim_date!A:A,0)),"")</f>
        <v>08</v>
      </c>
      <c r="M74" s="9" t="str">
        <f t="array" ref="M74">IFERROR(INDEX(dim_date!I:I,MATCH(A74,dim_date!A:A,0)),"")</f>
        <v>Q3</v>
      </c>
      <c r="N74" s="20" t="str">
        <f t="array" ref="N74">IFERROR(INDEX(dim_date!K:K,MATCH(A74,dim_date!A:A,0)),"")</f>
        <v>36</v>
      </c>
      <c r="O74" s="9" t="str">
        <f t="array" ref="O74">IFERROR(INDEX(dim_date!F:F,MATCH(A74,dim_date!A:A,0)),"")</f>
        <v>8/30-9/5</v>
      </c>
      <c r="P74" s="9" t="str">
        <f t="array" ref="P74">IFERROR(INDEX(dim_kpi!E:E,MATCH(D74,dim_kpi!C:C,0)),"")</f>
        <v>$</v>
      </c>
      <c r="Q74" s="9" t="str">
        <f t="array" ref="Q74">IFERROR(INDEX(dim_kpi!F:F,MATCH(D74,dim_kpi!C:C,0)),"")</f>
        <v>N</v>
      </c>
    </row>
    <row r="75" ht="12.75" customHeight="1">
      <c r="A75" s="20" t="str">
        <f>fact_kpi_weekly!A75</f>
        <v>260906</v>
      </c>
      <c r="B75" s="21">
        <f>fact_kpi_weekly!B75</f>
        <v>46271</v>
      </c>
      <c r="C75" s="9" t="str">
        <f>fact_kpi_weekly!C75</f>
        <v>Contracted Lives</v>
      </c>
      <c r="D75" s="9" t="str">
        <f>fact_kpi_weekly!D75</f>
        <v>Pipeline Growth - 6X Revenue</v>
      </c>
      <c r="E75" s="9" t="str">
        <f>fact_kpi_weekly!E75</f>
        <v>Goal</v>
      </c>
      <c r="F75" s="9" t="str">
        <f>IF(fact_kpi_weekly!F75="","",fact_kpi_weekly!F75)</f>
        <v/>
      </c>
      <c r="G75" s="9" t="str">
        <f>fact_kpi_weekly!G75</f>
        <v>N/A</v>
      </c>
      <c r="H75" s="9" t="str">
        <f>fact_kpi_weekly!H75</f>
        <v>John</v>
      </c>
      <c r="I75" s="9" t="str">
        <f>fact_kpi_weekly!I75</f>
        <v>$61.0M</v>
      </c>
      <c r="J75" s="22">
        <f>fact_kpi_weekly!J75</f>
        <v>61000000</v>
      </c>
      <c r="K75" s="20" t="str">
        <f t="array" ref="K75">IFERROR(INDEX(dim_date!H:H,MATCH(A75,dim_date!A:A,0)),"")</f>
        <v>Sep</v>
      </c>
      <c r="L75" s="20" t="str">
        <f t="array" ref="L75">IFERROR(INDEX(dim_date!G:G,MATCH(A75,dim_date!A:A,0)),"")</f>
        <v>09</v>
      </c>
      <c r="M75" s="9" t="str">
        <f t="array" ref="M75">IFERROR(INDEX(dim_date!I:I,MATCH(A75,dim_date!A:A,0)),"")</f>
        <v>Q3</v>
      </c>
      <c r="N75" s="20" t="str">
        <f t="array" ref="N75">IFERROR(INDEX(dim_date!K:K,MATCH(A75,dim_date!A:A,0)),"")</f>
        <v>37</v>
      </c>
      <c r="O75" s="9" t="str">
        <f t="array" ref="O75">IFERROR(INDEX(dim_date!F:F,MATCH(A75,dim_date!A:A,0)),"")</f>
        <v>9/6-9/12</v>
      </c>
      <c r="P75" s="9" t="str">
        <f t="array" ref="P75">IFERROR(INDEX(dim_kpi!E:E,MATCH(D75,dim_kpi!C:C,0)),"")</f>
        <v>$</v>
      </c>
      <c r="Q75" s="9" t="str">
        <f t="array" ref="Q75">IFERROR(INDEX(dim_kpi!F:F,MATCH(D75,dim_kpi!C:C,0)),"")</f>
        <v>N</v>
      </c>
    </row>
    <row r="76" ht="12.75" customHeight="1">
      <c r="A76" s="20" t="str">
        <f>fact_kpi_weekly!A76</f>
        <v>260913</v>
      </c>
      <c r="B76" s="21">
        <f>fact_kpi_weekly!B76</f>
        <v>46278</v>
      </c>
      <c r="C76" s="9" t="str">
        <f>fact_kpi_weekly!C76</f>
        <v>Contracted Lives</v>
      </c>
      <c r="D76" s="9" t="str">
        <f>fact_kpi_weekly!D76</f>
        <v>Pipeline Growth - 6X Revenue</v>
      </c>
      <c r="E76" s="9" t="str">
        <f>fact_kpi_weekly!E76</f>
        <v>Goal</v>
      </c>
      <c r="F76" s="9" t="str">
        <f>IF(fact_kpi_weekly!F76="","",fact_kpi_weekly!F76)</f>
        <v/>
      </c>
      <c r="G76" s="9" t="str">
        <f>fact_kpi_weekly!G76</f>
        <v>N/A</v>
      </c>
      <c r="H76" s="9" t="str">
        <f>fact_kpi_weekly!H76</f>
        <v>John</v>
      </c>
      <c r="I76" s="9" t="str">
        <f>fact_kpi_weekly!I76</f>
        <v>$61.0M</v>
      </c>
      <c r="J76" s="22">
        <f>fact_kpi_weekly!J76</f>
        <v>61000000</v>
      </c>
      <c r="K76" s="20" t="str">
        <f t="array" ref="K76">IFERROR(INDEX(dim_date!H:H,MATCH(A76,dim_date!A:A,0)),"")</f>
        <v>Sep</v>
      </c>
      <c r="L76" s="20" t="str">
        <f t="array" ref="L76">IFERROR(INDEX(dim_date!G:G,MATCH(A76,dim_date!A:A,0)),"")</f>
        <v>09</v>
      </c>
      <c r="M76" s="9" t="str">
        <f t="array" ref="M76">IFERROR(INDEX(dim_date!I:I,MATCH(A76,dim_date!A:A,0)),"")</f>
        <v>Q3</v>
      </c>
      <c r="N76" s="20" t="str">
        <f t="array" ref="N76">IFERROR(INDEX(dim_date!K:K,MATCH(A76,dim_date!A:A,0)),"")</f>
        <v>38</v>
      </c>
      <c r="O76" s="9" t="str">
        <f t="array" ref="O76">IFERROR(INDEX(dim_date!F:F,MATCH(A76,dim_date!A:A,0)),"")</f>
        <v>9/13-9/19</v>
      </c>
      <c r="P76" s="9" t="str">
        <f t="array" ref="P76">IFERROR(INDEX(dim_kpi!E:E,MATCH(D76,dim_kpi!C:C,0)),"")</f>
        <v>$</v>
      </c>
      <c r="Q76" s="9" t="str">
        <f t="array" ref="Q76">IFERROR(INDEX(dim_kpi!F:F,MATCH(D76,dim_kpi!C:C,0)),"")</f>
        <v>N</v>
      </c>
    </row>
    <row r="77" ht="12.75" customHeight="1">
      <c r="A77" s="20" t="str">
        <f>fact_kpi_weekly!A77</f>
        <v>260920</v>
      </c>
      <c r="B77" s="21">
        <f>fact_kpi_weekly!B77</f>
        <v>46285</v>
      </c>
      <c r="C77" s="9" t="str">
        <f>fact_kpi_weekly!C77</f>
        <v>Contracted Lives</v>
      </c>
      <c r="D77" s="9" t="str">
        <f>fact_kpi_weekly!D77</f>
        <v>Pipeline Growth - 6X Revenue</v>
      </c>
      <c r="E77" s="9" t="str">
        <f>fact_kpi_weekly!E77</f>
        <v>Goal</v>
      </c>
      <c r="F77" s="9" t="str">
        <f>IF(fact_kpi_weekly!F77="","",fact_kpi_weekly!F77)</f>
        <v/>
      </c>
      <c r="G77" s="9" t="str">
        <f>fact_kpi_weekly!G77</f>
        <v>N/A</v>
      </c>
      <c r="H77" s="9" t="str">
        <f>fact_kpi_weekly!H77</f>
        <v>John</v>
      </c>
      <c r="I77" s="9" t="str">
        <f>fact_kpi_weekly!I77</f>
        <v>$61.0M</v>
      </c>
      <c r="J77" s="22">
        <f>fact_kpi_weekly!J77</f>
        <v>61000000</v>
      </c>
      <c r="K77" s="20" t="str">
        <f t="array" ref="K77">IFERROR(INDEX(dim_date!H:H,MATCH(A77,dim_date!A:A,0)),"")</f>
        <v>Sep</v>
      </c>
      <c r="L77" s="20" t="str">
        <f t="array" ref="L77">IFERROR(INDEX(dim_date!G:G,MATCH(A77,dim_date!A:A,0)),"")</f>
        <v>09</v>
      </c>
      <c r="M77" s="9" t="str">
        <f t="array" ref="M77">IFERROR(INDEX(dim_date!I:I,MATCH(A77,dim_date!A:A,0)),"")</f>
        <v>Q3</v>
      </c>
      <c r="N77" s="20" t="str">
        <f t="array" ref="N77">IFERROR(INDEX(dim_date!K:K,MATCH(A77,dim_date!A:A,0)),"")</f>
        <v>39</v>
      </c>
      <c r="O77" s="9" t="str">
        <f t="array" ref="O77">IFERROR(INDEX(dim_date!F:F,MATCH(A77,dim_date!A:A,0)),"")</f>
        <v>9/20-9/26</v>
      </c>
      <c r="P77" s="9" t="str">
        <f t="array" ref="P77">IFERROR(INDEX(dim_kpi!E:E,MATCH(D77,dim_kpi!C:C,0)),"")</f>
        <v>$</v>
      </c>
      <c r="Q77" s="9" t="str">
        <f t="array" ref="Q77">IFERROR(INDEX(dim_kpi!F:F,MATCH(D77,dim_kpi!C:C,0)),"")</f>
        <v>N</v>
      </c>
    </row>
    <row r="78" ht="12.75" customHeight="1">
      <c r="A78" s="20" t="str">
        <f>fact_kpi_weekly!A78</f>
        <v>260927</v>
      </c>
      <c r="B78" s="21">
        <f>fact_kpi_weekly!B78</f>
        <v>46292</v>
      </c>
      <c r="C78" s="9" t="str">
        <f>fact_kpi_weekly!C78</f>
        <v>Contracted Lives</v>
      </c>
      <c r="D78" s="9" t="str">
        <f>fact_kpi_weekly!D78</f>
        <v>Pipeline Growth - 6X Revenue</v>
      </c>
      <c r="E78" s="9" t="str">
        <f>fact_kpi_weekly!E78</f>
        <v>Goal</v>
      </c>
      <c r="F78" s="9" t="str">
        <f>IF(fact_kpi_weekly!F78="","",fact_kpi_weekly!F78)</f>
        <v/>
      </c>
      <c r="G78" s="9" t="str">
        <f>fact_kpi_weekly!G78</f>
        <v>N/A</v>
      </c>
      <c r="H78" s="9" t="str">
        <f>fact_kpi_weekly!H78</f>
        <v>John</v>
      </c>
      <c r="I78" s="9" t="str">
        <f>fact_kpi_weekly!I78</f>
        <v>$61.0M</v>
      </c>
      <c r="J78" s="22">
        <f>fact_kpi_weekly!J78</f>
        <v>61000000</v>
      </c>
      <c r="K78" s="20" t="str">
        <f t="array" ref="K78">IFERROR(INDEX(dim_date!H:H,MATCH(A78,dim_date!A:A,0)),"")</f>
        <v>Sep</v>
      </c>
      <c r="L78" s="20" t="str">
        <f t="array" ref="L78">IFERROR(INDEX(dim_date!G:G,MATCH(A78,dim_date!A:A,0)),"")</f>
        <v>09</v>
      </c>
      <c r="M78" s="9" t="str">
        <f t="array" ref="M78">IFERROR(INDEX(dim_date!I:I,MATCH(A78,dim_date!A:A,0)),"")</f>
        <v>Q3</v>
      </c>
      <c r="N78" s="20" t="str">
        <f t="array" ref="N78">IFERROR(INDEX(dim_date!K:K,MATCH(A78,dim_date!A:A,0)),"")</f>
        <v>40</v>
      </c>
      <c r="O78" s="9" t="str">
        <f t="array" ref="O78">IFERROR(INDEX(dim_date!F:F,MATCH(A78,dim_date!A:A,0)),"")</f>
        <v>9/27-10/3</v>
      </c>
      <c r="P78" s="9" t="str">
        <f t="array" ref="P78">IFERROR(INDEX(dim_kpi!E:E,MATCH(D78,dim_kpi!C:C,0)),"")</f>
        <v>$</v>
      </c>
      <c r="Q78" s="9" t="str">
        <f t="array" ref="Q78">IFERROR(INDEX(dim_kpi!F:F,MATCH(D78,dim_kpi!C:C,0)),"")</f>
        <v>N</v>
      </c>
    </row>
    <row r="79" ht="12.75" customHeight="1">
      <c r="A79" s="20" t="str">
        <f>fact_kpi_weekly!A79</f>
        <v>261004</v>
      </c>
      <c r="B79" s="21">
        <f>fact_kpi_weekly!B79</f>
        <v>46299</v>
      </c>
      <c r="C79" s="9" t="str">
        <f>fact_kpi_weekly!C79</f>
        <v>Contracted Lives</v>
      </c>
      <c r="D79" s="9" t="str">
        <f>fact_kpi_weekly!D79</f>
        <v>Pipeline Growth - 6X Revenue</v>
      </c>
      <c r="E79" s="9" t="str">
        <f>fact_kpi_weekly!E79</f>
        <v>Goal</v>
      </c>
      <c r="F79" s="9" t="str">
        <f>IF(fact_kpi_weekly!F79="","",fact_kpi_weekly!F79)</f>
        <v/>
      </c>
      <c r="G79" s="9" t="str">
        <f>fact_kpi_weekly!G79</f>
        <v>N/A</v>
      </c>
      <c r="H79" s="9" t="str">
        <f>fact_kpi_weekly!H79</f>
        <v>John</v>
      </c>
      <c r="I79" s="9" t="str">
        <f>fact_kpi_weekly!I79</f>
        <v>$69.0M</v>
      </c>
      <c r="J79" s="22">
        <f>fact_kpi_weekly!J79</f>
        <v>69000000</v>
      </c>
      <c r="K79" s="20" t="str">
        <f t="array" ref="K79">IFERROR(INDEX(dim_date!H:H,MATCH(A79,dim_date!A:A,0)),"")</f>
        <v>Oct</v>
      </c>
      <c r="L79" s="20" t="str">
        <f t="array" ref="L79">IFERROR(INDEX(dim_date!G:G,MATCH(A79,dim_date!A:A,0)),"")</f>
        <v>10</v>
      </c>
      <c r="M79" s="9" t="str">
        <f t="array" ref="M79">IFERROR(INDEX(dim_date!I:I,MATCH(A79,dim_date!A:A,0)),"")</f>
        <v>Q4</v>
      </c>
      <c r="N79" s="20" t="str">
        <f t="array" ref="N79">IFERROR(INDEX(dim_date!K:K,MATCH(A79,dim_date!A:A,0)),"")</f>
        <v>41</v>
      </c>
      <c r="O79" s="9" t="str">
        <f t="array" ref="O79">IFERROR(INDEX(dim_date!F:F,MATCH(A79,dim_date!A:A,0)),"")</f>
        <v>10/4-10/10</v>
      </c>
      <c r="P79" s="9" t="str">
        <f t="array" ref="P79">IFERROR(INDEX(dim_kpi!E:E,MATCH(D79,dim_kpi!C:C,0)),"")</f>
        <v>$</v>
      </c>
      <c r="Q79" s="9" t="str">
        <f t="array" ref="Q79">IFERROR(INDEX(dim_kpi!F:F,MATCH(D79,dim_kpi!C:C,0)),"")</f>
        <v>N</v>
      </c>
    </row>
    <row r="80" ht="12.75" customHeight="1">
      <c r="A80" s="20" t="str">
        <f>fact_kpi_weekly!A80</f>
        <v>261011</v>
      </c>
      <c r="B80" s="21">
        <f>fact_kpi_weekly!B80</f>
        <v>46306</v>
      </c>
      <c r="C80" s="9" t="str">
        <f>fact_kpi_weekly!C80</f>
        <v>Contracted Lives</v>
      </c>
      <c r="D80" s="9" t="str">
        <f>fact_kpi_weekly!D80</f>
        <v>Pipeline Growth - 6X Revenue</v>
      </c>
      <c r="E80" s="9" t="str">
        <f>fact_kpi_weekly!E80</f>
        <v>Goal</v>
      </c>
      <c r="F80" s="9" t="str">
        <f>IF(fact_kpi_weekly!F80="","",fact_kpi_weekly!F80)</f>
        <v/>
      </c>
      <c r="G80" s="9" t="str">
        <f>fact_kpi_weekly!G80</f>
        <v>N/A</v>
      </c>
      <c r="H80" s="9" t="str">
        <f>fact_kpi_weekly!H80</f>
        <v>John</v>
      </c>
      <c r="I80" s="9" t="str">
        <f>fact_kpi_weekly!I80</f>
        <v>$69.0M</v>
      </c>
      <c r="J80" s="22">
        <f>fact_kpi_weekly!J80</f>
        <v>69000000</v>
      </c>
      <c r="K80" s="20" t="str">
        <f t="array" ref="K80">IFERROR(INDEX(dim_date!H:H,MATCH(A80,dim_date!A:A,0)),"")</f>
        <v>Oct</v>
      </c>
      <c r="L80" s="20" t="str">
        <f t="array" ref="L80">IFERROR(INDEX(dim_date!G:G,MATCH(A80,dim_date!A:A,0)),"")</f>
        <v>10</v>
      </c>
      <c r="M80" s="9" t="str">
        <f t="array" ref="M80">IFERROR(INDEX(dim_date!I:I,MATCH(A80,dim_date!A:A,0)),"")</f>
        <v>Q4</v>
      </c>
      <c r="N80" s="20" t="str">
        <f t="array" ref="N80">IFERROR(INDEX(dim_date!K:K,MATCH(A80,dim_date!A:A,0)),"")</f>
        <v>42</v>
      </c>
      <c r="O80" s="9" t="str">
        <f t="array" ref="O80">IFERROR(INDEX(dim_date!F:F,MATCH(A80,dim_date!A:A,0)),"")</f>
        <v>10/11-10/17</v>
      </c>
      <c r="P80" s="9" t="str">
        <f t="array" ref="P80">IFERROR(INDEX(dim_kpi!E:E,MATCH(D80,dim_kpi!C:C,0)),"")</f>
        <v>$</v>
      </c>
      <c r="Q80" s="9" t="str">
        <f t="array" ref="Q80">IFERROR(INDEX(dim_kpi!F:F,MATCH(D80,dim_kpi!C:C,0)),"")</f>
        <v>N</v>
      </c>
    </row>
    <row r="81" ht="12.75" customHeight="1">
      <c r="A81" s="20" t="str">
        <f>fact_kpi_weekly!A81</f>
        <v>261018</v>
      </c>
      <c r="B81" s="21">
        <f>fact_kpi_weekly!B81</f>
        <v>46313</v>
      </c>
      <c r="C81" s="9" t="str">
        <f>fact_kpi_weekly!C81</f>
        <v>Contracted Lives</v>
      </c>
      <c r="D81" s="9" t="str">
        <f>fact_kpi_weekly!D81</f>
        <v>Pipeline Growth - 6X Revenue</v>
      </c>
      <c r="E81" s="9" t="str">
        <f>fact_kpi_weekly!E81</f>
        <v>Goal</v>
      </c>
      <c r="F81" s="9" t="str">
        <f>IF(fact_kpi_weekly!F81="","",fact_kpi_weekly!F81)</f>
        <v/>
      </c>
      <c r="G81" s="9" t="str">
        <f>fact_kpi_weekly!G81</f>
        <v>N/A</v>
      </c>
      <c r="H81" s="9" t="str">
        <f>fact_kpi_weekly!H81</f>
        <v>John</v>
      </c>
      <c r="I81" s="9" t="str">
        <f>fact_kpi_weekly!I81</f>
        <v>$69.0M</v>
      </c>
      <c r="J81" s="22">
        <f>fact_kpi_weekly!J81</f>
        <v>69000000</v>
      </c>
      <c r="K81" s="20" t="str">
        <f t="array" ref="K81">IFERROR(INDEX(dim_date!H:H,MATCH(A81,dim_date!A:A,0)),"")</f>
        <v>Oct</v>
      </c>
      <c r="L81" s="20" t="str">
        <f t="array" ref="L81">IFERROR(INDEX(dim_date!G:G,MATCH(A81,dim_date!A:A,0)),"")</f>
        <v>10</v>
      </c>
      <c r="M81" s="9" t="str">
        <f t="array" ref="M81">IFERROR(INDEX(dim_date!I:I,MATCH(A81,dim_date!A:A,0)),"")</f>
        <v>Q4</v>
      </c>
      <c r="N81" s="20" t="str">
        <f t="array" ref="N81">IFERROR(INDEX(dim_date!K:K,MATCH(A81,dim_date!A:A,0)),"")</f>
        <v>43</v>
      </c>
      <c r="O81" s="9" t="str">
        <f t="array" ref="O81">IFERROR(INDEX(dim_date!F:F,MATCH(A81,dim_date!A:A,0)),"")</f>
        <v>10/18-10/24</v>
      </c>
      <c r="P81" s="9" t="str">
        <f t="array" ref="P81">IFERROR(INDEX(dim_kpi!E:E,MATCH(D81,dim_kpi!C:C,0)),"")</f>
        <v>$</v>
      </c>
      <c r="Q81" s="9" t="str">
        <f t="array" ref="Q81">IFERROR(INDEX(dim_kpi!F:F,MATCH(D81,dim_kpi!C:C,0)),"")</f>
        <v>N</v>
      </c>
    </row>
    <row r="82" ht="12.75" customHeight="1">
      <c r="A82" s="20" t="str">
        <f>fact_kpi_weekly!A82</f>
        <v>261025</v>
      </c>
      <c r="B82" s="21">
        <f>fact_kpi_weekly!B82</f>
        <v>46320</v>
      </c>
      <c r="C82" s="9" t="str">
        <f>fact_kpi_weekly!C82</f>
        <v>Contracted Lives</v>
      </c>
      <c r="D82" s="9" t="str">
        <f>fact_kpi_weekly!D82</f>
        <v>Pipeline Growth - 6X Revenue</v>
      </c>
      <c r="E82" s="9" t="str">
        <f>fact_kpi_weekly!E82</f>
        <v>Goal</v>
      </c>
      <c r="F82" s="9" t="str">
        <f>IF(fact_kpi_weekly!F82="","",fact_kpi_weekly!F82)</f>
        <v/>
      </c>
      <c r="G82" s="9" t="str">
        <f>fact_kpi_weekly!G82</f>
        <v>N/A</v>
      </c>
      <c r="H82" s="9" t="str">
        <f>fact_kpi_weekly!H82</f>
        <v>John</v>
      </c>
      <c r="I82" s="9" t="str">
        <f>fact_kpi_weekly!I82</f>
        <v>$69.0M</v>
      </c>
      <c r="J82" s="22">
        <f>fact_kpi_weekly!J82</f>
        <v>69000000</v>
      </c>
      <c r="K82" s="20" t="str">
        <f t="array" ref="K82">IFERROR(INDEX(dim_date!H:H,MATCH(A82,dim_date!A:A,0)),"")</f>
        <v>Oct</v>
      </c>
      <c r="L82" s="20" t="str">
        <f t="array" ref="L82">IFERROR(INDEX(dim_date!G:G,MATCH(A82,dim_date!A:A,0)),"")</f>
        <v>10</v>
      </c>
      <c r="M82" s="9" t="str">
        <f t="array" ref="M82">IFERROR(INDEX(dim_date!I:I,MATCH(A82,dim_date!A:A,0)),"")</f>
        <v>Q4</v>
      </c>
      <c r="N82" s="20" t="str">
        <f t="array" ref="N82">IFERROR(INDEX(dim_date!K:K,MATCH(A82,dim_date!A:A,0)),"")</f>
        <v>44</v>
      </c>
      <c r="O82" s="9" t="str">
        <f t="array" ref="O82">IFERROR(INDEX(dim_date!F:F,MATCH(A82,dim_date!A:A,0)),"")</f>
        <v>10/25-10/31</v>
      </c>
      <c r="P82" s="9" t="str">
        <f t="array" ref="P82">IFERROR(INDEX(dim_kpi!E:E,MATCH(D82,dim_kpi!C:C,0)),"")</f>
        <v>$</v>
      </c>
      <c r="Q82" s="9" t="str">
        <f t="array" ref="Q82">IFERROR(INDEX(dim_kpi!F:F,MATCH(D82,dim_kpi!C:C,0)),"")</f>
        <v>N</v>
      </c>
    </row>
    <row r="83" ht="12.75" customHeight="1">
      <c r="A83" s="20" t="str">
        <f>fact_kpi_weekly!A83</f>
        <v>261101</v>
      </c>
      <c r="B83" s="21">
        <f>fact_kpi_weekly!B83</f>
        <v>46327</v>
      </c>
      <c r="C83" s="9" t="str">
        <f>fact_kpi_weekly!C83</f>
        <v>Contracted Lives</v>
      </c>
      <c r="D83" s="9" t="str">
        <f>fact_kpi_weekly!D83</f>
        <v>Pipeline Growth - 6X Revenue</v>
      </c>
      <c r="E83" s="9" t="str">
        <f>fact_kpi_weekly!E83</f>
        <v>Goal</v>
      </c>
      <c r="F83" s="9" t="str">
        <f>IF(fact_kpi_weekly!F83="","",fact_kpi_weekly!F83)</f>
        <v/>
      </c>
      <c r="G83" s="9" t="str">
        <f>fact_kpi_weekly!G83</f>
        <v>N/A</v>
      </c>
      <c r="H83" s="9" t="str">
        <f>fact_kpi_weekly!H83</f>
        <v>John</v>
      </c>
      <c r="I83" s="9" t="str">
        <f>fact_kpi_weekly!I83</f>
        <v>$78.0M</v>
      </c>
      <c r="J83" s="22">
        <f>fact_kpi_weekly!J83</f>
        <v>78000000</v>
      </c>
      <c r="K83" s="20" t="str">
        <f t="array" ref="K83">IFERROR(INDEX(dim_date!H:H,MATCH(A83,dim_date!A:A,0)),"")</f>
        <v>Nov</v>
      </c>
      <c r="L83" s="20" t="str">
        <f t="array" ref="L83">IFERROR(INDEX(dim_date!G:G,MATCH(A83,dim_date!A:A,0)),"")</f>
        <v>11</v>
      </c>
      <c r="M83" s="9" t="str">
        <f t="array" ref="M83">IFERROR(INDEX(dim_date!I:I,MATCH(A83,dim_date!A:A,0)),"")</f>
        <v>Q4</v>
      </c>
      <c r="N83" s="20" t="str">
        <f t="array" ref="N83">IFERROR(INDEX(dim_date!K:K,MATCH(A83,dim_date!A:A,0)),"")</f>
        <v>45</v>
      </c>
      <c r="O83" s="9" t="str">
        <f t="array" ref="O83">IFERROR(INDEX(dim_date!F:F,MATCH(A83,dim_date!A:A,0)),"")</f>
        <v>11/1-11/7</v>
      </c>
      <c r="P83" s="9" t="str">
        <f t="array" ref="P83">IFERROR(INDEX(dim_kpi!E:E,MATCH(D83,dim_kpi!C:C,0)),"")</f>
        <v>$</v>
      </c>
      <c r="Q83" s="9" t="str">
        <f t="array" ref="Q83">IFERROR(INDEX(dim_kpi!F:F,MATCH(D83,dim_kpi!C:C,0)),"")</f>
        <v>N</v>
      </c>
    </row>
    <row r="84" ht="12.75" customHeight="1">
      <c r="A84" s="20" t="str">
        <f>fact_kpi_weekly!A84</f>
        <v>261108</v>
      </c>
      <c r="B84" s="21">
        <f>fact_kpi_weekly!B84</f>
        <v>46334</v>
      </c>
      <c r="C84" s="9" t="str">
        <f>fact_kpi_weekly!C84</f>
        <v>Contracted Lives</v>
      </c>
      <c r="D84" s="9" t="str">
        <f>fact_kpi_weekly!D84</f>
        <v>Pipeline Growth - 6X Revenue</v>
      </c>
      <c r="E84" s="9" t="str">
        <f>fact_kpi_weekly!E84</f>
        <v>Goal</v>
      </c>
      <c r="F84" s="9" t="str">
        <f>IF(fact_kpi_weekly!F84="","",fact_kpi_weekly!F84)</f>
        <v/>
      </c>
      <c r="G84" s="9" t="str">
        <f>fact_kpi_weekly!G84</f>
        <v>N/A</v>
      </c>
      <c r="H84" s="9" t="str">
        <f>fact_kpi_weekly!H84</f>
        <v>John</v>
      </c>
      <c r="I84" s="9" t="str">
        <f>fact_kpi_weekly!I84</f>
        <v>$78.0M</v>
      </c>
      <c r="J84" s="22">
        <f>fact_kpi_weekly!J84</f>
        <v>78000000</v>
      </c>
      <c r="K84" s="20" t="str">
        <f t="array" ref="K84">IFERROR(INDEX(dim_date!H:H,MATCH(A84,dim_date!A:A,0)),"")</f>
        <v>Nov</v>
      </c>
      <c r="L84" s="20" t="str">
        <f t="array" ref="L84">IFERROR(INDEX(dim_date!G:G,MATCH(A84,dim_date!A:A,0)),"")</f>
        <v>11</v>
      </c>
      <c r="M84" s="9" t="str">
        <f t="array" ref="M84">IFERROR(INDEX(dim_date!I:I,MATCH(A84,dim_date!A:A,0)),"")</f>
        <v>Q4</v>
      </c>
      <c r="N84" s="20" t="str">
        <f t="array" ref="N84">IFERROR(INDEX(dim_date!K:K,MATCH(A84,dim_date!A:A,0)),"")</f>
        <v>46</v>
      </c>
      <c r="O84" s="9" t="str">
        <f t="array" ref="O84">IFERROR(INDEX(dim_date!F:F,MATCH(A84,dim_date!A:A,0)),"")</f>
        <v>11/8-11/14</v>
      </c>
      <c r="P84" s="9" t="str">
        <f t="array" ref="P84">IFERROR(INDEX(dim_kpi!E:E,MATCH(D84,dim_kpi!C:C,0)),"")</f>
        <v>$</v>
      </c>
      <c r="Q84" s="9" t="str">
        <f t="array" ref="Q84">IFERROR(INDEX(dim_kpi!F:F,MATCH(D84,dim_kpi!C:C,0)),"")</f>
        <v>N</v>
      </c>
    </row>
    <row r="85" ht="12.75" customHeight="1">
      <c r="A85" s="20" t="str">
        <f>fact_kpi_weekly!A85</f>
        <v>261115</v>
      </c>
      <c r="B85" s="21">
        <f>fact_kpi_weekly!B85</f>
        <v>46341</v>
      </c>
      <c r="C85" s="9" t="str">
        <f>fact_kpi_weekly!C85</f>
        <v>Contracted Lives</v>
      </c>
      <c r="D85" s="9" t="str">
        <f>fact_kpi_weekly!D85</f>
        <v>Pipeline Growth - 6X Revenue</v>
      </c>
      <c r="E85" s="9" t="str">
        <f>fact_kpi_weekly!E85</f>
        <v>Goal</v>
      </c>
      <c r="F85" s="9" t="str">
        <f>IF(fact_kpi_weekly!F85="","",fact_kpi_weekly!F85)</f>
        <v/>
      </c>
      <c r="G85" s="9" t="str">
        <f>fact_kpi_weekly!G85</f>
        <v>N/A</v>
      </c>
      <c r="H85" s="9" t="str">
        <f>fact_kpi_weekly!H85</f>
        <v>John</v>
      </c>
      <c r="I85" s="9" t="str">
        <f>fact_kpi_weekly!I85</f>
        <v>$78.0M</v>
      </c>
      <c r="J85" s="22">
        <f>fact_kpi_weekly!J85</f>
        <v>78000000</v>
      </c>
      <c r="K85" s="20" t="str">
        <f t="array" ref="K85">IFERROR(INDEX(dim_date!H:H,MATCH(A85,dim_date!A:A,0)),"")</f>
        <v>Nov</v>
      </c>
      <c r="L85" s="20" t="str">
        <f t="array" ref="L85">IFERROR(INDEX(dim_date!G:G,MATCH(A85,dim_date!A:A,0)),"")</f>
        <v>11</v>
      </c>
      <c r="M85" s="9" t="str">
        <f t="array" ref="M85">IFERROR(INDEX(dim_date!I:I,MATCH(A85,dim_date!A:A,0)),"")</f>
        <v>Q4</v>
      </c>
      <c r="N85" s="20" t="str">
        <f t="array" ref="N85">IFERROR(INDEX(dim_date!K:K,MATCH(A85,dim_date!A:A,0)),"")</f>
        <v>47</v>
      </c>
      <c r="O85" s="9" t="str">
        <f t="array" ref="O85">IFERROR(INDEX(dim_date!F:F,MATCH(A85,dim_date!A:A,0)),"")</f>
        <v>11/15-11/21</v>
      </c>
      <c r="P85" s="9" t="str">
        <f t="array" ref="P85">IFERROR(INDEX(dim_kpi!E:E,MATCH(D85,dim_kpi!C:C,0)),"")</f>
        <v>$</v>
      </c>
      <c r="Q85" s="9" t="str">
        <f t="array" ref="Q85">IFERROR(INDEX(dim_kpi!F:F,MATCH(D85,dim_kpi!C:C,0)),"")</f>
        <v>N</v>
      </c>
    </row>
    <row r="86" ht="12.75" customHeight="1">
      <c r="A86" s="20" t="str">
        <f>fact_kpi_weekly!A86</f>
        <v>261122</v>
      </c>
      <c r="B86" s="21">
        <f>fact_kpi_weekly!B86</f>
        <v>46348</v>
      </c>
      <c r="C86" s="9" t="str">
        <f>fact_kpi_weekly!C86</f>
        <v>Contracted Lives</v>
      </c>
      <c r="D86" s="9" t="str">
        <f>fact_kpi_weekly!D86</f>
        <v>Pipeline Growth - 6X Revenue</v>
      </c>
      <c r="E86" s="9" t="str">
        <f>fact_kpi_weekly!E86</f>
        <v>Goal</v>
      </c>
      <c r="F86" s="9" t="str">
        <f>IF(fact_kpi_weekly!F86="","",fact_kpi_weekly!F86)</f>
        <v/>
      </c>
      <c r="G86" s="9" t="str">
        <f>fact_kpi_weekly!G86</f>
        <v>N/A</v>
      </c>
      <c r="H86" s="9" t="str">
        <f>fact_kpi_weekly!H86</f>
        <v>John</v>
      </c>
      <c r="I86" s="9" t="str">
        <f>fact_kpi_weekly!I86</f>
        <v>$78.0M</v>
      </c>
      <c r="J86" s="22">
        <f>fact_kpi_weekly!J86</f>
        <v>78000000</v>
      </c>
      <c r="K86" s="20" t="str">
        <f t="array" ref="K86">IFERROR(INDEX(dim_date!H:H,MATCH(A86,dim_date!A:A,0)),"")</f>
        <v>Nov</v>
      </c>
      <c r="L86" s="20" t="str">
        <f t="array" ref="L86">IFERROR(INDEX(dim_date!G:G,MATCH(A86,dim_date!A:A,0)),"")</f>
        <v>11</v>
      </c>
      <c r="M86" s="9" t="str">
        <f t="array" ref="M86">IFERROR(INDEX(dim_date!I:I,MATCH(A86,dim_date!A:A,0)),"")</f>
        <v>Q4</v>
      </c>
      <c r="N86" s="20" t="str">
        <f t="array" ref="N86">IFERROR(INDEX(dim_date!K:K,MATCH(A86,dim_date!A:A,0)),"")</f>
        <v>48</v>
      </c>
      <c r="O86" s="9" t="str">
        <f t="array" ref="O86">IFERROR(INDEX(dim_date!F:F,MATCH(A86,dim_date!A:A,0)),"")</f>
        <v>11/22-11/28</v>
      </c>
      <c r="P86" s="9" t="str">
        <f t="array" ref="P86">IFERROR(INDEX(dim_kpi!E:E,MATCH(D86,dim_kpi!C:C,0)),"")</f>
        <v>$</v>
      </c>
      <c r="Q86" s="9" t="str">
        <f t="array" ref="Q86">IFERROR(INDEX(dim_kpi!F:F,MATCH(D86,dim_kpi!C:C,0)),"")</f>
        <v>N</v>
      </c>
    </row>
    <row r="87" ht="12.75" customHeight="1">
      <c r="A87" s="20" t="str">
        <f>fact_kpi_weekly!A87</f>
        <v>261129</v>
      </c>
      <c r="B87" s="21">
        <f>fact_kpi_weekly!B87</f>
        <v>46355</v>
      </c>
      <c r="C87" s="9" t="str">
        <f>fact_kpi_weekly!C87</f>
        <v>Contracted Lives</v>
      </c>
      <c r="D87" s="9" t="str">
        <f>fact_kpi_weekly!D87</f>
        <v>Pipeline Growth - 6X Revenue</v>
      </c>
      <c r="E87" s="9" t="str">
        <f>fact_kpi_weekly!E87</f>
        <v>Goal</v>
      </c>
      <c r="F87" s="9" t="str">
        <f>IF(fact_kpi_weekly!F87="","",fact_kpi_weekly!F87)</f>
        <v/>
      </c>
      <c r="G87" s="9" t="str">
        <f>fact_kpi_weekly!G87</f>
        <v>N/A</v>
      </c>
      <c r="H87" s="9" t="str">
        <f>fact_kpi_weekly!H87</f>
        <v>John</v>
      </c>
      <c r="I87" s="9" t="str">
        <f>fact_kpi_weekly!I87</f>
        <v>$78.0M</v>
      </c>
      <c r="J87" s="22">
        <f>fact_kpi_weekly!J87</f>
        <v>78000000</v>
      </c>
      <c r="K87" s="20" t="str">
        <f t="array" ref="K87">IFERROR(INDEX(dim_date!H:H,MATCH(A87,dim_date!A:A,0)),"")</f>
        <v>Nov</v>
      </c>
      <c r="L87" s="20" t="str">
        <f t="array" ref="L87">IFERROR(INDEX(dim_date!G:G,MATCH(A87,dim_date!A:A,0)),"")</f>
        <v>11</v>
      </c>
      <c r="M87" s="9" t="str">
        <f t="array" ref="M87">IFERROR(INDEX(dim_date!I:I,MATCH(A87,dim_date!A:A,0)),"")</f>
        <v>Q4</v>
      </c>
      <c r="N87" s="20" t="str">
        <f t="array" ref="N87">IFERROR(INDEX(dim_date!K:K,MATCH(A87,dim_date!A:A,0)),"")</f>
        <v>49</v>
      </c>
      <c r="O87" s="9" t="str">
        <f t="array" ref="O87">IFERROR(INDEX(dim_date!F:F,MATCH(A87,dim_date!A:A,0)),"")</f>
        <v>11/29-12/5</v>
      </c>
      <c r="P87" s="9" t="str">
        <f t="array" ref="P87">IFERROR(INDEX(dim_kpi!E:E,MATCH(D87,dim_kpi!C:C,0)),"")</f>
        <v>$</v>
      </c>
      <c r="Q87" s="9" t="str">
        <f t="array" ref="Q87">IFERROR(INDEX(dim_kpi!F:F,MATCH(D87,dim_kpi!C:C,0)),"")</f>
        <v>N</v>
      </c>
    </row>
    <row r="88" ht="12.75" customHeight="1">
      <c r="A88" s="20" t="str">
        <f>fact_kpi_weekly!A88</f>
        <v>261206</v>
      </c>
      <c r="B88" s="21">
        <f>fact_kpi_weekly!B88</f>
        <v>46362</v>
      </c>
      <c r="C88" s="9" t="str">
        <f>fact_kpi_weekly!C88</f>
        <v>Contracted Lives</v>
      </c>
      <c r="D88" s="9" t="str">
        <f>fact_kpi_weekly!D88</f>
        <v>Pipeline Growth - 6X Revenue</v>
      </c>
      <c r="E88" s="9" t="str">
        <f>fact_kpi_weekly!E88</f>
        <v>Goal</v>
      </c>
      <c r="F88" s="9" t="str">
        <f>IF(fact_kpi_weekly!F88="","",fact_kpi_weekly!F88)</f>
        <v/>
      </c>
      <c r="G88" s="9" t="str">
        <f>fact_kpi_weekly!G88</f>
        <v>N/A</v>
      </c>
      <c r="H88" s="9" t="str">
        <f>fact_kpi_weekly!H88</f>
        <v>John</v>
      </c>
      <c r="I88" s="9" t="str">
        <f>fact_kpi_weekly!I88</f>
        <v>$87.0M</v>
      </c>
      <c r="J88" s="22">
        <f>fact_kpi_weekly!J88</f>
        <v>87000000</v>
      </c>
      <c r="K88" s="20" t="str">
        <f t="array" ref="K88">IFERROR(INDEX(dim_date!H:H,MATCH(A88,dim_date!A:A,0)),"")</f>
        <v>Dec</v>
      </c>
      <c r="L88" s="20" t="str">
        <f t="array" ref="L88">IFERROR(INDEX(dim_date!G:G,MATCH(A88,dim_date!A:A,0)),"")</f>
        <v>12</v>
      </c>
      <c r="M88" s="9" t="str">
        <f t="array" ref="M88">IFERROR(INDEX(dim_date!I:I,MATCH(A88,dim_date!A:A,0)),"")</f>
        <v>Q4</v>
      </c>
      <c r="N88" s="20" t="str">
        <f t="array" ref="N88">IFERROR(INDEX(dim_date!K:K,MATCH(A88,dim_date!A:A,0)),"")</f>
        <v>50</v>
      </c>
      <c r="O88" s="9" t="str">
        <f t="array" ref="O88">IFERROR(INDEX(dim_date!F:F,MATCH(A88,dim_date!A:A,0)),"")</f>
        <v>12/6-12/12</v>
      </c>
      <c r="P88" s="9" t="str">
        <f t="array" ref="P88">IFERROR(INDEX(dim_kpi!E:E,MATCH(D88,dim_kpi!C:C,0)),"")</f>
        <v>$</v>
      </c>
      <c r="Q88" s="9" t="str">
        <f t="array" ref="Q88">IFERROR(INDEX(dim_kpi!F:F,MATCH(D88,dim_kpi!C:C,0)),"")</f>
        <v>N</v>
      </c>
    </row>
    <row r="89" ht="12.75" customHeight="1">
      <c r="A89" s="20" t="str">
        <f>fact_kpi_weekly!A89</f>
        <v>261213</v>
      </c>
      <c r="B89" s="21">
        <f>fact_kpi_weekly!B89</f>
        <v>46369</v>
      </c>
      <c r="C89" s="9" t="str">
        <f>fact_kpi_weekly!C89</f>
        <v>Contracted Lives</v>
      </c>
      <c r="D89" s="9" t="str">
        <f>fact_kpi_weekly!D89</f>
        <v>Pipeline Growth - 6X Revenue</v>
      </c>
      <c r="E89" s="9" t="str">
        <f>fact_kpi_weekly!E89</f>
        <v>Goal</v>
      </c>
      <c r="F89" s="9" t="str">
        <f>IF(fact_kpi_weekly!F89="","",fact_kpi_weekly!F89)</f>
        <v/>
      </c>
      <c r="G89" s="9" t="str">
        <f>fact_kpi_weekly!G89</f>
        <v>N/A</v>
      </c>
      <c r="H89" s="9" t="str">
        <f>fact_kpi_weekly!H89</f>
        <v>John</v>
      </c>
      <c r="I89" s="9" t="str">
        <f>fact_kpi_weekly!I89</f>
        <v>$87.0M</v>
      </c>
      <c r="J89" s="22">
        <f>fact_kpi_weekly!J89</f>
        <v>87000000</v>
      </c>
      <c r="K89" s="20" t="str">
        <f t="array" ref="K89">IFERROR(INDEX(dim_date!H:H,MATCH(A89,dim_date!A:A,0)),"")</f>
        <v>Dec</v>
      </c>
      <c r="L89" s="20" t="str">
        <f t="array" ref="L89">IFERROR(INDEX(dim_date!G:G,MATCH(A89,dim_date!A:A,0)),"")</f>
        <v>12</v>
      </c>
      <c r="M89" s="9" t="str">
        <f t="array" ref="M89">IFERROR(INDEX(dim_date!I:I,MATCH(A89,dim_date!A:A,0)),"")</f>
        <v>Q4</v>
      </c>
      <c r="N89" s="20" t="str">
        <f t="array" ref="N89">IFERROR(INDEX(dim_date!K:K,MATCH(A89,dim_date!A:A,0)),"")</f>
        <v>51</v>
      </c>
      <c r="O89" s="9" t="str">
        <f t="array" ref="O89">IFERROR(INDEX(dim_date!F:F,MATCH(A89,dim_date!A:A,0)),"")</f>
        <v>12/13-12/19</v>
      </c>
      <c r="P89" s="9" t="str">
        <f t="array" ref="P89">IFERROR(INDEX(dim_kpi!E:E,MATCH(D89,dim_kpi!C:C,0)),"")</f>
        <v>$</v>
      </c>
      <c r="Q89" s="9" t="str">
        <f t="array" ref="Q89">IFERROR(INDEX(dim_kpi!F:F,MATCH(D89,dim_kpi!C:C,0)),"")</f>
        <v>N</v>
      </c>
    </row>
    <row r="90" ht="12.75" customHeight="1">
      <c r="A90" s="20" t="str">
        <f>fact_kpi_weekly!A90</f>
        <v>261220</v>
      </c>
      <c r="B90" s="21">
        <f>fact_kpi_weekly!B90</f>
        <v>46376</v>
      </c>
      <c r="C90" s="9" t="str">
        <f>fact_kpi_weekly!C90</f>
        <v>Contracted Lives</v>
      </c>
      <c r="D90" s="9" t="str">
        <f>fact_kpi_weekly!D90</f>
        <v>Pipeline Growth - 6X Revenue</v>
      </c>
      <c r="E90" s="9" t="str">
        <f>fact_kpi_weekly!E90</f>
        <v>Goal</v>
      </c>
      <c r="F90" s="9" t="str">
        <f>IF(fact_kpi_weekly!F90="","",fact_kpi_weekly!F90)</f>
        <v/>
      </c>
      <c r="G90" s="9" t="str">
        <f>fact_kpi_weekly!G90</f>
        <v>N/A</v>
      </c>
      <c r="H90" s="9" t="str">
        <f>fact_kpi_weekly!H90</f>
        <v>John</v>
      </c>
      <c r="I90" s="9" t="str">
        <f>fact_kpi_weekly!I90</f>
        <v>$87.0M</v>
      </c>
      <c r="J90" s="22">
        <f>fact_kpi_weekly!J90</f>
        <v>87000000</v>
      </c>
      <c r="K90" s="20" t="str">
        <f t="array" ref="K90">IFERROR(INDEX(dim_date!H:H,MATCH(A90,dim_date!A:A,0)),"")</f>
        <v>Dec</v>
      </c>
      <c r="L90" s="20" t="str">
        <f t="array" ref="L90">IFERROR(INDEX(dim_date!G:G,MATCH(A90,dim_date!A:A,0)),"")</f>
        <v>12</v>
      </c>
      <c r="M90" s="9" t="str">
        <f t="array" ref="M90">IFERROR(INDEX(dim_date!I:I,MATCH(A90,dim_date!A:A,0)),"")</f>
        <v>Q4</v>
      </c>
      <c r="N90" s="20" t="str">
        <f t="array" ref="N90">IFERROR(INDEX(dim_date!K:K,MATCH(A90,dim_date!A:A,0)),"")</f>
        <v>52</v>
      </c>
      <c r="O90" s="9" t="str">
        <f t="array" ref="O90">IFERROR(INDEX(dim_date!F:F,MATCH(A90,dim_date!A:A,0)),"")</f>
        <v>12/20-12/26</v>
      </c>
      <c r="P90" s="9" t="str">
        <f t="array" ref="P90">IFERROR(INDEX(dim_kpi!E:E,MATCH(D90,dim_kpi!C:C,0)),"")</f>
        <v>$</v>
      </c>
      <c r="Q90" s="9" t="str">
        <f t="array" ref="Q90">IFERROR(INDEX(dim_kpi!F:F,MATCH(D90,dim_kpi!C:C,0)),"")</f>
        <v>N</v>
      </c>
    </row>
    <row r="91" ht="12.75" customHeight="1">
      <c r="A91" s="20" t="str">
        <f>fact_kpi_weekly!A91</f>
        <v>261227</v>
      </c>
      <c r="B91" s="21">
        <f>fact_kpi_weekly!B91</f>
        <v>46383</v>
      </c>
      <c r="C91" s="9" t="str">
        <f>fact_kpi_weekly!C91</f>
        <v>Contracted Lives</v>
      </c>
      <c r="D91" s="9" t="str">
        <f>fact_kpi_weekly!D91</f>
        <v>Pipeline Growth - 6X Revenue</v>
      </c>
      <c r="E91" s="9" t="str">
        <f>fact_kpi_weekly!E91</f>
        <v>Goal</v>
      </c>
      <c r="F91" s="9" t="str">
        <f>IF(fact_kpi_weekly!F91="","",fact_kpi_weekly!F91)</f>
        <v/>
      </c>
      <c r="G91" s="9" t="str">
        <f>fact_kpi_weekly!G91</f>
        <v>N/A</v>
      </c>
      <c r="H91" s="9" t="str">
        <f>fact_kpi_weekly!H91</f>
        <v>John</v>
      </c>
      <c r="I91" s="9" t="str">
        <f>fact_kpi_weekly!I91</f>
        <v>$87.0M</v>
      </c>
      <c r="J91" s="22">
        <f>fact_kpi_weekly!J91</f>
        <v>87000000</v>
      </c>
      <c r="K91" s="20" t="str">
        <f t="array" ref="K91">IFERROR(INDEX(dim_date!H:H,MATCH(A91,dim_date!A:A,0)),"")</f>
        <v>Dec</v>
      </c>
      <c r="L91" s="20" t="str">
        <f t="array" ref="L91">IFERROR(INDEX(dim_date!G:G,MATCH(A91,dim_date!A:A,0)),"")</f>
        <v>12</v>
      </c>
      <c r="M91" s="9" t="str">
        <f t="array" ref="M91">IFERROR(INDEX(dim_date!I:I,MATCH(A91,dim_date!A:A,0)),"")</f>
        <v>Q4</v>
      </c>
      <c r="N91" s="20" t="str">
        <f t="array" ref="N91">IFERROR(INDEX(dim_date!K:K,MATCH(A91,dim_date!A:A,0)),"")</f>
        <v>53</v>
      </c>
      <c r="O91" s="9" t="str">
        <f t="array" ref="O91">IFERROR(INDEX(dim_date!F:F,MATCH(A91,dim_date!A:A,0)),"")</f>
        <v>12/27-1/2</v>
      </c>
      <c r="P91" s="9" t="str">
        <f t="array" ref="P91">IFERROR(INDEX(dim_kpi!E:E,MATCH(D91,dim_kpi!C:C,0)),"")</f>
        <v>$</v>
      </c>
      <c r="Q91" s="9" t="str">
        <f t="array" ref="Q91">IFERROR(INDEX(dim_kpi!F:F,MATCH(D91,dim_kpi!C:C,0)),"")</f>
        <v>N</v>
      </c>
    </row>
    <row r="92" ht="12.75" customHeight="1">
      <c r="A92" s="20" t="str">
        <f>fact_kpi_weekly!A92</f>
        <v>260301</v>
      </c>
      <c r="B92" s="21">
        <f>fact_kpi_weekly!B92</f>
        <v>46082</v>
      </c>
      <c r="C92" s="9" t="str">
        <f>fact_kpi_weekly!C92</f>
        <v>Contracted Lives</v>
      </c>
      <c r="D92" s="9" t="str">
        <f>fact_kpi_weekly!D92</f>
        <v>Pipeline Growth - 6X Revenue</v>
      </c>
      <c r="E92" s="9" t="str">
        <f>fact_kpi_weekly!E92</f>
        <v>Actual</v>
      </c>
      <c r="F92" s="9" t="str">
        <f>IF(fact_kpi_weekly!F92="","",fact_kpi_weekly!F92)</f>
        <v/>
      </c>
      <c r="G92" s="9" t="str">
        <f>fact_kpi_weekly!G92</f>
        <v>N/A</v>
      </c>
      <c r="H92" s="9" t="str">
        <f>fact_kpi_weekly!H92</f>
        <v>John</v>
      </c>
      <c r="I92" s="9" t="str">
        <f>fact_kpi_weekly!I92</f>
        <v>$116M</v>
      </c>
      <c r="J92" s="22">
        <f>fact_kpi_weekly!J92</f>
        <v>116000000</v>
      </c>
      <c r="K92" s="20" t="str">
        <f t="array" ref="K92">IFERROR(INDEX(dim_date!H:H,MATCH(A92,dim_date!A:A,0)),"")</f>
        <v>Mar</v>
      </c>
      <c r="L92" s="20" t="str">
        <f t="array" ref="L92">IFERROR(INDEX(dim_date!G:G,MATCH(A92,dim_date!A:A,0)),"")</f>
        <v>03</v>
      </c>
      <c r="M92" s="9" t="str">
        <f t="array" ref="M92">IFERROR(INDEX(dim_date!I:I,MATCH(A92,dim_date!A:A,0)),"")</f>
        <v>Q1</v>
      </c>
      <c r="N92" s="20" t="str">
        <f t="array" ref="N92">IFERROR(INDEX(dim_date!K:K,MATCH(A92,dim_date!A:A,0)),"")</f>
        <v>10</v>
      </c>
      <c r="O92" s="9" t="str">
        <f t="array" ref="O92">IFERROR(INDEX(dim_date!F:F,MATCH(A92,dim_date!A:A,0)),"")</f>
        <v>3/1-3/7</v>
      </c>
      <c r="P92" s="9" t="str">
        <f t="array" ref="P92">IFERROR(INDEX(dim_kpi!E:E,MATCH(D92,dim_kpi!C:C,0)),"")</f>
        <v>$</v>
      </c>
      <c r="Q92" s="9" t="str">
        <f t="array" ref="Q92">IFERROR(INDEX(dim_kpi!F:F,MATCH(D92,dim_kpi!C:C,0)),"")</f>
        <v>N</v>
      </c>
    </row>
    <row r="93" ht="12.75" customHeight="1">
      <c r="A93" s="20" t="str">
        <f>fact_kpi_weekly!A93</f>
        <v>260315</v>
      </c>
      <c r="B93" s="21">
        <f>fact_kpi_weekly!B93</f>
        <v>46096</v>
      </c>
      <c r="C93" s="9" t="str">
        <f>fact_kpi_weekly!C93</f>
        <v>Contracted Lives</v>
      </c>
      <c r="D93" s="9" t="str">
        <f>fact_kpi_weekly!D93</f>
        <v>Pipeline Growth - 6X Revenue</v>
      </c>
      <c r="E93" s="9" t="str">
        <f>fact_kpi_weekly!E93</f>
        <v>Actual</v>
      </c>
      <c r="F93" s="9" t="str">
        <f>IF(fact_kpi_weekly!F93="","",fact_kpi_weekly!F93)</f>
        <v/>
      </c>
      <c r="G93" s="9" t="str">
        <f>fact_kpi_weekly!G93</f>
        <v>N/A</v>
      </c>
      <c r="H93" s="9" t="str">
        <f>fact_kpi_weekly!H93</f>
        <v>John</v>
      </c>
      <c r="I93" s="9" t="str">
        <f>fact_kpi_weekly!I93</f>
        <v>$115.2M</v>
      </c>
      <c r="J93" s="22">
        <f>fact_kpi_weekly!J93</f>
        <v>115200000</v>
      </c>
      <c r="K93" s="20" t="str">
        <f t="array" ref="K93">IFERROR(INDEX(dim_date!H:H,MATCH(A93,dim_date!A:A,0)),"")</f>
        <v>Mar</v>
      </c>
      <c r="L93" s="20" t="str">
        <f t="array" ref="L93">IFERROR(INDEX(dim_date!G:G,MATCH(A93,dim_date!A:A,0)),"")</f>
        <v>03</v>
      </c>
      <c r="M93" s="9" t="str">
        <f t="array" ref="M93">IFERROR(INDEX(dim_date!I:I,MATCH(A93,dim_date!A:A,0)),"")</f>
        <v>Q1</v>
      </c>
      <c r="N93" s="20" t="str">
        <f t="array" ref="N93">IFERROR(INDEX(dim_date!K:K,MATCH(A93,dim_date!A:A,0)),"")</f>
        <v>12</v>
      </c>
      <c r="O93" s="9" t="str">
        <f t="array" ref="O93">IFERROR(INDEX(dim_date!F:F,MATCH(A93,dim_date!A:A,0)),"")</f>
        <v>3/15-3/21</v>
      </c>
      <c r="P93" s="9" t="str">
        <f t="array" ref="P93">IFERROR(INDEX(dim_kpi!E:E,MATCH(D93,dim_kpi!C:C,0)),"")</f>
        <v>$</v>
      </c>
      <c r="Q93" s="9" t="str">
        <f t="array" ref="Q93">IFERROR(INDEX(dim_kpi!F:F,MATCH(D93,dim_kpi!C:C,0)),"")</f>
        <v>N</v>
      </c>
    </row>
    <row r="94" ht="12.75" customHeight="1">
      <c r="A94" s="20" t="str">
        <f>fact_kpi_weekly!A94</f>
        <v>260301</v>
      </c>
      <c r="B94" s="21">
        <f>fact_kpi_weekly!B94</f>
        <v>46082</v>
      </c>
      <c r="C94" s="9" t="str">
        <f>fact_kpi_weekly!C94</f>
        <v>Contracted Lives</v>
      </c>
      <c r="D94" s="9" t="str">
        <f>fact_kpi_weekly!D94</f>
        <v>Eligible Forecast - Total Cumulative</v>
      </c>
      <c r="E94" s="9" t="str">
        <f>fact_kpi_weekly!E94</f>
        <v>Forecast</v>
      </c>
      <c r="F94" s="9" t="str">
        <f>IF(fact_kpi_weekly!F94="","",fact_kpi_weekly!F94)</f>
        <v/>
      </c>
      <c r="G94" s="9" t="str">
        <f>fact_kpi_weekly!G94</f>
        <v>Total</v>
      </c>
      <c r="H94" s="9" t="str">
        <f>fact_kpi_weekly!H94</f>
        <v>John / Sheila</v>
      </c>
      <c r="I94" s="9">
        <f>fact_kpi_weekly!I94</f>
        <v>10327</v>
      </c>
      <c r="J94" s="22">
        <f>fact_kpi_weekly!J94</f>
        <v>10327</v>
      </c>
      <c r="K94" s="20" t="str">
        <f t="array" ref="K94">IFERROR(INDEX(dim_date!H:H,MATCH(A94,dim_date!A:A,0)),"")</f>
        <v>Mar</v>
      </c>
      <c r="L94" s="20" t="str">
        <f t="array" ref="L94">IFERROR(INDEX(dim_date!G:G,MATCH(A94,dim_date!A:A,0)),"")</f>
        <v>03</v>
      </c>
      <c r="M94" s="9" t="str">
        <f t="array" ref="M94">IFERROR(INDEX(dim_date!I:I,MATCH(A94,dim_date!A:A,0)),"")</f>
        <v>Q1</v>
      </c>
      <c r="N94" s="20" t="str">
        <f t="array" ref="N94">IFERROR(INDEX(dim_date!K:K,MATCH(A94,dim_date!A:A,0)),"")</f>
        <v>10</v>
      </c>
      <c r="O94" s="9" t="str">
        <f t="array" ref="O94">IFERROR(INDEX(dim_date!F:F,MATCH(A94,dim_date!A:A,0)),"")</f>
        <v>3/1-3/7</v>
      </c>
      <c r="P94" s="9" t="str">
        <f t="array" ref="P94">IFERROR(INDEX(dim_kpi!E:E,MATCH(D94,dim_kpi!C:C,0)),"")</f>
        <v>count</v>
      </c>
      <c r="Q94" s="9" t="str">
        <f t="array" ref="Q94">IFERROR(INDEX(dim_kpi!F:F,MATCH(D94,dim_kpi!C:C,0)),"")</f>
        <v>Y</v>
      </c>
    </row>
    <row r="95" ht="12.75" customHeight="1">
      <c r="A95" s="20" t="str">
        <f>fact_kpi_weekly!A95</f>
        <v>260308</v>
      </c>
      <c r="B95" s="21">
        <f>fact_kpi_weekly!B95</f>
        <v>46089</v>
      </c>
      <c r="C95" s="9" t="str">
        <f>fact_kpi_weekly!C95</f>
        <v>Contracted Lives</v>
      </c>
      <c r="D95" s="9" t="str">
        <f>fact_kpi_weekly!D95</f>
        <v>Eligible Forecast - Total Cumulative</v>
      </c>
      <c r="E95" s="9" t="str">
        <f>fact_kpi_weekly!E95</f>
        <v>Forecast</v>
      </c>
      <c r="F95" s="9" t="str">
        <f>IF(fact_kpi_weekly!F95="","",fact_kpi_weekly!F95)</f>
        <v/>
      </c>
      <c r="G95" s="9" t="str">
        <f>fact_kpi_weekly!G95</f>
        <v>Total</v>
      </c>
      <c r="H95" s="9" t="str">
        <f>fact_kpi_weekly!H95</f>
        <v>John / Sheila</v>
      </c>
      <c r="I95" s="9">
        <f>fact_kpi_weekly!I95</f>
        <v>11827</v>
      </c>
      <c r="J95" s="22">
        <f>fact_kpi_weekly!J95</f>
        <v>11827</v>
      </c>
      <c r="K95" s="20" t="str">
        <f t="array" ref="K95">IFERROR(INDEX(dim_date!H:H,MATCH(A95,dim_date!A:A,0)),"")</f>
        <v>Mar</v>
      </c>
      <c r="L95" s="20" t="str">
        <f t="array" ref="L95">IFERROR(INDEX(dim_date!G:G,MATCH(A95,dim_date!A:A,0)),"")</f>
        <v>03</v>
      </c>
      <c r="M95" s="9" t="str">
        <f t="array" ref="M95">IFERROR(INDEX(dim_date!I:I,MATCH(A95,dim_date!A:A,0)),"")</f>
        <v>Q1</v>
      </c>
      <c r="N95" s="20" t="str">
        <f t="array" ref="N95">IFERROR(INDEX(dim_date!K:K,MATCH(A95,dim_date!A:A,0)),"")</f>
        <v>11</v>
      </c>
      <c r="O95" s="9" t="str">
        <f t="array" ref="O95">IFERROR(INDEX(dim_date!F:F,MATCH(A95,dim_date!A:A,0)),"")</f>
        <v>3/8-3/14</v>
      </c>
      <c r="P95" s="9" t="str">
        <f t="array" ref="P95">IFERROR(INDEX(dim_kpi!E:E,MATCH(D95,dim_kpi!C:C,0)),"")</f>
        <v>count</v>
      </c>
      <c r="Q95" s="9" t="str">
        <f t="array" ref="Q95">IFERROR(INDEX(dim_kpi!F:F,MATCH(D95,dim_kpi!C:C,0)),"")</f>
        <v>Y</v>
      </c>
    </row>
    <row r="96" ht="12.75" customHeight="1">
      <c r="A96" s="20" t="str">
        <f>fact_kpi_weekly!A96</f>
        <v>260315</v>
      </c>
      <c r="B96" s="21">
        <f>fact_kpi_weekly!B96</f>
        <v>46096</v>
      </c>
      <c r="C96" s="9" t="str">
        <f>fact_kpi_weekly!C96</f>
        <v>Contracted Lives</v>
      </c>
      <c r="D96" s="9" t="str">
        <f>fact_kpi_weekly!D96</f>
        <v>Eligible Forecast - Total Cumulative</v>
      </c>
      <c r="E96" s="9" t="str">
        <f>fact_kpi_weekly!E96</f>
        <v>Forecast</v>
      </c>
      <c r="F96" s="9" t="str">
        <f>IF(fact_kpi_weekly!F96="","",fact_kpi_weekly!F96)</f>
        <v/>
      </c>
      <c r="G96" s="9" t="str">
        <f>fact_kpi_weekly!G96</f>
        <v>Total</v>
      </c>
      <c r="H96" s="9" t="str">
        <f>fact_kpi_weekly!H96</f>
        <v>John / Sheila</v>
      </c>
      <c r="I96" s="9">
        <f>fact_kpi_weekly!I96</f>
        <v>13327</v>
      </c>
      <c r="J96" s="22">
        <f>fact_kpi_weekly!J96</f>
        <v>13327</v>
      </c>
      <c r="K96" s="20" t="str">
        <f t="array" ref="K96">IFERROR(INDEX(dim_date!H:H,MATCH(A96,dim_date!A:A,0)),"")</f>
        <v>Mar</v>
      </c>
      <c r="L96" s="20" t="str">
        <f t="array" ref="L96">IFERROR(INDEX(dim_date!G:G,MATCH(A96,dim_date!A:A,0)),"")</f>
        <v>03</v>
      </c>
      <c r="M96" s="9" t="str">
        <f t="array" ref="M96">IFERROR(INDEX(dim_date!I:I,MATCH(A96,dim_date!A:A,0)),"")</f>
        <v>Q1</v>
      </c>
      <c r="N96" s="20" t="str">
        <f t="array" ref="N96">IFERROR(INDEX(dim_date!K:K,MATCH(A96,dim_date!A:A,0)),"")</f>
        <v>12</v>
      </c>
      <c r="O96" s="9" t="str">
        <f t="array" ref="O96">IFERROR(INDEX(dim_date!F:F,MATCH(A96,dim_date!A:A,0)),"")</f>
        <v>3/15-3/21</v>
      </c>
      <c r="P96" s="9" t="str">
        <f t="array" ref="P96">IFERROR(INDEX(dim_kpi!E:E,MATCH(D96,dim_kpi!C:C,0)),"")</f>
        <v>count</v>
      </c>
      <c r="Q96" s="9" t="str">
        <f t="array" ref="Q96">IFERROR(INDEX(dim_kpi!F:F,MATCH(D96,dim_kpi!C:C,0)),"")</f>
        <v>Y</v>
      </c>
    </row>
    <row r="97" ht="12.75" customHeight="1">
      <c r="A97" s="20" t="str">
        <f>fact_kpi_weekly!A97</f>
        <v>260322</v>
      </c>
      <c r="B97" s="21">
        <f>fact_kpi_weekly!B97</f>
        <v>46103</v>
      </c>
      <c r="C97" s="9" t="str">
        <f>fact_kpi_weekly!C97</f>
        <v>Contracted Lives</v>
      </c>
      <c r="D97" s="9" t="str">
        <f>fact_kpi_weekly!D97</f>
        <v>Eligible Forecast - Total Cumulative</v>
      </c>
      <c r="E97" s="9" t="str">
        <f>fact_kpi_weekly!E97</f>
        <v>Forecast</v>
      </c>
      <c r="F97" s="9" t="str">
        <f>IF(fact_kpi_weekly!F97="","",fact_kpi_weekly!F97)</f>
        <v/>
      </c>
      <c r="G97" s="9" t="str">
        <f>fact_kpi_weekly!G97</f>
        <v>Total</v>
      </c>
      <c r="H97" s="9" t="str">
        <f>fact_kpi_weekly!H97</f>
        <v>John / Sheila</v>
      </c>
      <c r="I97" s="9">
        <f>fact_kpi_weekly!I97</f>
        <v>14827</v>
      </c>
      <c r="J97" s="22">
        <f>fact_kpi_weekly!J97</f>
        <v>14827</v>
      </c>
      <c r="K97" s="20" t="str">
        <f t="array" ref="K97">IFERROR(INDEX(dim_date!H:H,MATCH(A97,dim_date!A:A,0)),"")</f>
        <v>Mar</v>
      </c>
      <c r="L97" s="20" t="str">
        <f t="array" ref="L97">IFERROR(INDEX(dim_date!G:G,MATCH(A97,dim_date!A:A,0)),"")</f>
        <v>03</v>
      </c>
      <c r="M97" s="9" t="str">
        <f t="array" ref="M97">IFERROR(INDEX(dim_date!I:I,MATCH(A97,dim_date!A:A,0)),"")</f>
        <v>Q1</v>
      </c>
      <c r="N97" s="20" t="str">
        <f t="array" ref="N97">IFERROR(INDEX(dim_date!K:K,MATCH(A97,dim_date!A:A,0)),"")</f>
        <v>13</v>
      </c>
      <c r="O97" s="9" t="str">
        <f t="array" ref="O97">IFERROR(INDEX(dim_date!F:F,MATCH(A97,dim_date!A:A,0)),"")</f>
        <v>3/22-3/28</v>
      </c>
      <c r="P97" s="9" t="str">
        <f t="array" ref="P97">IFERROR(INDEX(dim_kpi!E:E,MATCH(D97,dim_kpi!C:C,0)),"")</f>
        <v>count</v>
      </c>
      <c r="Q97" s="9" t="str">
        <f t="array" ref="Q97">IFERROR(INDEX(dim_kpi!F:F,MATCH(D97,dim_kpi!C:C,0)),"")</f>
        <v>Y</v>
      </c>
    </row>
    <row r="98" ht="12.75" customHeight="1">
      <c r="A98" s="20" t="str">
        <f>fact_kpi_weekly!A98</f>
        <v>260329</v>
      </c>
      <c r="B98" s="21">
        <f>fact_kpi_weekly!B98</f>
        <v>46110</v>
      </c>
      <c r="C98" s="9" t="str">
        <f>fact_kpi_weekly!C98</f>
        <v>Contracted Lives</v>
      </c>
      <c r="D98" s="9" t="str">
        <f>fact_kpi_weekly!D98</f>
        <v>Eligible Forecast - Total Cumulative</v>
      </c>
      <c r="E98" s="9" t="str">
        <f>fact_kpi_weekly!E98</f>
        <v>Forecast</v>
      </c>
      <c r="F98" s="9" t="str">
        <f>IF(fact_kpi_weekly!F98="","",fact_kpi_weekly!F98)</f>
        <v/>
      </c>
      <c r="G98" s="9" t="str">
        <f>fact_kpi_weekly!G98</f>
        <v>Total</v>
      </c>
      <c r="H98" s="9" t="str">
        <f>fact_kpi_weekly!H98</f>
        <v>John / Sheila</v>
      </c>
      <c r="I98" s="9">
        <f>fact_kpi_weekly!I98</f>
        <v>19827</v>
      </c>
      <c r="J98" s="22">
        <f>fact_kpi_weekly!J98</f>
        <v>19827</v>
      </c>
      <c r="K98" s="20" t="str">
        <f t="array" ref="K98">IFERROR(INDEX(dim_date!H:H,MATCH(A98,dim_date!A:A,0)),"")</f>
        <v>Mar</v>
      </c>
      <c r="L98" s="20" t="str">
        <f t="array" ref="L98">IFERROR(INDEX(dim_date!G:G,MATCH(A98,dim_date!A:A,0)),"")</f>
        <v>03</v>
      </c>
      <c r="M98" s="9" t="str">
        <f t="array" ref="M98">IFERROR(INDEX(dim_date!I:I,MATCH(A98,dim_date!A:A,0)),"")</f>
        <v>Q1</v>
      </c>
      <c r="N98" s="20" t="str">
        <f t="array" ref="N98">IFERROR(INDEX(dim_date!K:K,MATCH(A98,dim_date!A:A,0)),"")</f>
        <v>14</v>
      </c>
      <c r="O98" s="9" t="str">
        <f t="array" ref="O98">IFERROR(INDEX(dim_date!F:F,MATCH(A98,dim_date!A:A,0)),"")</f>
        <v>3/29-4/4</v>
      </c>
      <c r="P98" s="9" t="str">
        <f t="array" ref="P98">IFERROR(INDEX(dim_kpi!E:E,MATCH(D98,dim_kpi!C:C,0)),"")</f>
        <v>count</v>
      </c>
      <c r="Q98" s="9" t="str">
        <f t="array" ref="Q98">IFERROR(INDEX(dim_kpi!F:F,MATCH(D98,dim_kpi!C:C,0)),"")</f>
        <v>Y</v>
      </c>
    </row>
    <row r="99" ht="12.75" customHeight="1">
      <c r="A99" s="20" t="str">
        <f>fact_kpi_weekly!A99</f>
        <v>260405</v>
      </c>
      <c r="B99" s="21">
        <f>fact_kpi_weekly!B99</f>
        <v>46117</v>
      </c>
      <c r="C99" s="9" t="str">
        <f>fact_kpi_weekly!C99</f>
        <v>Contracted Lives</v>
      </c>
      <c r="D99" s="9" t="str">
        <f>fact_kpi_weekly!D99</f>
        <v>Eligible Forecast - Total Cumulative</v>
      </c>
      <c r="E99" s="9" t="str">
        <f>fact_kpi_weekly!E99</f>
        <v>Forecast</v>
      </c>
      <c r="F99" s="9" t="str">
        <f>IF(fact_kpi_weekly!F99="","",fact_kpi_weekly!F99)</f>
        <v/>
      </c>
      <c r="G99" s="9" t="str">
        <f>fact_kpi_weekly!G99</f>
        <v>Total</v>
      </c>
      <c r="H99" s="9" t="str">
        <f>fact_kpi_weekly!H99</f>
        <v>John / Sheila</v>
      </c>
      <c r="I99" s="9">
        <f>fact_kpi_weekly!I99</f>
        <v>21327</v>
      </c>
      <c r="J99" s="22">
        <f>fact_kpi_weekly!J99</f>
        <v>21327</v>
      </c>
      <c r="K99" s="20" t="str">
        <f t="array" ref="K99">IFERROR(INDEX(dim_date!H:H,MATCH(A99,dim_date!A:A,0)),"")</f>
        <v>Apr</v>
      </c>
      <c r="L99" s="20" t="str">
        <f t="array" ref="L99">IFERROR(INDEX(dim_date!G:G,MATCH(A99,dim_date!A:A,0)),"")</f>
        <v>04</v>
      </c>
      <c r="M99" s="9" t="str">
        <f t="array" ref="M99">IFERROR(INDEX(dim_date!I:I,MATCH(A99,dim_date!A:A,0)),"")</f>
        <v>Q2</v>
      </c>
      <c r="N99" s="20" t="str">
        <f t="array" ref="N99">IFERROR(INDEX(dim_date!K:K,MATCH(A99,dim_date!A:A,0)),"")</f>
        <v>15</v>
      </c>
      <c r="O99" s="9" t="str">
        <f t="array" ref="O99">IFERROR(INDEX(dim_date!F:F,MATCH(A99,dim_date!A:A,0)),"")</f>
        <v>4/5-4/11</v>
      </c>
      <c r="P99" s="9" t="str">
        <f t="array" ref="P99">IFERROR(INDEX(dim_kpi!E:E,MATCH(D99,dim_kpi!C:C,0)),"")</f>
        <v>count</v>
      </c>
      <c r="Q99" s="9" t="str">
        <f t="array" ref="Q99">IFERROR(INDEX(dim_kpi!F:F,MATCH(D99,dim_kpi!C:C,0)),"")</f>
        <v>Y</v>
      </c>
    </row>
    <row r="100" ht="12.75" customHeight="1">
      <c r="A100" s="20" t="str">
        <f>fact_kpi_weekly!A100</f>
        <v>260412</v>
      </c>
      <c r="B100" s="21">
        <f>fact_kpi_weekly!B100</f>
        <v>46124</v>
      </c>
      <c r="C100" s="9" t="str">
        <f>fact_kpi_weekly!C100</f>
        <v>Contracted Lives</v>
      </c>
      <c r="D100" s="9" t="str">
        <f>fact_kpi_weekly!D100</f>
        <v>Eligible Forecast - Total Cumulative</v>
      </c>
      <c r="E100" s="9" t="str">
        <f>fact_kpi_weekly!E100</f>
        <v>Forecast</v>
      </c>
      <c r="F100" s="9" t="str">
        <f>IF(fact_kpi_weekly!F100="","",fact_kpi_weekly!F100)</f>
        <v/>
      </c>
      <c r="G100" s="9" t="str">
        <f>fact_kpi_weekly!G100</f>
        <v>Total</v>
      </c>
      <c r="H100" s="9" t="str">
        <f>fact_kpi_weekly!H100</f>
        <v>John / Sheila</v>
      </c>
      <c r="I100" s="9">
        <f>fact_kpi_weekly!I100</f>
        <v>22827</v>
      </c>
      <c r="J100" s="22">
        <f>fact_kpi_weekly!J100</f>
        <v>22827</v>
      </c>
      <c r="K100" s="20" t="str">
        <f t="array" ref="K100">IFERROR(INDEX(dim_date!H:H,MATCH(A100,dim_date!A:A,0)),"")</f>
        <v>Apr</v>
      </c>
      <c r="L100" s="20" t="str">
        <f t="array" ref="L100">IFERROR(INDEX(dim_date!G:G,MATCH(A100,dim_date!A:A,0)),"")</f>
        <v>04</v>
      </c>
      <c r="M100" s="9" t="str">
        <f t="array" ref="M100">IFERROR(INDEX(dim_date!I:I,MATCH(A100,dim_date!A:A,0)),"")</f>
        <v>Q2</v>
      </c>
      <c r="N100" s="20" t="str">
        <f t="array" ref="N100">IFERROR(INDEX(dim_date!K:K,MATCH(A100,dim_date!A:A,0)),"")</f>
        <v>16</v>
      </c>
      <c r="O100" s="9" t="str">
        <f t="array" ref="O100">IFERROR(INDEX(dim_date!F:F,MATCH(A100,dim_date!A:A,0)),"")</f>
        <v>4/12-4/18</v>
      </c>
      <c r="P100" s="9" t="str">
        <f t="array" ref="P100">IFERROR(INDEX(dim_kpi!E:E,MATCH(D100,dim_kpi!C:C,0)),"")</f>
        <v>count</v>
      </c>
      <c r="Q100" s="9" t="str">
        <f t="array" ref="Q100">IFERROR(INDEX(dim_kpi!F:F,MATCH(D100,dim_kpi!C:C,0)),"")</f>
        <v>Y</v>
      </c>
    </row>
    <row r="101" ht="12.75" customHeight="1">
      <c r="A101" s="20" t="str">
        <f>fact_kpi_weekly!A101</f>
        <v>260419</v>
      </c>
      <c r="B101" s="21">
        <f>fact_kpi_weekly!B101</f>
        <v>46131</v>
      </c>
      <c r="C101" s="9" t="str">
        <f>fact_kpi_weekly!C101</f>
        <v>Contracted Lives</v>
      </c>
      <c r="D101" s="9" t="str">
        <f>fact_kpi_weekly!D101</f>
        <v>Eligible Forecast - Total Cumulative</v>
      </c>
      <c r="E101" s="9" t="str">
        <f>fact_kpi_weekly!E101</f>
        <v>Forecast</v>
      </c>
      <c r="F101" s="9" t="str">
        <f>IF(fact_kpi_weekly!F101="","",fact_kpi_weekly!F101)</f>
        <v/>
      </c>
      <c r="G101" s="9" t="str">
        <f>fact_kpi_weekly!G101</f>
        <v>Total</v>
      </c>
      <c r="H101" s="9" t="str">
        <f>fact_kpi_weekly!H101</f>
        <v>John / Sheila</v>
      </c>
      <c r="I101" s="9">
        <f>fact_kpi_weekly!I101</f>
        <v>24327</v>
      </c>
      <c r="J101" s="22">
        <f>fact_kpi_weekly!J101</f>
        <v>24327</v>
      </c>
      <c r="K101" s="20" t="str">
        <f t="array" ref="K101">IFERROR(INDEX(dim_date!H:H,MATCH(A101,dim_date!A:A,0)),"")</f>
        <v>Apr</v>
      </c>
      <c r="L101" s="20" t="str">
        <f t="array" ref="L101">IFERROR(INDEX(dim_date!G:G,MATCH(A101,dim_date!A:A,0)),"")</f>
        <v>04</v>
      </c>
      <c r="M101" s="9" t="str">
        <f t="array" ref="M101">IFERROR(INDEX(dim_date!I:I,MATCH(A101,dim_date!A:A,0)),"")</f>
        <v>Q2</v>
      </c>
      <c r="N101" s="20" t="str">
        <f t="array" ref="N101">IFERROR(INDEX(dim_date!K:K,MATCH(A101,dim_date!A:A,0)),"")</f>
        <v>17</v>
      </c>
      <c r="O101" s="9" t="str">
        <f t="array" ref="O101">IFERROR(INDEX(dim_date!F:F,MATCH(A101,dim_date!A:A,0)),"")</f>
        <v>4/19-4/25</v>
      </c>
      <c r="P101" s="9" t="str">
        <f t="array" ref="P101">IFERROR(INDEX(dim_kpi!E:E,MATCH(D101,dim_kpi!C:C,0)),"")</f>
        <v>count</v>
      </c>
      <c r="Q101" s="9" t="str">
        <f t="array" ref="Q101">IFERROR(INDEX(dim_kpi!F:F,MATCH(D101,dim_kpi!C:C,0)),"")</f>
        <v>Y</v>
      </c>
    </row>
    <row r="102" ht="12.75" customHeight="1">
      <c r="A102" s="20" t="str">
        <f>fact_kpi_weekly!A102</f>
        <v>260426</v>
      </c>
      <c r="B102" s="21">
        <f>fact_kpi_weekly!B102</f>
        <v>46138</v>
      </c>
      <c r="C102" s="9" t="str">
        <f>fact_kpi_weekly!C102</f>
        <v>Contracted Lives</v>
      </c>
      <c r="D102" s="9" t="str">
        <f>fact_kpi_weekly!D102</f>
        <v>Eligible Forecast - Total Cumulative</v>
      </c>
      <c r="E102" s="9" t="str">
        <f>fact_kpi_weekly!E102</f>
        <v>Forecast</v>
      </c>
      <c r="F102" s="9" t="str">
        <f>IF(fact_kpi_weekly!F102="","",fact_kpi_weekly!F102)</f>
        <v/>
      </c>
      <c r="G102" s="9" t="str">
        <f>fact_kpi_weekly!G102</f>
        <v>Total</v>
      </c>
      <c r="H102" s="9" t="str">
        <f>fact_kpi_weekly!H102</f>
        <v>John / Sheila</v>
      </c>
      <c r="I102" s="9">
        <f>fact_kpi_weekly!I102</f>
        <v>40827</v>
      </c>
      <c r="J102" s="22">
        <f>fact_kpi_weekly!J102</f>
        <v>40827</v>
      </c>
      <c r="K102" s="20" t="str">
        <f t="array" ref="K102">IFERROR(INDEX(dim_date!H:H,MATCH(A102,dim_date!A:A,0)),"")</f>
        <v>Apr</v>
      </c>
      <c r="L102" s="20" t="str">
        <f t="array" ref="L102">IFERROR(INDEX(dim_date!G:G,MATCH(A102,dim_date!A:A,0)),"")</f>
        <v>04</v>
      </c>
      <c r="M102" s="9" t="str">
        <f t="array" ref="M102">IFERROR(INDEX(dim_date!I:I,MATCH(A102,dim_date!A:A,0)),"")</f>
        <v>Q2</v>
      </c>
      <c r="N102" s="20" t="str">
        <f t="array" ref="N102">IFERROR(INDEX(dim_date!K:K,MATCH(A102,dim_date!A:A,0)),"")</f>
        <v>18</v>
      </c>
      <c r="O102" s="9" t="str">
        <f t="array" ref="O102">IFERROR(INDEX(dim_date!F:F,MATCH(A102,dim_date!A:A,0)),"")</f>
        <v>4/26-5/2</v>
      </c>
      <c r="P102" s="9" t="str">
        <f t="array" ref="P102">IFERROR(INDEX(dim_kpi!E:E,MATCH(D102,dim_kpi!C:C,0)),"")</f>
        <v>count</v>
      </c>
      <c r="Q102" s="9" t="str">
        <f t="array" ref="Q102">IFERROR(INDEX(dim_kpi!F:F,MATCH(D102,dim_kpi!C:C,0)),"")</f>
        <v>Y</v>
      </c>
    </row>
    <row r="103" ht="12.75" customHeight="1">
      <c r="A103" s="20" t="str">
        <f>fact_kpi_weekly!A103</f>
        <v>260503</v>
      </c>
      <c r="B103" s="21">
        <f>fact_kpi_weekly!B103</f>
        <v>46145</v>
      </c>
      <c r="C103" s="9" t="str">
        <f>fact_kpi_weekly!C103</f>
        <v>Contracted Lives</v>
      </c>
      <c r="D103" s="9" t="str">
        <f>fact_kpi_weekly!D103</f>
        <v>Eligible Forecast - Total Cumulative</v>
      </c>
      <c r="E103" s="9" t="str">
        <f>fact_kpi_weekly!E103</f>
        <v>Forecast</v>
      </c>
      <c r="F103" s="9" t="str">
        <f>IF(fact_kpi_weekly!F103="","",fact_kpi_weekly!F103)</f>
        <v/>
      </c>
      <c r="G103" s="9" t="str">
        <f>fact_kpi_weekly!G103</f>
        <v>Total</v>
      </c>
      <c r="H103" s="9" t="str">
        <f>fact_kpi_weekly!H103</f>
        <v>John / Sheila</v>
      </c>
      <c r="I103" s="9">
        <f>fact_kpi_weekly!I103</f>
        <v>42327</v>
      </c>
      <c r="J103" s="22">
        <f>fact_kpi_weekly!J103</f>
        <v>42327</v>
      </c>
      <c r="K103" s="20" t="str">
        <f t="array" ref="K103">IFERROR(INDEX(dim_date!H:H,MATCH(A103,dim_date!A:A,0)),"")</f>
        <v>May</v>
      </c>
      <c r="L103" s="20" t="str">
        <f t="array" ref="L103">IFERROR(INDEX(dim_date!G:G,MATCH(A103,dim_date!A:A,0)),"")</f>
        <v>05</v>
      </c>
      <c r="M103" s="9" t="str">
        <f t="array" ref="M103">IFERROR(INDEX(dim_date!I:I,MATCH(A103,dim_date!A:A,0)),"")</f>
        <v>Q2</v>
      </c>
      <c r="N103" s="20" t="str">
        <f t="array" ref="N103">IFERROR(INDEX(dim_date!K:K,MATCH(A103,dim_date!A:A,0)),"")</f>
        <v>19</v>
      </c>
      <c r="O103" s="9" t="str">
        <f t="array" ref="O103">IFERROR(INDEX(dim_date!F:F,MATCH(A103,dim_date!A:A,0)),"")</f>
        <v>5/3-5/9</v>
      </c>
      <c r="P103" s="9" t="str">
        <f t="array" ref="P103">IFERROR(INDEX(dim_kpi!E:E,MATCH(D103,dim_kpi!C:C,0)),"")</f>
        <v>count</v>
      </c>
      <c r="Q103" s="9" t="str">
        <f t="array" ref="Q103">IFERROR(INDEX(dim_kpi!F:F,MATCH(D103,dim_kpi!C:C,0)),"")</f>
        <v>Y</v>
      </c>
    </row>
    <row r="104" ht="12.75" customHeight="1">
      <c r="A104" s="20" t="str">
        <f>fact_kpi_weekly!A104</f>
        <v>260510</v>
      </c>
      <c r="B104" s="21">
        <f>fact_kpi_weekly!B104</f>
        <v>46152</v>
      </c>
      <c r="C104" s="9" t="str">
        <f>fact_kpi_weekly!C104</f>
        <v>Contracted Lives</v>
      </c>
      <c r="D104" s="9" t="str">
        <f>fact_kpi_weekly!D104</f>
        <v>Eligible Forecast - Total Cumulative</v>
      </c>
      <c r="E104" s="9" t="str">
        <f>fact_kpi_weekly!E104</f>
        <v>Forecast</v>
      </c>
      <c r="F104" s="9" t="str">
        <f>IF(fact_kpi_weekly!F104="","",fact_kpi_weekly!F104)</f>
        <v/>
      </c>
      <c r="G104" s="9" t="str">
        <f>fact_kpi_weekly!G104</f>
        <v>Total</v>
      </c>
      <c r="H104" s="9" t="str">
        <f>fact_kpi_weekly!H104</f>
        <v>John / Sheila</v>
      </c>
      <c r="I104" s="9">
        <f>fact_kpi_weekly!I104</f>
        <v>43827</v>
      </c>
      <c r="J104" s="22">
        <f>fact_kpi_weekly!J104</f>
        <v>43827</v>
      </c>
      <c r="K104" s="20" t="str">
        <f t="array" ref="K104">IFERROR(INDEX(dim_date!H:H,MATCH(A104,dim_date!A:A,0)),"")</f>
        <v>May</v>
      </c>
      <c r="L104" s="20" t="str">
        <f t="array" ref="L104">IFERROR(INDEX(dim_date!G:G,MATCH(A104,dim_date!A:A,0)),"")</f>
        <v>05</v>
      </c>
      <c r="M104" s="9" t="str">
        <f t="array" ref="M104">IFERROR(INDEX(dim_date!I:I,MATCH(A104,dim_date!A:A,0)),"")</f>
        <v>Q2</v>
      </c>
      <c r="N104" s="20" t="str">
        <f t="array" ref="N104">IFERROR(INDEX(dim_date!K:K,MATCH(A104,dim_date!A:A,0)),"")</f>
        <v>20</v>
      </c>
      <c r="O104" s="9" t="str">
        <f t="array" ref="O104">IFERROR(INDEX(dim_date!F:F,MATCH(A104,dim_date!A:A,0)),"")</f>
        <v>5/10-5/16</v>
      </c>
      <c r="P104" s="9" t="str">
        <f t="array" ref="P104">IFERROR(INDEX(dim_kpi!E:E,MATCH(D104,dim_kpi!C:C,0)),"")</f>
        <v>count</v>
      </c>
      <c r="Q104" s="9" t="str">
        <f t="array" ref="Q104">IFERROR(INDEX(dim_kpi!F:F,MATCH(D104,dim_kpi!C:C,0)),"")</f>
        <v>Y</v>
      </c>
    </row>
    <row r="105" ht="12.75" customHeight="1">
      <c r="A105" s="20" t="str">
        <f>fact_kpi_weekly!A105</f>
        <v>260517</v>
      </c>
      <c r="B105" s="21">
        <f>fact_kpi_weekly!B105</f>
        <v>46159</v>
      </c>
      <c r="C105" s="9" t="str">
        <f>fact_kpi_weekly!C105</f>
        <v>Contracted Lives</v>
      </c>
      <c r="D105" s="9" t="str">
        <f>fact_kpi_weekly!D105</f>
        <v>Eligible Forecast - Total Cumulative</v>
      </c>
      <c r="E105" s="9" t="str">
        <f>fact_kpi_weekly!E105</f>
        <v>Forecast</v>
      </c>
      <c r="F105" s="9" t="str">
        <f>IF(fact_kpi_weekly!F105="","",fact_kpi_weekly!F105)</f>
        <v/>
      </c>
      <c r="G105" s="9" t="str">
        <f>fact_kpi_weekly!G105</f>
        <v>Total</v>
      </c>
      <c r="H105" s="9" t="str">
        <f>fact_kpi_weekly!H105</f>
        <v>John / Sheila</v>
      </c>
      <c r="I105" s="9">
        <f>fact_kpi_weekly!I105</f>
        <v>50327</v>
      </c>
      <c r="J105" s="22">
        <f>fact_kpi_weekly!J105</f>
        <v>50327</v>
      </c>
      <c r="K105" s="20" t="str">
        <f t="array" ref="K105">IFERROR(INDEX(dim_date!H:H,MATCH(A105,dim_date!A:A,0)),"")</f>
        <v>May</v>
      </c>
      <c r="L105" s="20" t="str">
        <f t="array" ref="L105">IFERROR(INDEX(dim_date!G:G,MATCH(A105,dim_date!A:A,0)),"")</f>
        <v>05</v>
      </c>
      <c r="M105" s="9" t="str">
        <f t="array" ref="M105">IFERROR(INDEX(dim_date!I:I,MATCH(A105,dim_date!A:A,0)),"")</f>
        <v>Q2</v>
      </c>
      <c r="N105" s="20" t="str">
        <f t="array" ref="N105">IFERROR(INDEX(dim_date!K:K,MATCH(A105,dim_date!A:A,0)),"")</f>
        <v>21</v>
      </c>
      <c r="O105" s="9" t="str">
        <f t="array" ref="O105">IFERROR(INDEX(dim_date!F:F,MATCH(A105,dim_date!A:A,0)),"")</f>
        <v>5/17-5/23</v>
      </c>
      <c r="P105" s="9" t="str">
        <f t="array" ref="P105">IFERROR(INDEX(dim_kpi!E:E,MATCH(D105,dim_kpi!C:C,0)),"")</f>
        <v>count</v>
      </c>
      <c r="Q105" s="9" t="str">
        <f t="array" ref="Q105">IFERROR(INDEX(dim_kpi!F:F,MATCH(D105,dim_kpi!C:C,0)),"")</f>
        <v>Y</v>
      </c>
    </row>
    <row r="106" ht="12.75" customHeight="1">
      <c r="A106" s="20" t="str">
        <f>fact_kpi_weekly!A106</f>
        <v>260524</v>
      </c>
      <c r="B106" s="21">
        <f>fact_kpi_weekly!B106</f>
        <v>46166</v>
      </c>
      <c r="C106" s="9" t="str">
        <f>fact_kpi_weekly!C106</f>
        <v>Contracted Lives</v>
      </c>
      <c r="D106" s="9" t="str">
        <f>fact_kpi_weekly!D106</f>
        <v>Eligible Forecast - Total Cumulative</v>
      </c>
      <c r="E106" s="9" t="str">
        <f>fact_kpi_weekly!E106</f>
        <v>Forecast</v>
      </c>
      <c r="F106" s="9" t="str">
        <f>IF(fact_kpi_weekly!F106="","",fact_kpi_weekly!F106)</f>
        <v/>
      </c>
      <c r="G106" s="9" t="str">
        <f>fact_kpi_weekly!G106</f>
        <v>Total</v>
      </c>
      <c r="H106" s="9" t="str">
        <f>fact_kpi_weekly!H106</f>
        <v>John / Sheila</v>
      </c>
      <c r="I106" s="9">
        <f>fact_kpi_weekly!I106</f>
        <v>51827</v>
      </c>
      <c r="J106" s="22">
        <f>fact_kpi_weekly!J106</f>
        <v>51827</v>
      </c>
      <c r="K106" s="20" t="str">
        <f t="array" ref="K106">IFERROR(INDEX(dim_date!H:H,MATCH(A106,dim_date!A:A,0)),"")</f>
        <v>May</v>
      </c>
      <c r="L106" s="20" t="str">
        <f t="array" ref="L106">IFERROR(INDEX(dim_date!G:G,MATCH(A106,dim_date!A:A,0)),"")</f>
        <v>05</v>
      </c>
      <c r="M106" s="9" t="str">
        <f t="array" ref="M106">IFERROR(INDEX(dim_date!I:I,MATCH(A106,dim_date!A:A,0)),"")</f>
        <v>Q2</v>
      </c>
      <c r="N106" s="20" t="str">
        <f t="array" ref="N106">IFERROR(INDEX(dim_date!K:K,MATCH(A106,dim_date!A:A,0)),"")</f>
        <v>22</v>
      </c>
      <c r="O106" s="9" t="str">
        <f t="array" ref="O106">IFERROR(INDEX(dim_date!F:F,MATCH(A106,dim_date!A:A,0)),"")</f>
        <v>5/24-5/30</v>
      </c>
      <c r="P106" s="9" t="str">
        <f t="array" ref="P106">IFERROR(INDEX(dim_kpi!E:E,MATCH(D106,dim_kpi!C:C,0)),"")</f>
        <v>count</v>
      </c>
      <c r="Q106" s="9" t="str">
        <f t="array" ref="Q106">IFERROR(INDEX(dim_kpi!F:F,MATCH(D106,dim_kpi!C:C,0)),"")</f>
        <v>Y</v>
      </c>
    </row>
    <row r="107" ht="12.75" customHeight="1">
      <c r="A107" s="20" t="str">
        <f>fact_kpi_weekly!A107</f>
        <v>260601</v>
      </c>
      <c r="B107" s="21">
        <f>fact_kpi_weekly!B107</f>
        <v>46174</v>
      </c>
      <c r="C107" s="9" t="str">
        <f>fact_kpi_weekly!C107</f>
        <v>Contracted Lives</v>
      </c>
      <c r="D107" s="9" t="str">
        <f>fact_kpi_weekly!D107</f>
        <v>Eligible Forecast - Total Cumulative</v>
      </c>
      <c r="E107" s="9" t="str">
        <f>fact_kpi_weekly!E107</f>
        <v>Forecast</v>
      </c>
      <c r="F107" s="9" t="str">
        <f>IF(fact_kpi_weekly!F107="","",fact_kpi_weekly!F107)</f>
        <v/>
      </c>
      <c r="G107" s="9" t="str">
        <f>fact_kpi_weekly!G107</f>
        <v>Total</v>
      </c>
      <c r="H107" s="9" t="str">
        <f>fact_kpi_weekly!H107</f>
        <v>John / Sheila</v>
      </c>
      <c r="I107" s="9">
        <f>fact_kpi_weekly!I107</f>
        <v>68327</v>
      </c>
      <c r="J107" s="22">
        <f>fact_kpi_weekly!J107</f>
        <v>68327</v>
      </c>
      <c r="K107" s="20" t="str">
        <f t="array" ref="K107">IFERROR(INDEX(dim_date!H:H,MATCH(A107,dim_date!A:A,0)),"")</f>
        <v>Jun</v>
      </c>
      <c r="L107" s="20" t="str">
        <f t="array" ref="L107">IFERROR(INDEX(dim_date!G:G,MATCH(A107,dim_date!A:A,0)),"")</f>
        <v>06</v>
      </c>
      <c r="M107" s="9" t="str">
        <f t="array" ref="M107">IFERROR(INDEX(dim_date!I:I,MATCH(A107,dim_date!A:A,0)),"")</f>
        <v>Q2</v>
      </c>
      <c r="N107" s="20" t="str">
        <f t="array" ref="N107">IFERROR(INDEX(dim_date!K:K,MATCH(A107,dim_date!A:A,0)),"")</f>
        <v>23</v>
      </c>
      <c r="O107" s="9" t="str">
        <f t="array" ref="O107">IFERROR(INDEX(dim_date!F:F,MATCH(A107,dim_date!A:A,0)),"")</f>
        <v>5/31-6/6</v>
      </c>
      <c r="P107" s="9" t="str">
        <f t="array" ref="P107">IFERROR(INDEX(dim_kpi!E:E,MATCH(D107,dim_kpi!C:C,0)),"")</f>
        <v>count</v>
      </c>
      <c r="Q107" s="9" t="str">
        <f t="array" ref="Q107">IFERROR(INDEX(dim_kpi!F:F,MATCH(D107,dim_kpi!C:C,0)),"")</f>
        <v>Y</v>
      </c>
    </row>
    <row r="108" ht="12.75" customHeight="1">
      <c r="A108" s="20" t="str">
        <f>fact_kpi_weekly!A108</f>
        <v>260607</v>
      </c>
      <c r="B108" s="21">
        <f>fact_kpi_weekly!B108</f>
        <v>46180</v>
      </c>
      <c r="C108" s="9" t="str">
        <f>fact_kpi_weekly!C108</f>
        <v>Contracted Lives</v>
      </c>
      <c r="D108" s="9" t="str">
        <f>fact_kpi_weekly!D108</f>
        <v>Eligible Forecast - Total Cumulative</v>
      </c>
      <c r="E108" s="9" t="str">
        <f>fact_kpi_weekly!E108</f>
        <v>Forecast</v>
      </c>
      <c r="F108" s="9" t="str">
        <f>IF(fact_kpi_weekly!F108="","",fact_kpi_weekly!F108)</f>
        <v/>
      </c>
      <c r="G108" s="9" t="str">
        <f>fact_kpi_weekly!G108</f>
        <v>Total</v>
      </c>
      <c r="H108" s="9" t="str">
        <f>fact_kpi_weekly!H108</f>
        <v>John / Sheila</v>
      </c>
      <c r="I108" s="9">
        <f>fact_kpi_weekly!I108</f>
        <v>69827</v>
      </c>
      <c r="J108" s="22">
        <f>fact_kpi_weekly!J108</f>
        <v>69827</v>
      </c>
      <c r="K108" s="20" t="str">
        <f t="array" ref="K108">IFERROR(INDEX(dim_date!H:H,MATCH(A108,dim_date!A:A,0)),"")</f>
        <v>Jun</v>
      </c>
      <c r="L108" s="20" t="str">
        <f t="array" ref="L108">IFERROR(INDEX(dim_date!G:G,MATCH(A108,dim_date!A:A,0)),"")</f>
        <v>06</v>
      </c>
      <c r="M108" s="9" t="str">
        <f t="array" ref="M108">IFERROR(INDEX(dim_date!I:I,MATCH(A108,dim_date!A:A,0)),"")</f>
        <v>Q2</v>
      </c>
      <c r="N108" s="20" t="str">
        <f t="array" ref="N108">IFERROR(INDEX(dim_date!K:K,MATCH(A108,dim_date!A:A,0)),"")</f>
        <v>24</v>
      </c>
      <c r="O108" s="9" t="str">
        <f t="array" ref="O108">IFERROR(INDEX(dim_date!F:F,MATCH(A108,dim_date!A:A,0)),"")</f>
        <v>6/7-6/13</v>
      </c>
      <c r="P108" s="9" t="str">
        <f t="array" ref="P108">IFERROR(INDEX(dim_kpi!E:E,MATCH(D108,dim_kpi!C:C,0)),"")</f>
        <v>count</v>
      </c>
      <c r="Q108" s="9" t="str">
        <f t="array" ref="Q108">IFERROR(INDEX(dim_kpi!F:F,MATCH(D108,dim_kpi!C:C,0)),"")</f>
        <v>Y</v>
      </c>
    </row>
    <row r="109" ht="12.75" customHeight="1">
      <c r="A109" s="20" t="str">
        <f>fact_kpi_weekly!A109</f>
        <v>260614</v>
      </c>
      <c r="B109" s="21">
        <f>fact_kpi_weekly!B109</f>
        <v>46187</v>
      </c>
      <c r="C109" s="9" t="str">
        <f>fact_kpi_weekly!C109</f>
        <v>Contracted Lives</v>
      </c>
      <c r="D109" s="9" t="str">
        <f>fact_kpi_weekly!D109</f>
        <v>Eligible Forecast - Total Cumulative</v>
      </c>
      <c r="E109" s="9" t="str">
        <f>fact_kpi_weekly!E109</f>
        <v>Forecast</v>
      </c>
      <c r="F109" s="9" t="str">
        <f>IF(fact_kpi_weekly!F109="","",fact_kpi_weekly!F109)</f>
        <v/>
      </c>
      <c r="G109" s="9" t="str">
        <f>fact_kpi_weekly!G109</f>
        <v>Total</v>
      </c>
      <c r="H109" s="9" t="str">
        <f>fact_kpi_weekly!H109</f>
        <v>John / Sheila</v>
      </c>
      <c r="I109" s="9">
        <f>fact_kpi_weekly!I109</f>
        <v>76327</v>
      </c>
      <c r="J109" s="22">
        <f>fact_kpi_weekly!J109</f>
        <v>76327</v>
      </c>
      <c r="K109" s="20" t="str">
        <f t="array" ref="K109">IFERROR(INDEX(dim_date!H:H,MATCH(A109,dim_date!A:A,0)),"")</f>
        <v>Jun</v>
      </c>
      <c r="L109" s="20" t="str">
        <f t="array" ref="L109">IFERROR(INDEX(dim_date!G:G,MATCH(A109,dim_date!A:A,0)),"")</f>
        <v>06</v>
      </c>
      <c r="M109" s="9" t="str">
        <f t="array" ref="M109">IFERROR(INDEX(dim_date!I:I,MATCH(A109,dim_date!A:A,0)),"")</f>
        <v>Q2</v>
      </c>
      <c r="N109" s="20" t="str">
        <f t="array" ref="N109">IFERROR(INDEX(dim_date!K:K,MATCH(A109,dim_date!A:A,0)),"")</f>
        <v>25</v>
      </c>
      <c r="O109" s="9" t="str">
        <f t="array" ref="O109">IFERROR(INDEX(dim_date!F:F,MATCH(A109,dim_date!A:A,0)),"")</f>
        <v>6/14-6/20</v>
      </c>
      <c r="P109" s="9" t="str">
        <f t="array" ref="P109">IFERROR(INDEX(dim_kpi!E:E,MATCH(D109,dim_kpi!C:C,0)),"")</f>
        <v>count</v>
      </c>
      <c r="Q109" s="9" t="str">
        <f t="array" ref="Q109">IFERROR(INDEX(dim_kpi!F:F,MATCH(D109,dim_kpi!C:C,0)),"")</f>
        <v>Y</v>
      </c>
    </row>
    <row r="110" ht="12.75" customHeight="1">
      <c r="A110" s="20" t="str">
        <f>fact_kpi_weekly!A110</f>
        <v>260621</v>
      </c>
      <c r="B110" s="21">
        <f>fact_kpi_weekly!B110</f>
        <v>46194</v>
      </c>
      <c r="C110" s="9" t="str">
        <f>fact_kpi_weekly!C110</f>
        <v>Contracted Lives</v>
      </c>
      <c r="D110" s="9" t="str">
        <f>fact_kpi_weekly!D110</f>
        <v>Eligible Forecast - Total Cumulative</v>
      </c>
      <c r="E110" s="9" t="str">
        <f>fact_kpi_weekly!E110</f>
        <v>Forecast</v>
      </c>
      <c r="F110" s="9" t="str">
        <f>IF(fact_kpi_weekly!F110="","",fact_kpi_weekly!F110)</f>
        <v/>
      </c>
      <c r="G110" s="9" t="str">
        <f>fact_kpi_weekly!G110</f>
        <v>Total</v>
      </c>
      <c r="H110" s="9" t="str">
        <f>fact_kpi_weekly!H110</f>
        <v>John / Sheila</v>
      </c>
      <c r="I110" s="9">
        <f>fact_kpi_weekly!I110</f>
        <v>77827</v>
      </c>
      <c r="J110" s="22">
        <f>fact_kpi_weekly!J110</f>
        <v>77827</v>
      </c>
      <c r="K110" s="20" t="str">
        <f t="array" ref="K110">IFERROR(INDEX(dim_date!H:H,MATCH(A110,dim_date!A:A,0)),"")</f>
        <v>Jun</v>
      </c>
      <c r="L110" s="20" t="str">
        <f t="array" ref="L110">IFERROR(INDEX(dim_date!G:G,MATCH(A110,dim_date!A:A,0)),"")</f>
        <v>06</v>
      </c>
      <c r="M110" s="9" t="str">
        <f t="array" ref="M110">IFERROR(INDEX(dim_date!I:I,MATCH(A110,dim_date!A:A,0)),"")</f>
        <v>Q2</v>
      </c>
      <c r="N110" s="20" t="str">
        <f t="array" ref="N110">IFERROR(INDEX(dim_date!K:K,MATCH(A110,dim_date!A:A,0)),"")</f>
        <v>26</v>
      </c>
      <c r="O110" s="9" t="str">
        <f t="array" ref="O110">IFERROR(INDEX(dim_date!F:F,MATCH(A110,dim_date!A:A,0)),"")</f>
        <v>6/21-6/27</v>
      </c>
      <c r="P110" s="9" t="str">
        <f t="array" ref="P110">IFERROR(INDEX(dim_kpi!E:E,MATCH(D110,dim_kpi!C:C,0)),"")</f>
        <v>count</v>
      </c>
      <c r="Q110" s="9" t="str">
        <f t="array" ref="Q110">IFERROR(INDEX(dim_kpi!F:F,MATCH(D110,dim_kpi!C:C,0)),"")</f>
        <v>Y</v>
      </c>
    </row>
    <row r="111" ht="12.75" customHeight="1">
      <c r="A111" s="20" t="str">
        <f>fact_kpi_weekly!A111</f>
        <v>260628</v>
      </c>
      <c r="B111" s="21">
        <f>fact_kpi_weekly!B111</f>
        <v>46201</v>
      </c>
      <c r="C111" s="9" t="str">
        <f>fact_kpi_weekly!C111</f>
        <v>Contracted Lives</v>
      </c>
      <c r="D111" s="9" t="str">
        <f>fact_kpi_weekly!D111</f>
        <v>Eligible Forecast - Total Cumulative</v>
      </c>
      <c r="E111" s="9" t="str">
        <f>fact_kpi_weekly!E111</f>
        <v>Forecast</v>
      </c>
      <c r="F111" s="9" t="str">
        <f>IF(fact_kpi_weekly!F111="","",fact_kpi_weekly!F111)</f>
        <v/>
      </c>
      <c r="G111" s="9" t="str">
        <f>fact_kpi_weekly!G111</f>
        <v>Total</v>
      </c>
      <c r="H111" s="9" t="str">
        <f>fact_kpi_weekly!H111</f>
        <v>John / Sheila</v>
      </c>
      <c r="I111" s="9">
        <f>fact_kpi_weekly!I111</f>
        <v>79577</v>
      </c>
      <c r="J111" s="22">
        <f>fact_kpi_weekly!J111</f>
        <v>79577</v>
      </c>
      <c r="K111" s="20" t="str">
        <f t="array" ref="K111">IFERROR(INDEX(dim_date!H:H,MATCH(A111,dim_date!A:A,0)),"")</f>
        <v>Jun</v>
      </c>
      <c r="L111" s="20" t="str">
        <f t="array" ref="L111">IFERROR(INDEX(dim_date!G:G,MATCH(A111,dim_date!A:A,0)),"")</f>
        <v>06</v>
      </c>
      <c r="M111" s="9" t="str">
        <f t="array" ref="M111">IFERROR(INDEX(dim_date!I:I,MATCH(A111,dim_date!A:A,0)),"")</f>
        <v>Q2</v>
      </c>
      <c r="N111" s="20" t="str">
        <f t="array" ref="N111">IFERROR(INDEX(dim_date!K:K,MATCH(A111,dim_date!A:A,0)),"")</f>
        <v>27</v>
      </c>
      <c r="O111" s="9" t="str">
        <f t="array" ref="O111">IFERROR(INDEX(dim_date!F:F,MATCH(A111,dim_date!A:A,0)),"")</f>
        <v>6/28-7/4</v>
      </c>
      <c r="P111" s="9" t="str">
        <f t="array" ref="P111">IFERROR(INDEX(dim_kpi!E:E,MATCH(D111,dim_kpi!C:C,0)),"")</f>
        <v>count</v>
      </c>
      <c r="Q111" s="9" t="str">
        <f t="array" ref="Q111">IFERROR(INDEX(dim_kpi!F:F,MATCH(D111,dim_kpi!C:C,0)),"")</f>
        <v>Y</v>
      </c>
    </row>
    <row r="112" ht="12.75" customHeight="1">
      <c r="A112" s="20" t="str">
        <f>fact_kpi_weekly!A112</f>
        <v>260705</v>
      </c>
      <c r="B112" s="21">
        <f>fact_kpi_weekly!B112</f>
        <v>46208</v>
      </c>
      <c r="C112" s="9" t="str">
        <f>fact_kpi_weekly!C112</f>
        <v>Contracted Lives</v>
      </c>
      <c r="D112" s="9" t="str">
        <f>fact_kpi_weekly!D112</f>
        <v>Eligible Forecast - Total Cumulative</v>
      </c>
      <c r="E112" s="9" t="str">
        <f>fact_kpi_weekly!E112</f>
        <v>Forecast</v>
      </c>
      <c r="F112" s="9" t="str">
        <f>IF(fact_kpi_weekly!F112="","",fact_kpi_weekly!F112)</f>
        <v/>
      </c>
      <c r="G112" s="9" t="str">
        <f>fact_kpi_weekly!G112</f>
        <v>Total</v>
      </c>
      <c r="H112" s="9" t="str">
        <f>fact_kpi_weekly!H112</f>
        <v>John / Sheila</v>
      </c>
      <c r="I112" s="9">
        <f>fact_kpi_weekly!I112</f>
        <v>81327</v>
      </c>
      <c r="J112" s="22">
        <f>fact_kpi_weekly!J112</f>
        <v>81327</v>
      </c>
      <c r="K112" s="20" t="str">
        <f t="array" ref="K112">IFERROR(INDEX(dim_date!H:H,MATCH(A112,dim_date!A:A,0)),"")</f>
        <v>Jul</v>
      </c>
      <c r="L112" s="20" t="str">
        <f t="array" ref="L112">IFERROR(INDEX(dim_date!G:G,MATCH(A112,dim_date!A:A,0)),"")</f>
        <v>07</v>
      </c>
      <c r="M112" s="9" t="str">
        <f t="array" ref="M112">IFERROR(INDEX(dim_date!I:I,MATCH(A112,dim_date!A:A,0)),"")</f>
        <v>Q3</v>
      </c>
      <c r="N112" s="20" t="str">
        <f t="array" ref="N112">IFERROR(INDEX(dim_date!K:K,MATCH(A112,dim_date!A:A,0)),"")</f>
        <v>28</v>
      </c>
      <c r="O112" s="9" t="str">
        <f t="array" ref="O112">IFERROR(INDEX(dim_date!F:F,MATCH(A112,dim_date!A:A,0)),"")</f>
        <v>7/5-7/11</v>
      </c>
      <c r="P112" s="9" t="str">
        <f t="array" ref="P112">IFERROR(INDEX(dim_kpi!E:E,MATCH(D112,dim_kpi!C:C,0)),"")</f>
        <v>count</v>
      </c>
      <c r="Q112" s="9" t="str">
        <f t="array" ref="Q112">IFERROR(INDEX(dim_kpi!F:F,MATCH(D112,dim_kpi!C:C,0)),"")</f>
        <v>Y</v>
      </c>
    </row>
    <row r="113" ht="12.75" customHeight="1">
      <c r="A113" s="20" t="str">
        <f>fact_kpi_weekly!A113</f>
        <v>260712</v>
      </c>
      <c r="B113" s="21">
        <f>fact_kpi_weekly!B113</f>
        <v>46215</v>
      </c>
      <c r="C113" s="9" t="str">
        <f>fact_kpi_weekly!C113</f>
        <v>Contracted Lives</v>
      </c>
      <c r="D113" s="9" t="str">
        <f>fact_kpi_weekly!D113</f>
        <v>Eligible Forecast - Total Cumulative</v>
      </c>
      <c r="E113" s="9" t="str">
        <f>fact_kpi_weekly!E113</f>
        <v>Forecast</v>
      </c>
      <c r="F113" s="9" t="str">
        <f>IF(fact_kpi_weekly!F113="","",fact_kpi_weekly!F113)</f>
        <v/>
      </c>
      <c r="G113" s="9" t="str">
        <f>fact_kpi_weekly!G113</f>
        <v>Total</v>
      </c>
      <c r="H113" s="9" t="str">
        <f>fact_kpi_weekly!H113</f>
        <v>John / Sheila</v>
      </c>
      <c r="I113" s="9">
        <f>fact_kpi_weekly!I113</f>
        <v>108077</v>
      </c>
      <c r="J113" s="22">
        <f>fact_kpi_weekly!J113</f>
        <v>108077</v>
      </c>
      <c r="K113" s="20" t="str">
        <f t="array" ref="K113">IFERROR(INDEX(dim_date!H:H,MATCH(A113,dim_date!A:A,0)),"")</f>
        <v>Jul</v>
      </c>
      <c r="L113" s="20" t="str">
        <f t="array" ref="L113">IFERROR(INDEX(dim_date!G:G,MATCH(A113,dim_date!A:A,0)),"")</f>
        <v>07</v>
      </c>
      <c r="M113" s="9" t="str">
        <f t="array" ref="M113">IFERROR(INDEX(dim_date!I:I,MATCH(A113,dim_date!A:A,0)),"")</f>
        <v>Q3</v>
      </c>
      <c r="N113" s="20" t="str">
        <f t="array" ref="N113">IFERROR(INDEX(dim_date!K:K,MATCH(A113,dim_date!A:A,0)),"")</f>
        <v>29</v>
      </c>
      <c r="O113" s="9" t="str">
        <f t="array" ref="O113">IFERROR(INDEX(dim_date!F:F,MATCH(A113,dim_date!A:A,0)),"")</f>
        <v>7/12-7/18</v>
      </c>
      <c r="P113" s="9" t="str">
        <f t="array" ref="P113">IFERROR(INDEX(dim_kpi!E:E,MATCH(D113,dim_kpi!C:C,0)),"")</f>
        <v>count</v>
      </c>
      <c r="Q113" s="9" t="str">
        <f t="array" ref="Q113">IFERROR(INDEX(dim_kpi!F:F,MATCH(D113,dim_kpi!C:C,0)),"")</f>
        <v>Y</v>
      </c>
    </row>
    <row r="114" ht="12.75" customHeight="1">
      <c r="A114" s="20" t="str">
        <f>fact_kpi_weekly!A114</f>
        <v>260719</v>
      </c>
      <c r="B114" s="21">
        <f>fact_kpi_weekly!B114</f>
        <v>46222</v>
      </c>
      <c r="C114" s="9" t="str">
        <f>fact_kpi_weekly!C114</f>
        <v>Contracted Lives</v>
      </c>
      <c r="D114" s="9" t="str">
        <f>fact_kpi_weekly!D114</f>
        <v>Eligible Forecast - Total Cumulative</v>
      </c>
      <c r="E114" s="9" t="str">
        <f>fact_kpi_weekly!E114</f>
        <v>Forecast</v>
      </c>
      <c r="F114" s="9" t="str">
        <f>IF(fact_kpi_weekly!F114="","",fact_kpi_weekly!F114)</f>
        <v/>
      </c>
      <c r="G114" s="9" t="str">
        <f>fact_kpi_weekly!G114</f>
        <v>Total</v>
      </c>
      <c r="H114" s="9" t="str">
        <f>fact_kpi_weekly!H114</f>
        <v>John / Sheila</v>
      </c>
      <c r="I114" s="9">
        <f>fact_kpi_weekly!I114</f>
        <v>109827</v>
      </c>
      <c r="J114" s="22">
        <f>fact_kpi_weekly!J114</f>
        <v>109827</v>
      </c>
      <c r="K114" s="20" t="str">
        <f t="array" ref="K114">IFERROR(INDEX(dim_date!H:H,MATCH(A114,dim_date!A:A,0)),"")</f>
        <v>Jul</v>
      </c>
      <c r="L114" s="20" t="str">
        <f t="array" ref="L114">IFERROR(INDEX(dim_date!G:G,MATCH(A114,dim_date!A:A,0)),"")</f>
        <v>07</v>
      </c>
      <c r="M114" s="9" t="str">
        <f t="array" ref="M114">IFERROR(INDEX(dim_date!I:I,MATCH(A114,dim_date!A:A,0)),"")</f>
        <v>Q3</v>
      </c>
      <c r="N114" s="20" t="str">
        <f t="array" ref="N114">IFERROR(INDEX(dim_date!K:K,MATCH(A114,dim_date!A:A,0)),"")</f>
        <v>30</v>
      </c>
      <c r="O114" s="9" t="str">
        <f t="array" ref="O114">IFERROR(INDEX(dim_date!F:F,MATCH(A114,dim_date!A:A,0)),"")</f>
        <v>7/19-7/25</v>
      </c>
      <c r="P114" s="9" t="str">
        <f t="array" ref="P114">IFERROR(INDEX(dim_kpi!E:E,MATCH(D114,dim_kpi!C:C,0)),"")</f>
        <v>count</v>
      </c>
      <c r="Q114" s="9" t="str">
        <f t="array" ref="Q114">IFERROR(INDEX(dim_kpi!F:F,MATCH(D114,dim_kpi!C:C,0)),"")</f>
        <v>Y</v>
      </c>
    </row>
    <row r="115" ht="12.75" customHeight="1">
      <c r="A115" s="20" t="str">
        <f>fact_kpi_weekly!A115</f>
        <v>260726</v>
      </c>
      <c r="B115" s="21">
        <f>fact_kpi_weekly!B115</f>
        <v>46229</v>
      </c>
      <c r="C115" s="9" t="str">
        <f>fact_kpi_weekly!C115</f>
        <v>Contracted Lives</v>
      </c>
      <c r="D115" s="9" t="str">
        <f>fact_kpi_weekly!D115</f>
        <v>Eligible Forecast - Total Cumulative</v>
      </c>
      <c r="E115" s="9" t="str">
        <f>fact_kpi_weekly!E115</f>
        <v>Forecast</v>
      </c>
      <c r="F115" s="9" t="str">
        <f>IF(fact_kpi_weekly!F115="","",fact_kpi_weekly!F115)</f>
        <v/>
      </c>
      <c r="G115" s="9" t="str">
        <f>fact_kpi_weekly!G115</f>
        <v>Total</v>
      </c>
      <c r="H115" s="9" t="str">
        <f>fact_kpi_weekly!H115</f>
        <v>John / Sheila</v>
      </c>
      <c r="I115" s="9">
        <f>fact_kpi_weekly!I115</f>
        <v>116577</v>
      </c>
      <c r="J115" s="22">
        <f>fact_kpi_weekly!J115</f>
        <v>116577</v>
      </c>
      <c r="K115" s="20" t="str">
        <f t="array" ref="K115">IFERROR(INDEX(dim_date!H:H,MATCH(A115,dim_date!A:A,0)),"")</f>
        <v>Jul</v>
      </c>
      <c r="L115" s="20" t="str">
        <f t="array" ref="L115">IFERROR(INDEX(dim_date!G:G,MATCH(A115,dim_date!A:A,0)),"")</f>
        <v>07</v>
      </c>
      <c r="M115" s="9" t="str">
        <f t="array" ref="M115">IFERROR(INDEX(dim_date!I:I,MATCH(A115,dim_date!A:A,0)),"")</f>
        <v>Q3</v>
      </c>
      <c r="N115" s="20" t="str">
        <f t="array" ref="N115">IFERROR(INDEX(dim_date!K:K,MATCH(A115,dim_date!A:A,0)),"")</f>
        <v>31</v>
      </c>
      <c r="O115" s="9" t="str">
        <f t="array" ref="O115">IFERROR(INDEX(dim_date!F:F,MATCH(A115,dim_date!A:A,0)),"")</f>
        <v>7/26-8/1</v>
      </c>
      <c r="P115" s="9" t="str">
        <f t="array" ref="P115">IFERROR(INDEX(dim_kpi!E:E,MATCH(D115,dim_kpi!C:C,0)),"")</f>
        <v>count</v>
      </c>
      <c r="Q115" s="9" t="str">
        <f t="array" ref="Q115">IFERROR(INDEX(dim_kpi!F:F,MATCH(D115,dim_kpi!C:C,0)),"")</f>
        <v>Y</v>
      </c>
    </row>
    <row r="116" ht="12.75" customHeight="1">
      <c r="A116" s="20" t="str">
        <f>fact_kpi_weekly!A116</f>
        <v>260802</v>
      </c>
      <c r="B116" s="21">
        <f>fact_kpi_weekly!B116</f>
        <v>46236</v>
      </c>
      <c r="C116" s="9" t="str">
        <f>fact_kpi_weekly!C116</f>
        <v>Contracted Lives</v>
      </c>
      <c r="D116" s="9" t="str">
        <f>fact_kpi_weekly!D116</f>
        <v>Eligible Forecast - Total Cumulative</v>
      </c>
      <c r="E116" s="9" t="str">
        <f>fact_kpi_weekly!E116</f>
        <v>Forecast</v>
      </c>
      <c r="F116" s="9" t="str">
        <f>IF(fact_kpi_weekly!F116="","",fact_kpi_weekly!F116)</f>
        <v/>
      </c>
      <c r="G116" s="9" t="str">
        <f>fact_kpi_weekly!G116</f>
        <v>Total</v>
      </c>
      <c r="H116" s="9" t="str">
        <f>fact_kpi_weekly!H116</f>
        <v>John / Sheila</v>
      </c>
      <c r="I116" s="9">
        <f>fact_kpi_weekly!I116</f>
        <v>118327</v>
      </c>
      <c r="J116" s="22">
        <f>fact_kpi_weekly!J116</f>
        <v>118327</v>
      </c>
      <c r="K116" s="20" t="str">
        <f t="array" ref="K116">IFERROR(INDEX(dim_date!H:H,MATCH(A116,dim_date!A:A,0)),"")</f>
        <v>Aug</v>
      </c>
      <c r="L116" s="20" t="str">
        <f t="array" ref="L116">IFERROR(INDEX(dim_date!G:G,MATCH(A116,dim_date!A:A,0)),"")</f>
        <v>08</v>
      </c>
      <c r="M116" s="9" t="str">
        <f t="array" ref="M116">IFERROR(INDEX(dim_date!I:I,MATCH(A116,dim_date!A:A,0)),"")</f>
        <v>Q3</v>
      </c>
      <c r="N116" s="20" t="str">
        <f t="array" ref="N116">IFERROR(INDEX(dim_date!K:K,MATCH(A116,dim_date!A:A,0)),"")</f>
        <v>32</v>
      </c>
      <c r="O116" s="9" t="str">
        <f t="array" ref="O116">IFERROR(INDEX(dim_date!F:F,MATCH(A116,dim_date!A:A,0)),"")</f>
        <v>8/2-8/8</v>
      </c>
      <c r="P116" s="9" t="str">
        <f t="array" ref="P116">IFERROR(INDEX(dim_kpi!E:E,MATCH(D116,dim_kpi!C:C,0)),"")</f>
        <v>count</v>
      </c>
      <c r="Q116" s="9" t="str">
        <f t="array" ref="Q116">IFERROR(INDEX(dim_kpi!F:F,MATCH(D116,dim_kpi!C:C,0)),"")</f>
        <v>Y</v>
      </c>
    </row>
    <row r="117" ht="12.75" customHeight="1">
      <c r="A117" s="20" t="str">
        <f>fact_kpi_weekly!A117</f>
        <v>260809</v>
      </c>
      <c r="B117" s="21">
        <f>fact_kpi_weekly!B117</f>
        <v>46243</v>
      </c>
      <c r="C117" s="9" t="str">
        <f>fact_kpi_weekly!C117</f>
        <v>Contracted Lives</v>
      </c>
      <c r="D117" s="9" t="str">
        <f>fact_kpi_weekly!D117</f>
        <v>Eligible Forecast - Total Cumulative</v>
      </c>
      <c r="E117" s="9" t="str">
        <f>fact_kpi_weekly!E117</f>
        <v>Forecast</v>
      </c>
      <c r="F117" s="9" t="str">
        <f>IF(fact_kpi_weekly!F117="","",fact_kpi_weekly!F117)</f>
        <v/>
      </c>
      <c r="G117" s="9" t="str">
        <f>fact_kpi_weekly!G117</f>
        <v>Total</v>
      </c>
      <c r="H117" s="9" t="str">
        <f>fact_kpi_weekly!H117</f>
        <v>John / Sheila</v>
      </c>
      <c r="I117" s="9">
        <f>fact_kpi_weekly!I117</f>
        <v>125077</v>
      </c>
      <c r="J117" s="22">
        <f>fact_kpi_weekly!J117</f>
        <v>125077</v>
      </c>
      <c r="K117" s="20" t="str">
        <f t="array" ref="K117">IFERROR(INDEX(dim_date!H:H,MATCH(A117,dim_date!A:A,0)),"")</f>
        <v>Aug</v>
      </c>
      <c r="L117" s="20" t="str">
        <f t="array" ref="L117">IFERROR(INDEX(dim_date!G:G,MATCH(A117,dim_date!A:A,0)),"")</f>
        <v>08</v>
      </c>
      <c r="M117" s="9" t="str">
        <f t="array" ref="M117">IFERROR(INDEX(dim_date!I:I,MATCH(A117,dim_date!A:A,0)),"")</f>
        <v>Q3</v>
      </c>
      <c r="N117" s="20" t="str">
        <f t="array" ref="N117">IFERROR(INDEX(dim_date!K:K,MATCH(A117,dim_date!A:A,0)),"")</f>
        <v>33</v>
      </c>
      <c r="O117" s="9" t="str">
        <f t="array" ref="O117">IFERROR(INDEX(dim_date!F:F,MATCH(A117,dim_date!A:A,0)),"")</f>
        <v>8/9-8/15</v>
      </c>
      <c r="P117" s="9" t="str">
        <f t="array" ref="P117">IFERROR(INDEX(dim_kpi!E:E,MATCH(D117,dim_kpi!C:C,0)),"")</f>
        <v>count</v>
      </c>
      <c r="Q117" s="9" t="str">
        <f t="array" ref="Q117">IFERROR(INDEX(dim_kpi!F:F,MATCH(D117,dim_kpi!C:C,0)),"")</f>
        <v>Y</v>
      </c>
    </row>
    <row r="118" ht="12.75" customHeight="1">
      <c r="A118" s="20" t="str">
        <f>fact_kpi_weekly!A118</f>
        <v>260816</v>
      </c>
      <c r="B118" s="21">
        <f>fact_kpi_weekly!B118</f>
        <v>46250</v>
      </c>
      <c r="C118" s="9" t="str">
        <f>fact_kpi_weekly!C118</f>
        <v>Contracted Lives</v>
      </c>
      <c r="D118" s="9" t="str">
        <f>fact_kpi_weekly!D118</f>
        <v>Eligible Forecast - Total Cumulative</v>
      </c>
      <c r="E118" s="9" t="str">
        <f>fact_kpi_weekly!E118</f>
        <v>Forecast</v>
      </c>
      <c r="F118" s="9" t="str">
        <f>IF(fact_kpi_weekly!F118="","",fact_kpi_weekly!F118)</f>
        <v/>
      </c>
      <c r="G118" s="9" t="str">
        <f>fact_kpi_weekly!G118</f>
        <v>Total</v>
      </c>
      <c r="H118" s="9" t="str">
        <f>fact_kpi_weekly!H118</f>
        <v>John / Sheila</v>
      </c>
      <c r="I118" s="9">
        <f>fact_kpi_weekly!I118</f>
        <v>126827</v>
      </c>
      <c r="J118" s="22">
        <f>fact_kpi_weekly!J118</f>
        <v>126827</v>
      </c>
      <c r="K118" s="20" t="str">
        <f t="array" ref="K118">IFERROR(INDEX(dim_date!H:H,MATCH(A118,dim_date!A:A,0)),"")</f>
        <v>Aug</v>
      </c>
      <c r="L118" s="20" t="str">
        <f t="array" ref="L118">IFERROR(INDEX(dim_date!G:G,MATCH(A118,dim_date!A:A,0)),"")</f>
        <v>08</v>
      </c>
      <c r="M118" s="9" t="str">
        <f t="array" ref="M118">IFERROR(INDEX(dim_date!I:I,MATCH(A118,dim_date!A:A,0)),"")</f>
        <v>Q3</v>
      </c>
      <c r="N118" s="20" t="str">
        <f t="array" ref="N118">IFERROR(INDEX(dim_date!K:K,MATCH(A118,dim_date!A:A,0)),"")</f>
        <v>34</v>
      </c>
      <c r="O118" s="9" t="str">
        <f t="array" ref="O118">IFERROR(INDEX(dim_date!F:F,MATCH(A118,dim_date!A:A,0)),"")</f>
        <v>8/16-8/22</v>
      </c>
      <c r="P118" s="9" t="str">
        <f t="array" ref="P118">IFERROR(INDEX(dim_kpi!E:E,MATCH(D118,dim_kpi!C:C,0)),"")</f>
        <v>count</v>
      </c>
      <c r="Q118" s="9" t="str">
        <f t="array" ref="Q118">IFERROR(INDEX(dim_kpi!F:F,MATCH(D118,dim_kpi!C:C,0)),"")</f>
        <v>Y</v>
      </c>
    </row>
    <row r="119" ht="12.75" customHeight="1">
      <c r="A119" s="20" t="str">
        <f>fact_kpi_weekly!A119</f>
        <v>260823</v>
      </c>
      <c r="B119" s="21">
        <f>fact_kpi_weekly!B119</f>
        <v>46257</v>
      </c>
      <c r="C119" s="9" t="str">
        <f>fact_kpi_weekly!C119</f>
        <v>Contracted Lives</v>
      </c>
      <c r="D119" s="9" t="str">
        <f>fact_kpi_weekly!D119</f>
        <v>Eligible Forecast - Total Cumulative</v>
      </c>
      <c r="E119" s="9" t="str">
        <f>fact_kpi_weekly!E119</f>
        <v>Forecast</v>
      </c>
      <c r="F119" s="9" t="str">
        <f>IF(fact_kpi_weekly!F119="","",fact_kpi_weekly!F119)</f>
        <v/>
      </c>
      <c r="G119" s="9" t="str">
        <f>fact_kpi_weekly!G119</f>
        <v>Total</v>
      </c>
      <c r="H119" s="9" t="str">
        <f>fact_kpi_weekly!H119</f>
        <v>John / Sheila</v>
      </c>
      <c r="I119" s="9">
        <f>fact_kpi_weekly!I119</f>
        <v>128577</v>
      </c>
      <c r="J119" s="22">
        <f>fact_kpi_weekly!J119</f>
        <v>128577</v>
      </c>
      <c r="K119" s="20" t="str">
        <f t="array" ref="K119">IFERROR(INDEX(dim_date!H:H,MATCH(A119,dim_date!A:A,0)),"")</f>
        <v>Aug</v>
      </c>
      <c r="L119" s="20" t="str">
        <f t="array" ref="L119">IFERROR(INDEX(dim_date!G:G,MATCH(A119,dim_date!A:A,0)),"")</f>
        <v>08</v>
      </c>
      <c r="M119" s="9" t="str">
        <f t="array" ref="M119">IFERROR(INDEX(dim_date!I:I,MATCH(A119,dim_date!A:A,0)),"")</f>
        <v>Q3</v>
      </c>
      <c r="N119" s="20" t="str">
        <f t="array" ref="N119">IFERROR(INDEX(dim_date!K:K,MATCH(A119,dim_date!A:A,0)),"")</f>
        <v>35</v>
      </c>
      <c r="O119" s="9" t="str">
        <f t="array" ref="O119">IFERROR(INDEX(dim_date!F:F,MATCH(A119,dim_date!A:A,0)),"")</f>
        <v>8/23-8/29</v>
      </c>
      <c r="P119" s="9" t="str">
        <f t="array" ref="P119">IFERROR(INDEX(dim_kpi!E:E,MATCH(D119,dim_kpi!C:C,0)),"")</f>
        <v>count</v>
      </c>
      <c r="Q119" s="9" t="str">
        <f t="array" ref="Q119">IFERROR(INDEX(dim_kpi!F:F,MATCH(D119,dim_kpi!C:C,0)),"")</f>
        <v>Y</v>
      </c>
    </row>
    <row r="120" ht="12.75" customHeight="1">
      <c r="A120" s="20" t="str">
        <f>fact_kpi_weekly!A120</f>
        <v>260830</v>
      </c>
      <c r="B120" s="21">
        <f>fact_kpi_weekly!B120</f>
        <v>46264</v>
      </c>
      <c r="C120" s="9" t="str">
        <f>fact_kpi_weekly!C120</f>
        <v>Contracted Lives</v>
      </c>
      <c r="D120" s="9" t="str">
        <f>fact_kpi_weekly!D120</f>
        <v>Eligible Forecast - Total Cumulative</v>
      </c>
      <c r="E120" s="9" t="str">
        <f>fact_kpi_weekly!E120</f>
        <v>Forecast</v>
      </c>
      <c r="F120" s="9" t="str">
        <f>IF(fact_kpi_weekly!F120="","",fact_kpi_weekly!F120)</f>
        <v/>
      </c>
      <c r="G120" s="9" t="str">
        <f>fact_kpi_weekly!G120</f>
        <v>Total</v>
      </c>
      <c r="H120" s="9" t="str">
        <f>fact_kpi_weekly!H120</f>
        <v>John / Sheila</v>
      </c>
      <c r="I120" s="9">
        <f>fact_kpi_weekly!I120</f>
        <v>131077</v>
      </c>
      <c r="J120" s="22">
        <f>fact_kpi_weekly!J120</f>
        <v>131077</v>
      </c>
      <c r="K120" s="20" t="str">
        <f t="array" ref="K120">IFERROR(INDEX(dim_date!H:H,MATCH(A120,dim_date!A:A,0)),"")</f>
        <v>Aug</v>
      </c>
      <c r="L120" s="20" t="str">
        <f t="array" ref="L120">IFERROR(INDEX(dim_date!G:G,MATCH(A120,dim_date!A:A,0)),"")</f>
        <v>08</v>
      </c>
      <c r="M120" s="9" t="str">
        <f t="array" ref="M120">IFERROR(INDEX(dim_date!I:I,MATCH(A120,dim_date!A:A,0)),"")</f>
        <v>Q3</v>
      </c>
      <c r="N120" s="20" t="str">
        <f t="array" ref="N120">IFERROR(INDEX(dim_date!K:K,MATCH(A120,dim_date!A:A,0)),"")</f>
        <v>36</v>
      </c>
      <c r="O120" s="9" t="str">
        <f t="array" ref="O120">IFERROR(INDEX(dim_date!F:F,MATCH(A120,dim_date!A:A,0)),"")</f>
        <v>8/30-9/5</v>
      </c>
      <c r="P120" s="9" t="str">
        <f t="array" ref="P120">IFERROR(INDEX(dim_kpi!E:E,MATCH(D120,dim_kpi!C:C,0)),"")</f>
        <v>count</v>
      </c>
      <c r="Q120" s="9" t="str">
        <f t="array" ref="Q120">IFERROR(INDEX(dim_kpi!F:F,MATCH(D120,dim_kpi!C:C,0)),"")</f>
        <v>Y</v>
      </c>
    </row>
    <row r="121" ht="12.75" customHeight="1">
      <c r="A121" s="20" t="str">
        <f>fact_kpi_weekly!A121</f>
        <v>260906</v>
      </c>
      <c r="B121" s="21">
        <f>fact_kpi_weekly!B121</f>
        <v>46271</v>
      </c>
      <c r="C121" s="9" t="str">
        <f>fact_kpi_weekly!C121</f>
        <v>Contracted Lives</v>
      </c>
      <c r="D121" s="9" t="str">
        <f>fact_kpi_weekly!D121</f>
        <v>Eligible Forecast - Total Cumulative</v>
      </c>
      <c r="E121" s="9" t="str">
        <f>fact_kpi_weekly!E121</f>
        <v>Forecast</v>
      </c>
      <c r="F121" s="9" t="str">
        <f>IF(fact_kpi_weekly!F121="","",fact_kpi_weekly!F121)</f>
        <v/>
      </c>
      <c r="G121" s="9" t="str">
        <f>fact_kpi_weekly!G121</f>
        <v>Total</v>
      </c>
      <c r="H121" s="9" t="str">
        <f>fact_kpi_weekly!H121</f>
        <v>John / Sheila</v>
      </c>
      <c r="I121" s="9">
        <f>fact_kpi_weekly!I121</f>
        <v>158577</v>
      </c>
      <c r="J121" s="22">
        <f>fact_kpi_weekly!J121</f>
        <v>158577</v>
      </c>
      <c r="K121" s="20" t="str">
        <f t="array" ref="K121">IFERROR(INDEX(dim_date!H:H,MATCH(A121,dim_date!A:A,0)),"")</f>
        <v>Sep</v>
      </c>
      <c r="L121" s="20" t="str">
        <f t="array" ref="L121">IFERROR(INDEX(dim_date!G:G,MATCH(A121,dim_date!A:A,0)),"")</f>
        <v>09</v>
      </c>
      <c r="M121" s="9" t="str">
        <f t="array" ref="M121">IFERROR(INDEX(dim_date!I:I,MATCH(A121,dim_date!A:A,0)),"")</f>
        <v>Q3</v>
      </c>
      <c r="N121" s="20" t="str">
        <f t="array" ref="N121">IFERROR(INDEX(dim_date!K:K,MATCH(A121,dim_date!A:A,0)),"")</f>
        <v>37</v>
      </c>
      <c r="O121" s="9" t="str">
        <f t="array" ref="O121">IFERROR(INDEX(dim_date!F:F,MATCH(A121,dim_date!A:A,0)),"")</f>
        <v>9/6-9/12</v>
      </c>
      <c r="P121" s="9" t="str">
        <f t="array" ref="P121">IFERROR(INDEX(dim_kpi!E:E,MATCH(D121,dim_kpi!C:C,0)),"")</f>
        <v>count</v>
      </c>
      <c r="Q121" s="9" t="str">
        <f t="array" ref="Q121">IFERROR(INDEX(dim_kpi!F:F,MATCH(D121,dim_kpi!C:C,0)),"")</f>
        <v>Y</v>
      </c>
    </row>
    <row r="122" ht="12.75" customHeight="1">
      <c r="A122" s="20" t="str">
        <f>fact_kpi_weekly!A122</f>
        <v>260913</v>
      </c>
      <c r="B122" s="21">
        <f>fact_kpi_weekly!B122</f>
        <v>46278</v>
      </c>
      <c r="C122" s="9" t="str">
        <f>fact_kpi_weekly!C122</f>
        <v>Contracted Lives</v>
      </c>
      <c r="D122" s="9" t="str">
        <f>fact_kpi_weekly!D122</f>
        <v>Eligible Forecast - Total Cumulative</v>
      </c>
      <c r="E122" s="9" t="str">
        <f>fact_kpi_weekly!E122</f>
        <v>Forecast</v>
      </c>
      <c r="F122" s="9" t="str">
        <f>IF(fact_kpi_weekly!F122="","",fact_kpi_weekly!F122)</f>
        <v/>
      </c>
      <c r="G122" s="9" t="str">
        <f>fact_kpi_weekly!G122</f>
        <v>Total</v>
      </c>
      <c r="H122" s="9" t="str">
        <f>fact_kpi_weekly!H122</f>
        <v>John / Sheila</v>
      </c>
      <c r="I122" s="9">
        <f>fact_kpi_weekly!I122</f>
        <v>161077</v>
      </c>
      <c r="J122" s="22">
        <f>fact_kpi_weekly!J122</f>
        <v>161077</v>
      </c>
      <c r="K122" s="20" t="str">
        <f t="array" ref="K122">IFERROR(INDEX(dim_date!H:H,MATCH(A122,dim_date!A:A,0)),"")</f>
        <v>Sep</v>
      </c>
      <c r="L122" s="20" t="str">
        <f t="array" ref="L122">IFERROR(INDEX(dim_date!G:G,MATCH(A122,dim_date!A:A,0)),"")</f>
        <v>09</v>
      </c>
      <c r="M122" s="9" t="str">
        <f t="array" ref="M122">IFERROR(INDEX(dim_date!I:I,MATCH(A122,dim_date!A:A,0)),"")</f>
        <v>Q3</v>
      </c>
      <c r="N122" s="20" t="str">
        <f t="array" ref="N122">IFERROR(INDEX(dim_date!K:K,MATCH(A122,dim_date!A:A,0)),"")</f>
        <v>38</v>
      </c>
      <c r="O122" s="9" t="str">
        <f t="array" ref="O122">IFERROR(INDEX(dim_date!F:F,MATCH(A122,dim_date!A:A,0)),"")</f>
        <v>9/13-9/19</v>
      </c>
      <c r="P122" s="9" t="str">
        <f t="array" ref="P122">IFERROR(INDEX(dim_kpi!E:E,MATCH(D122,dim_kpi!C:C,0)),"")</f>
        <v>count</v>
      </c>
      <c r="Q122" s="9" t="str">
        <f t="array" ref="Q122">IFERROR(INDEX(dim_kpi!F:F,MATCH(D122,dim_kpi!C:C,0)),"")</f>
        <v>Y</v>
      </c>
    </row>
    <row r="123" ht="12.75" customHeight="1">
      <c r="A123" s="20" t="str">
        <f>fact_kpi_weekly!A123</f>
        <v>260920</v>
      </c>
      <c r="B123" s="21">
        <f>fact_kpi_weekly!B123</f>
        <v>46285</v>
      </c>
      <c r="C123" s="9" t="str">
        <f>fact_kpi_weekly!C123</f>
        <v>Contracted Lives</v>
      </c>
      <c r="D123" s="9" t="str">
        <f>fact_kpi_weekly!D123</f>
        <v>Eligible Forecast - Total Cumulative</v>
      </c>
      <c r="E123" s="9" t="str">
        <f>fact_kpi_weekly!E123</f>
        <v>Forecast</v>
      </c>
      <c r="F123" s="9" t="str">
        <f>IF(fact_kpi_weekly!F123="","",fact_kpi_weekly!F123)</f>
        <v/>
      </c>
      <c r="G123" s="9" t="str">
        <f>fact_kpi_weekly!G123</f>
        <v>Total</v>
      </c>
      <c r="H123" s="9" t="str">
        <f>fact_kpi_weekly!H123</f>
        <v>John / Sheila</v>
      </c>
      <c r="I123" s="9">
        <f>fact_kpi_weekly!I123</f>
        <v>168577</v>
      </c>
      <c r="J123" s="22">
        <f>fact_kpi_weekly!J123</f>
        <v>168577</v>
      </c>
      <c r="K123" s="20" t="str">
        <f t="array" ref="K123">IFERROR(INDEX(dim_date!H:H,MATCH(A123,dim_date!A:A,0)),"")</f>
        <v>Sep</v>
      </c>
      <c r="L123" s="20" t="str">
        <f t="array" ref="L123">IFERROR(INDEX(dim_date!G:G,MATCH(A123,dim_date!A:A,0)),"")</f>
        <v>09</v>
      </c>
      <c r="M123" s="9" t="str">
        <f t="array" ref="M123">IFERROR(INDEX(dim_date!I:I,MATCH(A123,dim_date!A:A,0)),"")</f>
        <v>Q3</v>
      </c>
      <c r="N123" s="20" t="str">
        <f t="array" ref="N123">IFERROR(INDEX(dim_date!K:K,MATCH(A123,dim_date!A:A,0)),"")</f>
        <v>39</v>
      </c>
      <c r="O123" s="9" t="str">
        <f t="array" ref="O123">IFERROR(INDEX(dim_date!F:F,MATCH(A123,dim_date!A:A,0)),"")</f>
        <v>9/20-9/26</v>
      </c>
      <c r="P123" s="9" t="str">
        <f t="array" ref="P123">IFERROR(INDEX(dim_kpi!E:E,MATCH(D123,dim_kpi!C:C,0)),"")</f>
        <v>count</v>
      </c>
      <c r="Q123" s="9" t="str">
        <f t="array" ref="Q123">IFERROR(INDEX(dim_kpi!F:F,MATCH(D123,dim_kpi!C:C,0)),"")</f>
        <v>Y</v>
      </c>
    </row>
    <row r="124" ht="12.75" customHeight="1">
      <c r="A124" s="20" t="str">
        <f>fact_kpi_weekly!A124</f>
        <v>260927</v>
      </c>
      <c r="B124" s="21">
        <f>fact_kpi_weekly!B124</f>
        <v>46292</v>
      </c>
      <c r="C124" s="9" t="str">
        <f>fact_kpi_weekly!C124</f>
        <v>Contracted Lives</v>
      </c>
      <c r="D124" s="9" t="str">
        <f>fact_kpi_weekly!D124</f>
        <v>Eligible Forecast - Total Cumulative</v>
      </c>
      <c r="E124" s="9" t="str">
        <f>fact_kpi_weekly!E124</f>
        <v>Forecast</v>
      </c>
      <c r="F124" s="9" t="str">
        <f>IF(fact_kpi_weekly!F124="","",fact_kpi_weekly!F124)</f>
        <v/>
      </c>
      <c r="G124" s="9" t="str">
        <f>fact_kpi_weekly!G124</f>
        <v>Total</v>
      </c>
      <c r="H124" s="9" t="str">
        <f>fact_kpi_weekly!H124</f>
        <v>John / Sheila</v>
      </c>
      <c r="I124" s="9">
        <f>fact_kpi_weekly!I124</f>
        <v>171077</v>
      </c>
      <c r="J124" s="22">
        <f>fact_kpi_weekly!J124</f>
        <v>171077</v>
      </c>
      <c r="K124" s="20" t="str">
        <f t="array" ref="K124">IFERROR(INDEX(dim_date!H:H,MATCH(A124,dim_date!A:A,0)),"")</f>
        <v>Sep</v>
      </c>
      <c r="L124" s="20" t="str">
        <f t="array" ref="L124">IFERROR(INDEX(dim_date!G:G,MATCH(A124,dim_date!A:A,0)),"")</f>
        <v>09</v>
      </c>
      <c r="M124" s="9" t="str">
        <f t="array" ref="M124">IFERROR(INDEX(dim_date!I:I,MATCH(A124,dim_date!A:A,0)),"")</f>
        <v>Q3</v>
      </c>
      <c r="N124" s="20" t="str">
        <f t="array" ref="N124">IFERROR(INDEX(dim_date!K:K,MATCH(A124,dim_date!A:A,0)),"")</f>
        <v>40</v>
      </c>
      <c r="O124" s="9" t="str">
        <f t="array" ref="O124">IFERROR(INDEX(dim_date!F:F,MATCH(A124,dim_date!A:A,0)),"")</f>
        <v>9/27-10/3</v>
      </c>
      <c r="P124" s="9" t="str">
        <f t="array" ref="P124">IFERROR(INDEX(dim_kpi!E:E,MATCH(D124,dim_kpi!C:C,0)),"")</f>
        <v>count</v>
      </c>
      <c r="Q124" s="9" t="str">
        <f t="array" ref="Q124">IFERROR(INDEX(dim_kpi!F:F,MATCH(D124,dim_kpi!C:C,0)),"")</f>
        <v>Y</v>
      </c>
    </row>
    <row r="125" ht="12.75" customHeight="1">
      <c r="A125" s="20" t="str">
        <f>fact_kpi_weekly!A125</f>
        <v>261004</v>
      </c>
      <c r="B125" s="21">
        <f>fact_kpi_weekly!B125</f>
        <v>46299</v>
      </c>
      <c r="C125" s="9" t="str">
        <f>fact_kpi_weekly!C125</f>
        <v>Contracted Lives</v>
      </c>
      <c r="D125" s="9" t="str">
        <f>fact_kpi_weekly!D125</f>
        <v>Eligible Forecast - Total Cumulative</v>
      </c>
      <c r="E125" s="9" t="str">
        <f>fact_kpi_weekly!E125</f>
        <v>Forecast</v>
      </c>
      <c r="F125" s="9" t="str">
        <f>IF(fact_kpi_weekly!F125="","",fact_kpi_weekly!F125)</f>
        <v/>
      </c>
      <c r="G125" s="9" t="str">
        <f>fact_kpi_weekly!G125</f>
        <v>Total</v>
      </c>
      <c r="H125" s="9" t="str">
        <f>fact_kpi_weekly!H125</f>
        <v>John / Sheila</v>
      </c>
      <c r="I125" s="9">
        <f>fact_kpi_weekly!I125</f>
        <v>173577</v>
      </c>
      <c r="J125" s="22">
        <f>fact_kpi_weekly!J125</f>
        <v>173577</v>
      </c>
      <c r="K125" s="20" t="str">
        <f t="array" ref="K125">IFERROR(INDEX(dim_date!H:H,MATCH(A125,dim_date!A:A,0)),"")</f>
        <v>Oct</v>
      </c>
      <c r="L125" s="20" t="str">
        <f t="array" ref="L125">IFERROR(INDEX(dim_date!G:G,MATCH(A125,dim_date!A:A,0)),"")</f>
        <v>10</v>
      </c>
      <c r="M125" s="9" t="str">
        <f t="array" ref="M125">IFERROR(INDEX(dim_date!I:I,MATCH(A125,dim_date!A:A,0)),"")</f>
        <v>Q4</v>
      </c>
      <c r="N125" s="20" t="str">
        <f t="array" ref="N125">IFERROR(INDEX(dim_date!K:K,MATCH(A125,dim_date!A:A,0)),"")</f>
        <v>41</v>
      </c>
      <c r="O125" s="9" t="str">
        <f t="array" ref="O125">IFERROR(INDEX(dim_date!F:F,MATCH(A125,dim_date!A:A,0)),"")</f>
        <v>10/4-10/10</v>
      </c>
      <c r="P125" s="9" t="str">
        <f t="array" ref="P125">IFERROR(INDEX(dim_kpi!E:E,MATCH(D125,dim_kpi!C:C,0)),"")</f>
        <v>count</v>
      </c>
      <c r="Q125" s="9" t="str">
        <f t="array" ref="Q125">IFERROR(INDEX(dim_kpi!F:F,MATCH(D125,dim_kpi!C:C,0)),"")</f>
        <v>Y</v>
      </c>
    </row>
    <row r="126" ht="12.75" customHeight="1">
      <c r="A126" s="20" t="str">
        <f>fact_kpi_weekly!A126</f>
        <v>261011</v>
      </c>
      <c r="B126" s="21">
        <f>fact_kpi_weekly!B126</f>
        <v>46306</v>
      </c>
      <c r="C126" s="9" t="str">
        <f>fact_kpi_weekly!C126</f>
        <v>Contracted Lives</v>
      </c>
      <c r="D126" s="9" t="str">
        <f>fact_kpi_weekly!D126</f>
        <v>Eligible Forecast - Total Cumulative</v>
      </c>
      <c r="E126" s="9" t="str">
        <f>fact_kpi_weekly!E126</f>
        <v>Forecast</v>
      </c>
      <c r="F126" s="9" t="str">
        <f>IF(fact_kpi_weekly!F126="","",fact_kpi_weekly!F126)</f>
        <v/>
      </c>
      <c r="G126" s="9" t="str">
        <f>fact_kpi_weekly!G126</f>
        <v>Total</v>
      </c>
      <c r="H126" s="9" t="str">
        <f>fact_kpi_weekly!H126</f>
        <v>John / Sheila</v>
      </c>
      <c r="I126" s="9">
        <f>fact_kpi_weekly!I126</f>
        <v>196077</v>
      </c>
      <c r="J126" s="22">
        <f>fact_kpi_weekly!J126</f>
        <v>196077</v>
      </c>
      <c r="K126" s="20" t="str">
        <f t="array" ref="K126">IFERROR(INDEX(dim_date!H:H,MATCH(A126,dim_date!A:A,0)),"")</f>
        <v>Oct</v>
      </c>
      <c r="L126" s="20" t="str">
        <f t="array" ref="L126">IFERROR(INDEX(dim_date!G:G,MATCH(A126,dim_date!A:A,0)),"")</f>
        <v>10</v>
      </c>
      <c r="M126" s="9" t="str">
        <f t="array" ref="M126">IFERROR(INDEX(dim_date!I:I,MATCH(A126,dim_date!A:A,0)),"")</f>
        <v>Q4</v>
      </c>
      <c r="N126" s="20" t="str">
        <f t="array" ref="N126">IFERROR(INDEX(dim_date!K:K,MATCH(A126,dim_date!A:A,0)),"")</f>
        <v>42</v>
      </c>
      <c r="O126" s="9" t="str">
        <f t="array" ref="O126">IFERROR(INDEX(dim_date!F:F,MATCH(A126,dim_date!A:A,0)),"")</f>
        <v>10/11-10/17</v>
      </c>
      <c r="P126" s="9" t="str">
        <f t="array" ref="P126">IFERROR(INDEX(dim_kpi!E:E,MATCH(D126,dim_kpi!C:C,0)),"")</f>
        <v>count</v>
      </c>
      <c r="Q126" s="9" t="str">
        <f t="array" ref="Q126">IFERROR(INDEX(dim_kpi!F:F,MATCH(D126,dim_kpi!C:C,0)),"")</f>
        <v>Y</v>
      </c>
    </row>
    <row r="127" ht="12.75" customHeight="1">
      <c r="A127" s="20" t="str">
        <f>fact_kpi_weekly!A127</f>
        <v>261018</v>
      </c>
      <c r="B127" s="21">
        <f>fact_kpi_weekly!B127</f>
        <v>46313</v>
      </c>
      <c r="C127" s="9" t="str">
        <f>fact_kpi_weekly!C127</f>
        <v>Contracted Lives</v>
      </c>
      <c r="D127" s="9" t="str">
        <f>fact_kpi_weekly!D127</f>
        <v>Eligible Forecast - Total Cumulative</v>
      </c>
      <c r="E127" s="9" t="str">
        <f>fact_kpi_weekly!E127</f>
        <v>Forecast</v>
      </c>
      <c r="F127" s="9" t="str">
        <f>IF(fact_kpi_weekly!F127="","",fact_kpi_weekly!F127)</f>
        <v/>
      </c>
      <c r="G127" s="9" t="str">
        <f>fact_kpi_weekly!G127</f>
        <v>Total</v>
      </c>
      <c r="H127" s="9" t="str">
        <f>fact_kpi_weekly!H127</f>
        <v>John / Sheila</v>
      </c>
      <c r="I127" s="9">
        <f>fact_kpi_weekly!I127</f>
        <v>203577</v>
      </c>
      <c r="J127" s="22">
        <f>fact_kpi_weekly!J127</f>
        <v>203577</v>
      </c>
      <c r="K127" s="20" t="str">
        <f t="array" ref="K127">IFERROR(INDEX(dim_date!H:H,MATCH(A127,dim_date!A:A,0)),"")</f>
        <v>Oct</v>
      </c>
      <c r="L127" s="20" t="str">
        <f t="array" ref="L127">IFERROR(INDEX(dim_date!G:G,MATCH(A127,dim_date!A:A,0)),"")</f>
        <v>10</v>
      </c>
      <c r="M127" s="9" t="str">
        <f t="array" ref="M127">IFERROR(INDEX(dim_date!I:I,MATCH(A127,dim_date!A:A,0)),"")</f>
        <v>Q4</v>
      </c>
      <c r="N127" s="20" t="str">
        <f t="array" ref="N127">IFERROR(INDEX(dim_date!K:K,MATCH(A127,dim_date!A:A,0)),"")</f>
        <v>43</v>
      </c>
      <c r="O127" s="9" t="str">
        <f t="array" ref="O127">IFERROR(INDEX(dim_date!F:F,MATCH(A127,dim_date!A:A,0)),"")</f>
        <v>10/18-10/24</v>
      </c>
      <c r="P127" s="9" t="str">
        <f t="array" ref="P127">IFERROR(INDEX(dim_kpi!E:E,MATCH(D127,dim_kpi!C:C,0)),"")</f>
        <v>count</v>
      </c>
      <c r="Q127" s="9" t="str">
        <f t="array" ref="Q127">IFERROR(INDEX(dim_kpi!F:F,MATCH(D127,dim_kpi!C:C,0)),"")</f>
        <v>Y</v>
      </c>
    </row>
    <row r="128" ht="12.75" customHeight="1">
      <c r="A128" s="20" t="str">
        <f>fact_kpi_weekly!A128</f>
        <v>261025</v>
      </c>
      <c r="B128" s="21">
        <f>fact_kpi_weekly!B128</f>
        <v>46320</v>
      </c>
      <c r="C128" s="9" t="str">
        <f>fact_kpi_weekly!C128</f>
        <v>Contracted Lives</v>
      </c>
      <c r="D128" s="9" t="str">
        <f>fact_kpi_weekly!D128</f>
        <v>Eligible Forecast - Total Cumulative</v>
      </c>
      <c r="E128" s="9" t="str">
        <f>fact_kpi_weekly!E128</f>
        <v>Forecast</v>
      </c>
      <c r="F128" s="9" t="str">
        <f>IF(fact_kpi_weekly!F128="","",fact_kpi_weekly!F128)</f>
        <v/>
      </c>
      <c r="G128" s="9" t="str">
        <f>fact_kpi_weekly!G128</f>
        <v>Total</v>
      </c>
      <c r="H128" s="9" t="str">
        <f>fact_kpi_weekly!H128</f>
        <v>John / Sheila</v>
      </c>
      <c r="I128" s="9">
        <f>fact_kpi_weekly!I128</f>
        <v>206077</v>
      </c>
      <c r="J128" s="22">
        <f>fact_kpi_weekly!J128</f>
        <v>206077</v>
      </c>
      <c r="K128" s="20" t="str">
        <f t="array" ref="K128">IFERROR(INDEX(dim_date!H:H,MATCH(A128,dim_date!A:A,0)),"")</f>
        <v>Oct</v>
      </c>
      <c r="L128" s="20" t="str">
        <f t="array" ref="L128">IFERROR(INDEX(dim_date!G:G,MATCH(A128,dim_date!A:A,0)),"")</f>
        <v>10</v>
      </c>
      <c r="M128" s="9" t="str">
        <f t="array" ref="M128">IFERROR(INDEX(dim_date!I:I,MATCH(A128,dim_date!A:A,0)),"")</f>
        <v>Q4</v>
      </c>
      <c r="N128" s="20" t="str">
        <f t="array" ref="N128">IFERROR(INDEX(dim_date!K:K,MATCH(A128,dim_date!A:A,0)),"")</f>
        <v>44</v>
      </c>
      <c r="O128" s="9" t="str">
        <f t="array" ref="O128">IFERROR(INDEX(dim_date!F:F,MATCH(A128,dim_date!A:A,0)),"")</f>
        <v>10/25-10/31</v>
      </c>
      <c r="P128" s="9" t="str">
        <f t="array" ref="P128">IFERROR(INDEX(dim_kpi!E:E,MATCH(D128,dim_kpi!C:C,0)),"")</f>
        <v>count</v>
      </c>
      <c r="Q128" s="9" t="str">
        <f t="array" ref="Q128">IFERROR(INDEX(dim_kpi!F:F,MATCH(D128,dim_kpi!C:C,0)),"")</f>
        <v>Y</v>
      </c>
    </row>
    <row r="129" ht="12.75" customHeight="1">
      <c r="A129" s="20" t="str">
        <f>fact_kpi_weekly!A129</f>
        <v>261101</v>
      </c>
      <c r="B129" s="21">
        <f>fact_kpi_weekly!B129</f>
        <v>46327</v>
      </c>
      <c r="C129" s="9" t="str">
        <f>fact_kpi_weekly!C129</f>
        <v>Contracted Lives</v>
      </c>
      <c r="D129" s="9" t="str">
        <f>fact_kpi_weekly!D129</f>
        <v>Eligible Forecast - Total Cumulative</v>
      </c>
      <c r="E129" s="9" t="str">
        <f>fact_kpi_weekly!E129</f>
        <v>Forecast</v>
      </c>
      <c r="F129" s="9" t="str">
        <f>IF(fact_kpi_weekly!F129="","",fact_kpi_weekly!F129)</f>
        <v/>
      </c>
      <c r="G129" s="9" t="str">
        <f>fact_kpi_weekly!G129</f>
        <v>Total</v>
      </c>
      <c r="H129" s="9" t="str">
        <f>fact_kpi_weekly!H129</f>
        <v>John / Sheila</v>
      </c>
      <c r="I129" s="9">
        <f>fact_kpi_weekly!I129</f>
        <v>208577</v>
      </c>
      <c r="J129" s="22">
        <f>fact_kpi_weekly!J129</f>
        <v>208577</v>
      </c>
      <c r="K129" s="20" t="str">
        <f t="array" ref="K129">IFERROR(INDEX(dim_date!H:H,MATCH(A129,dim_date!A:A,0)),"")</f>
        <v>Nov</v>
      </c>
      <c r="L129" s="20" t="str">
        <f t="array" ref="L129">IFERROR(INDEX(dim_date!G:G,MATCH(A129,dim_date!A:A,0)),"")</f>
        <v>11</v>
      </c>
      <c r="M129" s="9" t="str">
        <f t="array" ref="M129">IFERROR(INDEX(dim_date!I:I,MATCH(A129,dim_date!A:A,0)),"")</f>
        <v>Q4</v>
      </c>
      <c r="N129" s="20" t="str">
        <f t="array" ref="N129">IFERROR(INDEX(dim_date!K:K,MATCH(A129,dim_date!A:A,0)),"")</f>
        <v>45</v>
      </c>
      <c r="O129" s="9" t="str">
        <f t="array" ref="O129">IFERROR(INDEX(dim_date!F:F,MATCH(A129,dim_date!A:A,0)),"")</f>
        <v>11/1-11/7</v>
      </c>
      <c r="P129" s="9" t="str">
        <f t="array" ref="P129">IFERROR(INDEX(dim_kpi!E:E,MATCH(D129,dim_kpi!C:C,0)),"")</f>
        <v>count</v>
      </c>
      <c r="Q129" s="9" t="str">
        <f t="array" ref="Q129">IFERROR(INDEX(dim_kpi!F:F,MATCH(D129,dim_kpi!C:C,0)),"")</f>
        <v>Y</v>
      </c>
    </row>
    <row r="130" ht="12.75" customHeight="1">
      <c r="A130" s="20" t="str">
        <f>fact_kpi_weekly!A130</f>
        <v>261108</v>
      </c>
      <c r="B130" s="21">
        <f>fact_kpi_weekly!B130</f>
        <v>46334</v>
      </c>
      <c r="C130" s="9" t="str">
        <f>fact_kpi_weekly!C130</f>
        <v>Contracted Lives</v>
      </c>
      <c r="D130" s="9" t="str">
        <f>fact_kpi_weekly!D130</f>
        <v>Eligible Forecast - Total Cumulative</v>
      </c>
      <c r="E130" s="9" t="str">
        <f>fact_kpi_weekly!E130</f>
        <v>Forecast</v>
      </c>
      <c r="F130" s="9" t="str">
        <f>IF(fact_kpi_weekly!F130="","",fact_kpi_weekly!F130)</f>
        <v/>
      </c>
      <c r="G130" s="9" t="str">
        <f>fact_kpi_weekly!G130</f>
        <v>Total</v>
      </c>
      <c r="H130" s="9" t="str">
        <f>fact_kpi_weekly!H130</f>
        <v>John / Sheila</v>
      </c>
      <c r="I130" s="9">
        <f>fact_kpi_weekly!I130</f>
        <v>216077</v>
      </c>
      <c r="J130" s="22">
        <f>fact_kpi_weekly!J130</f>
        <v>216077</v>
      </c>
      <c r="K130" s="20" t="str">
        <f t="array" ref="K130">IFERROR(INDEX(dim_date!H:H,MATCH(A130,dim_date!A:A,0)),"")</f>
        <v>Nov</v>
      </c>
      <c r="L130" s="20" t="str">
        <f t="array" ref="L130">IFERROR(INDEX(dim_date!G:G,MATCH(A130,dim_date!A:A,0)),"")</f>
        <v>11</v>
      </c>
      <c r="M130" s="9" t="str">
        <f t="array" ref="M130">IFERROR(INDEX(dim_date!I:I,MATCH(A130,dim_date!A:A,0)),"")</f>
        <v>Q4</v>
      </c>
      <c r="N130" s="20" t="str">
        <f t="array" ref="N130">IFERROR(INDEX(dim_date!K:K,MATCH(A130,dim_date!A:A,0)),"")</f>
        <v>46</v>
      </c>
      <c r="O130" s="9" t="str">
        <f t="array" ref="O130">IFERROR(INDEX(dim_date!F:F,MATCH(A130,dim_date!A:A,0)),"")</f>
        <v>11/8-11/14</v>
      </c>
      <c r="P130" s="9" t="str">
        <f t="array" ref="P130">IFERROR(INDEX(dim_kpi!E:E,MATCH(D130,dim_kpi!C:C,0)),"")</f>
        <v>count</v>
      </c>
      <c r="Q130" s="9" t="str">
        <f t="array" ref="Q130">IFERROR(INDEX(dim_kpi!F:F,MATCH(D130,dim_kpi!C:C,0)),"")</f>
        <v>Y</v>
      </c>
    </row>
    <row r="131" ht="12.75" customHeight="1">
      <c r="A131" s="20" t="str">
        <f>fact_kpi_weekly!A131</f>
        <v>261115</v>
      </c>
      <c r="B131" s="21">
        <f>fact_kpi_weekly!B131</f>
        <v>46341</v>
      </c>
      <c r="C131" s="9" t="str">
        <f>fact_kpi_weekly!C131</f>
        <v>Contracted Lives</v>
      </c>
      <c r="D131" s="9" t="str">
        <f>fact_kpi_weekly!D131</f>
        <v>Eligible Forecast - Total Cumulative</v>
      </c>
      <c r="E131" s="9" t="str">
        <f>fact_kpi_weekly!E131</f>
        <v>Forecast</v>
      </c>
      <c r="F131" s="9" t="str">
        <f>IF(fact_kpi_weekly!F131="","",fact_kpi_weekly!F131)</f>
        <v/>
      </c>
      <c r="G131" s="9" t="str">
        <f>fact_kpi_weekly!G131</f>
        <v>Total</v>
      </c>
      <c r="H131" s="9" t="str">
        <f>fact_kpi_weekly!H131</f>
        <v>John / Sheila</v>
      </c>
      <c r="I131" s="9">
        <f>fact_kpi_weekly!I131</f>
        <v>233577</v>
      </c>
      <c r="J131" s="22">
        <f>fact_kpi_weekly!J131</f>
        <v>233577</v>
      </c>
      <c r="K131" s="20" t="str">
        <f t="array" ref="K131">IFERROR(INDEX(dim_date!H:H,MATCH(A131,dim_date!A:A,0)),"")</f>
        <v>Nov</v>
      </c>
      <c r="L131" s="20" t="str">
        <f t="array" ref="L131">IFERROR(INDEX(dim_date!G:G,MATCH(A131,dim_date!A:A,0)),"")</f>
        <v>11</v>
      </c>
      <c r="M131" s="9" t="str">
        <f t="array" ref="M131">IFERROR(INDEX(dim_date!I:I,MATCH(A131,dim_date!A:A,0)),"")</f>
        <v>Q4</v>
      </c>
      <c r="N131" s="20" t="str">
        <f t="array" ref="N131">IFERROR(INDEX(dim_date!K:K,MATCH(A131,dim_date!A:A,0)),"")</f>
        <v>47</v>
      </c>
      <c r="O131" s="9" t="str">
        <f t="array" ref="O131">IFERROR(INDEX(dim_date!F:F,MATCH(A131,dim_date!A:A,0)),"")</f>
        <v>11/15-11/21</v>
      </c>
      <c r="P131" s="9" t="str">
        <f t="array" ref="P131">IFERROR(INDEX(dim_kpi!E:E,MATCH(D131,dim_kpi!C:C,0)),"")</f>
        <v>count</v>
      </c>
      <c r="Q131" s="9" t="str">
        <f t="array" ref="Q131">IFERROR(INDEX(dim_kpi!F:F,MATCH(D131,dim_kpi!C:C,0)),"")</f>
        <v>Y</v>
      </c>
    </row>
    <row r="132" ht="12.75" customHeight="1">
      <c r="A132" s="20" t="str">
        <f>fact_kpi_weekly!A132</f>
        <v>261122</v>
      </c>
      <c r="B132" s="21">
        <f>fact_kpi_weekly!B132</f>
        <v>46348</v>
      </c>
      <c r="C132" s="9" t="str">
        <f>fact_kpi_weekly!C132</f>
        <v>Contracted Lives</v>
      </c>
      <c r="D132" s="9" t="str">
        <f>fact_kpi_weekly!D132</f>
        <v>Eligible Forecast - Total Cumulative</v>
      </c>
      <c r="E132" s="9" t="str">
        <f>fact_kpi_weekly!E132</f>
        <v>Forecast</v>
      </c>
      <c r="F132" s="9" t="str">
        <f>IF(fact_kpi_weekly!F132="","",fact_kpi_weekly!F132)</f>
        <v/>
      </c>
      <c r="G132" s="9" t="str">
        <f>fact_kpi_weekly!G132</f>
        <v>Total</v>
      </c>
      <c r="H132" s="9" t="str">
        <f>fact_kpi_weekly!H132</f>
        <v>John / Sheila</v>
      </c>
      <c r="I132" s="9">
        <f>fact_kpi_weekly!I132</f>
        <v>233577</v>
      </c>
      <c r="J132" s="22">
        <f>fact_kpi_weekly!J132</f>
        <v>233577</v>
      </c>
      <c r="K132" s="20" t="str">
        <f t="array" ref="K132">IFERROR(INDEX(dim_date!H:H,MATCH(A132,dim_date!A:A,0)),"")</f>
        <v>Nov</v>
      </c>
      <c r="L132" s="20" t="str">
        <f t="array" ref="L132">IFERROR(INDEX(dim_date!G:G,MATCH(A132,dim_date!A:A,0)),"")</f>
        <v>11</v>
      </c>
      <c r="M132" s="9" t="str">
        <f t="array" ref="M132">IFERROR(INDEX(dim_date!I:I,MATCH(A132,dim_date!A:A,0)),"")</f>
        <v>Q4</v>
      </c>
      <c r="N132" s="20" t="str">
        <f t="array" ref="N132">IFERROR(INDEX(dim_date!K:K,MATCH(A132,dim_date!A:A,0)),"")</f>
        <v>48</v>
      </c>
      <c r="O132" s="9" t="str">
        <f t="array" ref="O132">IFERROR(INDEX(dim_date!F:F,MATCH(A132,dim_date!A:A,0)),"")</f>
        <v>11/22-11/28</v>
      </c>
      <c r="P132" s="9" t="str">
        <f t="array" ref="P132">IFERROR(INDEX(dim_kpi!E:E,MATCH(D132,dim_kpi!C:C,0)),"")</f>
        <v>count</v>
      </c>
      <c r="Q132" s="9" t="str">
        <f t="array" ref="Q132">IFERROR(INDEX(dim_kpi!F:F,MATCH(D132,dim_kpi!C:C,0)),"")</f>
        <v>Y</v>
      </c>
    </row>
    <row r="133" ht="12.75" customHeight="1">
      <c r="A133" s="20" t="str">
        <f>fact_kpi_weekly!A133</f>
        <v>261129</v>
      </c>
      <c r="B133" s="21">
        <f>fact_kpi_weekly!B133</f>
        <v>46355</v>
      </c>
      <c r="C133" s="9" t="str">
        <f>fact_kpi_weekly!C133</f>
        <v>Contracted Lives</v>
      </c>
      <c r="D133" s="9" t="str">
        <f>fact_kpi_weekly!D133</f>
        <v>Eligible Forecast - Total Cumulative</v>
      </c>
      <c r="E133" s="9" t="str">
        <f>fact_kpi_weekly!E133</f>
        <v>Forecast</v>
      </c>
      <c r="F133" s="9" t="str">
        <f>IF(fact_kpi_weekly!F133="","",fact_kpi_weekly!F133)</f>
        <v/>
      </c>
      <c r="G133" s="9" t="str">
        <f>fact_kpi_weekly!G133</f>
        <v>Total</v>
      </c>
      <c r="H133" s="9" t="str">
        <f>fact_kpi_weekly!H133</f>
        <v>John / Sheila</v>
      </c>
      <c r="I133" s="9">
        <f>fact_kpi_weekly!I133</f>
        <v>233577</v>
      </c>
      <c r="J133" s="22">
        <f>fact_kpi_weekly!J133</f>
        <v>233577</v>
      </c>
      <c r="K133" s="20" t="str">
        <f t="array" ref="K133">IFERROR(INDEX(dim_date!H:H,MATCH(A133,dim_date!A:A,0)),"")</f>
        <v>Nov</v>
      </c>
      <c r="L133" s="20" t="str">
        <f t="array" ref="L133">IFERROR(INDEX(dim_date!G:G,MATCH(A133,dim_date!A:A,0)),"")</f>
        <v>11</v>
      </c>
      <c r="M133" s="9" t="str">
        <f t="array" ref="M133">IFERROR(INDEX(dim_date!I:I,MATCH(A133,dim_date!A:A,0)),"")</f>
        <v>Q4</v>
      </c>
      <c r="N133" s="20" t="str">
        <f t="array" ref="N133">IFERROR(INDEX(dim_date!K:K,MATCH(A133,dim_date!A:A,0)),"")</f>
        <v>49</v>
      </c>
      <c r="O133" s="9" t="str">
        <f t="array" ref="O133">IFERROR(INDEX(dim_date!F:F,MATCH(A133,dim_date!A:A,0)),"")</f>
        <v>11/29-12/5</v>
      </c>
      <c r="P133" s="9" t="str">
        <f t="array" ref="P133">IFERROR(INDEX(dim_kpi!E:E,MATCH(D133,dim_kpi!C:C,0)),"")</f>
        <v>count</v>
      </c>
      <c r="Q133" s="9" t="str">
        <f t="array" ref="Q133">IFERROR(INDEX(dim_kpi!F:F,MATCH(D133,dim_kpi!C:C,0)),"")</f>
        <v>Y</v>
      </c>
    </row>
    <row r="134" ht="12.75" customHeight="1">
      <c r="A134" s="20" t="str">
        <f>fact_kpi_weekly!A134</f>
        <v>261206</v>
      </c>
      <c r="B134" s="21">
        <f>fact_kpi_weekly!B134</f>
        <v>46362</v>
      </c>
      <c r="C134" s="9" t="str">
        <f>fact_kpi_weekly!C134</f>
        <v>Contracted Lives</v>
      </c>
      <c r="D134" s="9" t="str">
        <f>fact_kpi_weekly!D134</f>
        <v>Eligible Forecast - Total Cumulative</v>
      </c>
      <c r="E134" s="9" t="str">
        <f>fact_kpi_weekly!E134</f>
        <v>Forecast</v>
      </c>
      <c r="F134" s="9" t="str">
        <f>IF(fact_kpi_weekly!F134="","",fact_kpi_weekly!F134)</f>
        <v/>
      </c>
      <c r="G134" s="9" t="str">
        <f>fact_kpi_weekly!G134</f>
        <v>Total</v>
      </c>
      <c r="H134" s="9" t="str">
        <f>fact_kpi_weekly!H134</f>
        <v>John / Sheila</v>
      </c>
      <c r="I134" s="9">
        <f>fact_kpi_weekly!I134</f>
        <v>233577</v>
      </c>
      <c r="J134" s="22">
        <f>fact_kpi_weekly!J134</f>
        <v>233577</v>
      </c>
      <c r="K134" s="20" t="str">
        <f t="array" ref="K134">IFERROR(INDEX(dim_date!H:H,MATCH(A134,dim_date!A:A,0)),"")</f>
        <v>Dec</v>
      </c>
      <c r="L134" s="20" t="str">
        <f t="array" ref="L134">IFERROR(INDEX(dim_date!G:G,MATCH(A134,dim_date!A:A,0)),"")</f>
        <v>12</v>
      </c>
      <c r="M134" s="9" t="str">
        <f t="array" ref="M134">IFERROR(INDEX(dim_date!I:I,MATCH(A134,dim_date!A:A,0)),"")</f>
        <v>Q4</v>
      </c>
      <c r="N134" s="20" t="str">
        <f t="array" ref="N134">IFERROR(INDEX(dim_date!K:K,MATCH(A134,dim_date!A:A,0)),"")</f>
        <v>50</v>
      </c>
      <c r="O134" s="9" t="str">
        <f t="array" ref="O134">IFERROR(INDEX(dim_date!F:F,MATCH(A134,dim_date!A:A,0)),"")</f>
        <v>12/6-12/12</v>
      </c>
      <c r="P134" s="9" t="str">
        <f t="array" ref="P134">IFERROR(INDEX(dim_kpi!E:E,MATCH(D134,dim_kpi!C:C,0)),"")</f>
        <v>count</v>
      </c>
      <c r="Q134" s="9" t="str">
        <f t="array" ref="Q134">IFERROR(INDEX(dim_kpi!F:F,MATCH(D134,dim_kpi!C:C,0)),"")</f>
        <v>Y</v>
      </c>
    </row>
    <row r="135" ht="12.75" customHeight="1">
      <c r="A135" s="20" t="str">
        <f>fact_kpi_weekly!A135</f>
        <v>261213</v>
      </c>
      <c r="B135" s="21">
        <f>fact_kpi_weekly!B135</f>
        <v>46369</v>
      </c>
      <c r="C135" s="9" t="str">
        <f>fact_kpi_weekly!C135</f>
        <v>Contracted Lives</v>
      </c>
      <c r="D135" s="9" t="str">
        <f>fact_kpi_weekly!D135</f>
        <v>Eligible Forecast - Total Cumulative</v>
      </c>
      <c r="E135" s="9" t="str">
        <f>fact_kpi_weekly!E135</f>
        <v>Forecast</v>
      </c>
      <c r="F135" s="9" t="str">
        <f>IF(fact_kpi_weekly!F135="","",fact_kpi_weekly!F135)</f>
        <v/>
      </c>
      <c r="G135" s="9" t="str">
        <f>fact_kpi_weekly!G135</f>
        <v>Total</v>
      </c>
      <c r="H135" s="9" t="str">
        <f>fact_kpi_weekly!H135</f>
        <v>John / Sheila</v>
      </c>
      <c r="I135" s="9">
        <f>fact_kpi_weekly!I135</f>
        <v>233577</v>
      </c>
      <c r="J135" s="22">
        <f>fact_kpi_weekly!J135</f>
        <v>233577</v>
      </c>
      <c r="K135" s="20" t="str">
        <f t="array" ref="K135">IFERROR(INDEX(dim_date!H:H,MATCH(A135,dim_date!A:A,0)),"")</f>
        <v>Dec</v>
      </c>
      <c r="L135" s="20" t="str">
        <f t="array" ref="L135">IFERROR(INDEX(dim_date!G:G,MATCH(A135,dim_date!A:A,0)),"")</f>
        <v>12</v>
      </c>
      <c r="M135" s="9" t="str">
        <f t="array" ref="M135">IFERROR(INDEX(dim_date!I:I,MATCH(A135,dim_date!A:A,0)),"")</f>
        <v>Q4</v>
      </c>
      <c r="N135" s="20" t="str">
        <f t="array" ref="N135">IFERROR(INDEX(dim_date!K:K,MATCH(A135,dim_date!A:A,0)),"")</f>
        <v>51</v>
      </c>
      <c r="O135" s="9" t="str">
        <f t="array" ref="O135">IFERROR(INDEX(dim_date!F:F,MATCH(A135,dim_date!A:A,0)),"")</f>
        <v>12/13-12/19</v>
      </c>
      <c r="P135" s="9" t="str">
        <f t="array" ref="P135">IFERROR(INDEX(dim_kpi!E:E,MATCH(D135,dim_kpi!C:C,0)),"")</f>
        <v>count</v>
      </c>
      <c r="Q135" s="9" t="str">
        <f t="array" ref="Q135">IFERROR(INDEX(dim_kpi!F:F,MATCH(D135,dim_kpi!C:C,0)),"")</f>
        <v>Y</v>
      </c>
    </row>
    <row r="136" ht="12.75" customHeight="1">
      <c r="A136" s="20" t="str">
        <f>fact_kpi_weekly!A136</f>
        <v>261220</v>
      </c>
      <c r="B136" s="21">
        <f>fact_kpi_weekly!B136</f>
        <v>46376</v>
      </c>
      <c r="C136" s="9" t="str">
        <f>fact_kpi_weekly!C136</f>
        <v>Contracted Lives</v>
      </c>
      <c r="D136" s="9" t="str">
        <f>fact_kpi_weekly!D136</f>
        <v>Eligible Forecast - Total Cumulative</v>
      </c>
      <c r="E136" s="9" t="str">
        <f>fact_kpi_weekly!E136</f>
        <v>Forecast</v>
      </c>
      <c r="F136" s="9" t="str">
        <f>IF(fact_kpi_weekly!F136="","",fact_kpi_weekly!F136)</f>
        <v/>
      </c>
      <c r="G136" s="9" t="str">
        <f>fact_kpi_weekly!G136</f>
        <v>Total</v>
      </c>
      <c r="H136" s="9" t="str">
        <f>fact_kpi_weekly!H136</f>
        <v>John / Sheila</v>
      </c>
      <c r="I136" s="9">
        <f>fact_kpi_weekly!I136</f>
        <v>233577</v>
      </c>
      <c r="J136" s="22">
        <f>fact_kpi_weekly!J136</f>
        <v>233577</v>
      </c>
      <c r="K136" s="20" t="str">
        <f t="array" ref="K136">IFERROR(INDEX(dim_date!H:H,MATCH(A136,dim_date!A:A,0)),"")</f>
        <v>Dec</v>
      </c>
      <c r="L136" s="20" t="str">
        <f t="array" ref="L136">IFERROR(INDEX(dim_date!G:G,MATCH(A136,dim_date!A:A,0)),"")</f>
        <v>12</v>
      </c>
      <c r="M136" s="9" t="str">
        <f t="array" ref="M136">IFERROR(INDEX(dim_date!I:I,MATCH(A136,dim_date!A:A,0)),"")</f>
        <v>Q4</v>
      </c>
      <c r="N136" s="20" t="str">
        <f t="array" ref="N136">IFERROR(INDEX(dim_date!K:K,MATCH(A136,dim_date!A:A,0)),"")</f>
        <v>52</v>
      </c>
      <c r="O136" s="9" t="str">
        <f t="array" ref="O136">IFERROR(INDEX(dim_date!F:F,MATCH(A136,dim_date!A:A,0)),"")</f>
        <v>12/20-12/26</v>
      </c>
      <c r="P136" s="9" t="str">
        <f t="array" ref="P136">IFERROR(INDEX(dim_kpi!E:E,MATCH(D136,dim_kpi!C:C,0)),"")</f>
        <v>count</v>
      </c>
      <c r="Q136" s="9" t="str">
        <f t="array" ref="Q136">IFERROR(INDEX(dim_kpi!F:F,MATCH(D136,dim_kpi!C:C,0)),"")</f>
        <v>Y</v>
      </c>
    </row>
    <row r="137" ht="12.75" customHeight="1">
      <c r="A137" s="20" t="str">
        <f>fact_kpi_weekly!A137</f>
        <v>261227</v>
      </c>
      <c r="B137" s="21">
        <f>fact_kpi_weekly!B137</f>
        <v>46383</v>
      </c>
      <c r="C137" s="9" t="str">
        <f>fact_kpi_weekly!C137</f>
        <v>Contracted Lives</v>
      </c>
      <c r="D137" s="9" t="str">
        <f>fact_kpi_weekly!D137</f>
        <v>Eligible Forecast - Total Cumulative</v>
      </c>
      <c r="E137" s="9" t="str">
        <f>fact_kpi_weekly!E137</f>
        <v>Forecast</v>
      </c>
      <c r="F137" s="9" t="str">
        <f>IF(fact_kpi_weekly!F137="","",fact_kpi_weekly!F137)</f>
        <v/>
      </c>
      <c r="G137" s="9" t="str">
        <f>fact_kpi_weekly!G137</f>
        <v>Total</v>
      </c>
      <c r="H137" s="9" t="str">
        <f>fact_kpi_weekly!H137</f>
        <v>John / Sheila</v>
      </c>
      <c r="I137" s="9">
        <f>fact_kpi_weekly!I137</f>
        <v>233577</v>
      </c>
      <c r="J137" s="22">
        <f>fact_kpi_weekly!J137</f>
        <v>233577</v>
      </c>
      <c r="K137" s="20" t="str">
        <f t="array" ref="K137">IFERROR(INDEX(dim_date!H:H,MATCH(A137,dim_date!A:A,0)),"")</f>
        <v>Dec</v>
      </c>
      <c r="L137" s="20" t="str">
        <f t="array" ref="L137">IFERROR(INDEX(dim_date!G:G,MATCH(A137,dim_date!A:A,0)),"")</f>
        <v>12</v>
      </c>
      <c r="M137" s="9" t="str">
        <f t="array" ref="M137">IFERROR(INDEX(dim_date!I:I,MATCH(A137,dim_date!A:A,0)),"")</f>
        <v>Q4</v>
      </c>
      <c r="N137" s="20" t="str">
        <f t="array" ref="N137">IFERROR(INDEX(dim_date!K:K,MATCH(A137,dim_date!A:A,0)),"")</f>
        <v>53</v>
      </c>
      <c r="O137" s="9" t="str">
        <f t="array" ref="O137">IFERROR(INDEX(dim_date!F:F,MATCH(A137,dim_date!A:A,0)),"")</f>
        <v>12/27-1/2</v>
      </c>
      <c r="P137" s="9" t="str">
        <f t="array" ref="P137">IFERROR(INDEX(dim_kpi!E:E,MATCH(D137,dim_kpi!C:C,0)),"")</f>
        <v>count</v>
      </c>
      <c r="Q137" s="9" t="str">
        <f t="array" ref="Q137">IFERROR(INDEX(dim_kpi!F:F,MATCH(D137,dim_kpi!C:C,0)),"")</f>
        <v>Y</v>
      </c>
    </row>
    <row r="138" ht="12.75" customHeight="1">
      <c r="A138" s="20" t="str">
        <f>fact_kpi_weekly!A138</f>
        <v>260301</v>
      </c>
      <c r="B138" s="21">
        <f>fact_kpi_weekly!B138</f>
        <v>46082</v>
      </c>
      <c r="C138" s="9" t="str">
        <f>fact_kpi_weekly!C138</f>
        <v>Contracted Lives</v>
      </c>
      <c r="D138" s="9" t="str">
        <f>fact_kpi_weekly!D138</f>
        <v>Eligible Forecast - Total Cumulative</v>
      </c>
      <c r="E138" s="9" t="str">
        <f>fact_kpi_weekly!E138</f>
        <v>Actual</v>
      </c>
      <c r="F138" s="9" t="str">
        <f>IF(fact_kpi_weekly!F138="","",fact_kpi_weekly!F138)</f>
        <v/>
      </c>
      <c r="G138" s="9" t="str">
        <f>fact_kpi_weekly!G138</f>
        <v>Total</v>
      </c>
      <c r="H138" s="9" t="str">
        <f>fact_kpi_weekly!H138</f>
        <v>John / Sheila</v>
      </c>
      <c r="I138" s="9">
        <f>fact_kpi_weekly!I138</f>
        <v>3308</v>
      </c>
      <c r="J138" s="22">
        <f>fact_kpi_weekly!J138</f>
        <v>3308</v>
      </c>
      <c r="K138" s="20" t="str">
        <f t="array" ref="K138">IFERROR(INDEX(dim_date!H:H,MATCH(A138,dim_date!A:A,0)),"")</f>
        <v>Mar</v>
      </c>
      <c r="L138" s="20" t="str">
        <f t="array" ref="L138">IFERROR(INDEX(dim_date!G:G,MATCH(A138,dim_date!A:A,0)),"")</f>
        <v>03</v>
      </c>
      <c r="M138" s="9" t="str">
        <f t="array" ref="M138">IFERROR(INDEX(dim_date!I:I,MATCH(A138,dim_date!A:A,0)),"")</f>
        <v>Q1</v>
      </c>
      <c r="N138" s="20" t="str">
        <f t="array" ref="N138">IFERROR(INDEX(dim_date!K:K,MATCH(A138,dim_date!A:A,0)),"")</f>
        <v>10</v>
      </c>
      <c r="O138" s="9" t="str">
        <f t="array" ref="O138">IFERROR(INDEX(dim_date!F:F,MATCH(A138,dim_date!A:A,0)),"")</f>
        <v>3/1-3/7</v>
      </c>
      <c r="P138" s="9" t="str">
        <f t="array" ref="P138">IFERROR(INDEX(dim_kpi!E:E,MATCH(D138,dim_kpi!C:C,0)),"")</f>
        <v>count</v>
      </c>
      <c r="Q138" s="9" t="str">
        <f t="array" ref="Q138">IFERROR(INDEX(dim_kpi!F:F,MATCH(D138,dim_kpi!C:C,0)),"")</f>
        <v>Y</v>
      </c>
    </row>
    <row r="139" ht="12.75" customHeight="1">
      <c r="A139" s="20" t="str">
        <f>fact_kpi_weekly!A139</f>
        <v>260308</v>
      </c>
      <c r="B139" s="21">
        <f>fact_kpi_weekly!B139</f>
        <v>46089</v>
      </c>
      <c r="C139" s="9" t="str">
        <f>fact_kpi_weekly!C139</f>
        <v>Contracted Lives</v>
      </c>
      <c r="D139" s="9" t="str">
        <f>fact_kpi_weekly!D139</f>
        <v>Eligible Forecast - Total Cumulative</v>
      </c>
      <c r="E139" s="9" t="str">
        <f>fact_kpi_weekly!E139</f>
        <v>Actual</v>
      </c>
      <c r="F139" s="9" t="str">
        <f>IF(fact_kpi_weekly!F139="","",fact_kpi_weekly!F139)</f>
        <v/>
      </c>
      <c r="G139" s="9" t="str">
        <f>fact_kpi_weekly!G139</f>
        <v>Total</v>
      </c>
      <c r="H139" s="9" t="str">
        <f>fact_kpi_weekly!H139</f>
        <v>John / Sheila</v>
      </c>
      <c r="I139" s="9">
        <f>fact_kpi_weekly!I139</f>
        <v>0</v>
      </c>
      <c r="J139" s="22">
        <f>fact_kpi_weekly!J139</f>
        <v>0</v>
      </c>
      <c r="K139" s="20" t="str">
        <f t="array" ref="K139">IFERROR(INDEX(dim_date!H:H,MATCH(A139,dim_date!A:A,0)),"")</f>
        <v>Mar</v>
      </c>
      <c r="L139" s="20" t="str">
        <f t="array" ref="L139">IFERROR(INDEX(dim_date!G:G,MATCH(A139,dim_date!A:A,0)),"")</f>
        <v>03</v>
      </c>
      <c r="M139" s="9" t="str">
        <f t="array" ref="M139">IFERROR(INDEX(dim_date!I:I,MATCH(A139,dim_date!A:A,0)),"")</f>
        <v>Q1</v>
      </c>
      <c r="N139" s="20" t="str">
        <f t="array" ref="N139">IFERROR(INDEX(dim_date!K:K,MATCH(A139,dim_date!A:A,0)),"")</f>
        <v>11</v>
      </c>
      <c r="O139" s="9" t="str">
        <f t="array" ref="O139">IFERROR(INDEX(dim_date!F:F,MATCH(A139,dim_date!A:A,0)),"")</f>
        <v>3/8-3/14</v>
      </c>
      <c r="P139" s="9" t="str">
        <f t="array" ref="P139">IFERROR(INDEX(dim_kpi!E:E,MATCH(D139,dim_kpi!C:C,0)),"")</f>
        <v>count</v>
      </c>
      <c r="Q139" s="9" t="str">
        <f t="array" ref="Q139">IFERROR(INDEX(dim_kpi!F:F,MATCH(D139,dim_kpi!C:C,0)),"")</f>
        <v>Y</v>
      </c>
    </row>
    <row r="140" ht="12.75" customHeight="1">
      <c r="A140" s="20" t="str">
        <f>fact_kpi_weekly!A140</f>
        <v>260315</v>
      </c>
      <c r="B140" s="21">
        <f>fact_kpi_weekly!B140</f>
        <v>46096</v>
      </c>
      <c r="C140" s="9" t="str">
        <f>fact_kpi_weekly!C140</f>
        <v>Contracted Lives</v>
      </c>
      <c r="D140" s="9" t="str">
        <f>fact_kpi_weekly!D140</f>
        <v>Eligible Forecast - Total Cumulative</v>
      </c>
      <c r="E140" s="9" t="str">
        <f>fact_kpi_weekly!E140</f>
        <v>Actual</v>
      </c>
      <c r="F140" s="9" t="str">
        <f>IF(fact_kpi_weekly!F140="","",fact_kpi_weekly!F140)</f>
        <v/>
      </c>
      <c r="G140" s="9" t="str">
        <f>fact_kpi_weekly!G140</f>
        <v>Total</v>
      </c>
      <c r="H140" s="9" t="str">
        <f>fact_kpi_weekly!H140</f>
        <v>John / Sheila</v>
      </c>
      <c r="I140" s="9">
        <f>fact_kpi_weekly!I140</f>
        <v>0</v>
      </c>
      <c r="J140" s="22">
        <f>fact_kpi_weekly!J140</f>
        <v>0</v>
      </c>
      <c r="K140" s="20" t="str">
        <f t="array" ref="K140">IFERROR(INDEX(dim_date!H:H,MATCH(A140,dim_date!A:A,0)),"")</f>
        <v>Mar</v>
      </c>
      <c r="L140" s="20" t="str">
        <f t="array" ref="L140">IFERROR(INDEX(dim_date!G:G,MATCH(A140,dim_date!A:A,0)),"")</f>
        <v>03</v>
      </c>
      <c r="M140" s="9" t="str">
        <f t="array" ref="M140">IFERROR(INDEX(dim_date!I:I,MATCH(A140,dim_date!A:A,0)),"")</f>
        <v>Q1</v>
      </c>
      <c r="N140" s="20" t="str">
        <f t="array" ref="N140">IFERROR(INDEX(dim_date!K:K,MATCH(A140,dim_date!A:A,0)),"")</f>
        <v>12</v>
      </c>
      <c r="O140" s="9" t="str">
        <f t="array" ref="O140">IFERROR(INDEX(dim_date!F:F,MATCH(A140,dim_date!A:A,0)),"")</f>
        <v>3/15-3/21</v>
      </c>
      <c r="P140" s="9" t="str">
        <f t="array" ref="P140">IFERROR(INDEX(dim_kpi!E:E,MATCH(D140,dim_kpi!C:C,0)),"")</f>
        <v>count</v>
      </c>
      <c r="Q140" s="9" t="str">
        <f t="array" ref="Q140">IFERROR(INDEX(dim_kpi!F:F,MATCH(D140,dim_kpi!C:C,0)),"")</f>
        <v>Y</v>
      </c>
    </row>
    <row r="141" ht="12.75" customHeight="1">
      <c r="A141" s="20" t="str">
        <f>fact_kpi_weekly!A141</f>
        <v>260322</v>
      </c>
      <c r="B141" s="21">
        <f>fact_kpi_weekly!B141</f>
        <v>46103</v>
      </c>
      <c r="C141" s="9" t="str">
        <f>fact_kpi_weekly!C141</f>
        <v>Contracted Lives</v>
      </c>
      <c r="D141" s="9" t="str">
        <f>fact_kpi_weekly!D141</f>
        <v>Eligible Forecast - Total Cumulative</v>
      </c>
      <c r="E141" s="9" t="str">
        <f>fact_kpi_weekly!E141</f>
        <v>Actual</v>
      </c>
      <c r="F141" s="9" t="str">
        <f>IF(fact_kpi_weekly!F141="","",fact_kpi_weekly!F141)</f>
        <v/>
      </c>
      <c r="G141" s="9" t="str">
        <f>fact_kpi_weekly!G141</f>
        <v>Total</v>
      </c>
      <c r="H141" s="9" t="str">
        <f>fact_kpi_weekly!H141</f>
        <v>John / Sheila</v>
      </c>
      <c r="I141" s="9">
        <f>fact_kpi_weekly!I141</f>
        <v>0</v>
      </c>
      <c r="J141" s="22">
        <f>fact_kpi_weekly!J141</f>
        <v>0</v>
      </c>
      <c r="K141" s="20" t="str">
        <f t="array" ref="K141">IFERROR(INDEX(dim_date!H:H,MATCH(A141,dim_date!A:A,0)),"")</f>
        <v>Mar</v>
      </c>
      <c r="L141" s="20" t="str">
        <f t="array" ref="L141">IFERROR(INDEX(dim_date!G:G,MATCH(A141,dim_date!A:A,0)),"")</f>
        <v>03</v>
      </c>
      <c r="M141" s="9" t="str">
        <f t="array" ref="M141">IFERROR(INDEX(dim_date!I:I,MATCH(A141,dim_date!A:A,0)),"")</f>
        <v>Q1</v>
      </c>
      <c r="N141" s="20" t="str">
        <f t="array" ref="N141">IFERROR(INDEX(dim_date!K:K,MATCH(A141,dim_date!A:A,0)),"")</f>
        <v>13</v>
      </c>
      <c r="O141" s="9" t="str">
        <f t="array" ref="O141">IFERROR(INDEX(dim_date!F:F,MATCH(A141,dim_date!A:A,0)),"")</f>
        <v>3/22-3/28</v>
      </c>
      <c r="P141" s="9" t="str">
        <f t="array" ref="P141">IFERROR(INDEX(dim_kpi!E:E,MATCH(D141,dim_kpi!C:C,0)),"")</f>
        <v>count</v>
      </c>
      <c r="Q141" s="9" t="str">
        <f t="array" ref="Q141">IFERROR(INDEX(dim_kpi!F:F,MATCH(D141,dim_kpi!C:C,0)),"")</f>
        <v>Y</v>
      </c>
    </row>
    <row r="142" ht="12.75" customHeight="1">
      <c r="A142" s="20" t="str">
        <f>fact_kpi_weekly!A142</f>
        <v>260329</v>
      </c>
      <c r="B142" s="21">
        <f>fact_kpi_weekly!B142</f>
        <v>46110</v>
      </c>
      <c r="C142" s="9" t="str">
        <f>fact_kpi_weekly!C142</f>
        <v>Contracted Lives</v>
      </c>
      <c r="D142" s="9" t="str">
        <f>fact_kpi_weekly!D142</f>
        <v>Eligible Forecast - Total Cumulative</v>
      </c>
      <c r="E142" s="9" t="str">
        <f>fact_kpi_weekly!E142</f>
        <v>Actual</v>
      </c>
      <c r="F142" s="9" t="str">
        <f>IF(fact_kpi_weekly!F142="","",fact_kpi_weekly!F142)</f>
        <v/>
      </c>
      <c r="G142" s="9" t="str">
        <f>fact_kpi_weekly!G142</f>
        <v>Total</v>
      </c>
      <c r="H142" s="9" t="str">
        <f>fact_kpi_weekly!H142</f>
        <v>John / Sheila</v>
      </c>
      <c r="I142" s="9">
        <f>fact_kpi_weekly!I142</f>
        <v>0</v>
      </c>
      <c r="J142" s="22">
        <f>fact_kpi_weekly!J142</f>
        <v>0</v>
      </c>
      <c r="K142" s="20" t="str">
        <f t="array" ref="K142">IFERROR(INDEX(dim_date!H:H,MATCH(A142,dim_date!A:A,0)),"")</f>
        <v>Mar</v>
      </c>
      <c r="L142" s="20" t="str">
        <f t="array" ref="L142">IFERROR(INDEX(dim_date!G:G,MATCH(A142,dim_date!A:A,0)),"")</f>
        <v>03</v>
      </c>
      <c r="M142" s="9" t="str">
        <f t="array" ref="M142">IFERROR(INDEX(dim_date!I:I,MATCH(A142,dim_date!A:A,0)),"")</f>
        <v>Q1</v>
      </c>
      <c r="N142" s="20" t="str">
        <f t="array" ref="N142">IFERROR(INDEX(dim_date!K:K,MATCH(A142,dim_date!A:A,0)),"")</f>
        <v>14</v>
      </c>
      <c r="O142" s="9" t="str">
        <f t="array" ref="O142">IFERROR(INDEX(dim_date!F:F,MATCH(A142,dim_date!A:A,0)),"")</f>
        <v>3/29-4/4</v>
      </c>
      <c r="P142" s="9" t="str">
        <f t="array" ref="P142">IFERROR(INDEX(dim_kpi!E:E,MATCH(D142,dim_kpi!C:C,0)),"")</f>
        <v>count</v>
      </c>
      <c r="Q142" s="9" t="str">
        <f t="array" ref="Q142">IFERROR(INDEX(dim_kpi!F:F,MATCH(D142,dim_kpi!C:C,0)),"")</f>
        <v>Y</v>
      </c>
    </row>
    <row r="143" ht="12.75" customHeight="1">
      <c r="A143" s="20" t="str">
        <f>fact_kpi_weekly!A143</f>
        <v>260405</v>
      </c>
      <c r="B143" s="21">
        <f>fact_kpi_weekly!B143</f>
        <v>46117</v>
      </c>
      <c r="C143" s="9" t="str">
        <f>fact_kpi_weekly!C143</f>
        <v>Contracted Lives</v>
      </c>
      <c r="D143" s="9" t="str">
        <f>fact_kpi_weekly!D143</f>
        <v>Eligible Forecast - Total Cumulative</v>
      </c>
      <c r="E143" s="9" t="str">
        <f>fact_kpi_weekly!E143</f>
        <v>Actual</v>
      </c>
      <c r="F143" s="9" t="str">
        <f>IF(fact_kpi_weekly!F143="","",fact_kpi_weekly!F143)</f>
        <v/>
      </c>
      <c r="G143" s="9" t="str">
        <f>fact_kpi_weekly!G143</f>
        <v>Total</v>
      </c>
      <c r="H143" s="9" t="str">
        <f>fact_kpi_weekly!H143</f>
        <v>John / Sheila</v>
      </c>
      <c r="I143" s="9">
        <f>fact_kpi_weekly!I143</f>
        <v>0</v>
      </c>
      <c r="J143" s="22">
        <f>fact_kpi_weekly!J143</f>
        <v>0</v>
      </c>
      <c r="K143" s="20" t="str">
        <f t="array" ref="K143">IFERROR(INDEX(dim_date!H:H,MATCH(A143,dim_date!A:A,0)),"")</f>
        <v>Apr</v>
      </c>
      <c r="L143" s="20" t="str">
        <f t="array" ref="L143">IFERROR(INDEX(dim_date!G:G,MATCH(A143,dim_date!A:A,0)),"")</f>
        <v>04</v>
      </c>
      <c r="M143" s="9" t="str">
        <f t="array" ref="M143">IFERROR(INDEX(dim_date!I:I,MATCH(A143,dim_date!A:A,0)),"")</f>
        <v>Q2</v>
      </c>
      <c r="N143" s="20" t="str">
        <f t="array" ref="N143">IFERROR(INDEX(dim_date!K:K,MATCH(A143,dim_date!A:A,0)),"")</f>
        <v>15</v>
      </c>
      <c r="O143" s="9" t="str">
        <f t="array" ref="O143">IFERROR(INDEX(dim_date!F:F,MATCH(A143,dim_date!A:A,0)),"")</f>
        <v>4/5-4/11</v>
      </c>
      <c r="P143" s="9" t="str">
        <f t="array" ref="P143">IFERROR(INDEX(dim_kpi!E:E,MATCH(D143,dim_kpi!C:C,0)),"")</f>
        <v>count</v>
      </c>
      <c r="Q143" s="9" t="str">
        <f t="array" ref="Q143">IFERROR(INDEX(dim_kpi!F:F,MATCH(D143,dim_kpi!C:C,0)),"")</f>
        <v>Y</v>
      </c>
    </row>
    <row r="144" ht="12.75" customHeight="1">
      <c r="A144" s="20" t="str">
        <f>fact_kpi_weekly!A144</f>
        <v>260412</v>
      </c>
      <c r="B144" s="21">
        <f>fact_kpi_weekly!B144</f>
        <v>46124</v>
      </c>
      <c r="C144" s="9" t="str">
        <f>fact_kpi_weekly!C144</f>
        <v>Contracted Lives</v>
      </c>
      <c r="D144" s="9" t="str">
        <f>fact_kpi_weekly!D144</f>
        <v>Eligible Forecast - Total Cumulative</v>
      </c>
      <c r="E144" s="9" t="str">
        <f>fact_kpi_weekly!E144</f>
        <v>Actual</v>
      </c>
      <c r="F144" s="9" t="str">
        <f>IF(fact_kpi_weekly!F144="","",fact_kpi_weekly!F144)</f>
        <v/>
      </c>
      <c r="G144" s="9" t="str">
        <f>fact_kpi_weekly!G144</f>
        <v>Total</v>
      </c>
      <c r="H144" s="9" t="str">
        <f>fact_kpi_weekly!H144</f>
        <v>John / Sheila</v>
      </c>
      <c r="I144" s="9">
        <f>fact_kpi_weekly!I144</f>
        <v>0</v>
      </c>
      <c r="J144" s="22">
        <f>fact_kpi_weekly!J144</f>
        <v>0</v>
      </c>
      <c r="K144" s="20" t="str">
        <f t="array" ref="K144">IFERROR(INDEX(dim_date!H:H,MATCH(A144,dim_date!A:A,0)),"")</f>
        <v>Apr</v>
      </c>
      <c r="L144" s="20" t="str">
        <f t="array" ref="L144">IFERROR(INDEX(dim_date!G:G,MATCH(A144,dim_date!A:A,0)),"")</f>
        <v>04</v>
      </c>
      <c r="M144" s="9" t="str">
        <f t="array" ref="M144">IFERROR(INDEX(dim_date!I:I,MATCH(A144,dim_date!A:A,0)),"")</f>
        <v>Q2</v>
      </c>
      <c r="N144" s="20" t="str">
        <f t="array" ref="N144">IFERROR(INDEX(dim_date!K:K,MATCH(A144,dim_date!A:A,0)),"")</f>
        <v>16</v>
      </c>
      <c r="O144" s="9" t="str">
        <f t="array" ref="O144">IFERROR(INDEX(dim_date!F:F,MATCH(A144,dim_date!A:A,0)),"")</f>
        <v>4/12-4/18</v>
      </c>
      <c r="P144" s="9" t="str">
        <f t="array" ref="P144">IFERROR(INDEX(dim_kpi!E:E,MATCH(D144,dim_kpi!C:C,0)),"")</f>
        <v>count</v>
      </c>
      <c r="Q144" s="9" t="str">
        <f t="array" ref="Q144">IFERROR(INDEX(dim_kpi!F:F,MATCH(D144,dim_kpi!C:C,0)),"")</f>
        <v>Y</v>
      </c>
    </row>
    <row r="145" ht="12.75" customHeight="1">
      <c r="A145" s="20" t="str">
        <f>fact_kpi_weekly!A145</f>
        <v>260419</v>
      </c>
      <c r="B145" s="21">
        <f>fact_kpi_weekly!B145</f>
        <v>46131</v>
      </c>
      <c r="C145" s="9" t="str">
        <f>fact_kpi_weekly!C145</f>
        <v>Contracted Lives</v>
      </c>
      <c r="D145" s="9" t="str">
        <f>fact_kpi_weekly!D145</f>
        <v>Eligible Forecast - Total Cumulative</v>
      </c>
      <c r="E145" s="9" t="str">
        <f>fact_kpi_weekly!E145</f>
        <v>Actual</v>
      </c>
      <c r="F145" s="9" t="str">
        <f>IF(fact_kpi_weekly!F145="","",fact_kpi_weekly!F145)</f>
        <v/>
      </c>
      <c r="G145" s="9" t="str">
        <f>fact_kpi_weekly!G145</f>
        <v>Total</v>
      </c>
      <c r="H145" s="9" t="str">
        <f>fact_kpi_weekly!H145</f>
        <v>John / Sheila</v>
      </c>
      <c r="I145" s="9">
        <f>fact_kpi_weekly!I145</f>
        <v>0</v>
      </c>
      <c r="J145" s="22">
        <f>fact_kpi_weekly!J145</f>
        <v>0</v>
      </c>
      <c r="K145" s="20" t="str">
        <f t="array" ref="K145">IFERROR(INDEX(dim_date!H:H,MATCH(A145,dim_date!A:A,0)),"")</f>
        <v>Apr</v>
      </c>
      <c r="L145" s="20" t="str">
        <f t="array" ref="L145">IFERROR(INDEX(dim_date!G:G,MATCH(A145,dim_date!A:A,0)),"")</f>
        <v>04</v>
      </c>
      <c r="M145" s="9" t="str">
        <f t="array" ref="M145">IFERROR(INDEX(dim_date!I:I,MATCH(A145,dim_date!A:A,0)),"")</f>
        <v>Q2</v>
      </c>
      <c r="N145" s="20" t="str">
        <f t="array" ref="N145">IFERROR(INDEX(dim_date!K:K,MATCH(A145,dim_date!A:A,0)),"")</f>
        <v>17</v>
      </c>
      <c r="O145" s="9" t="str">
        <f t="array" ref="O145">IFERROR(INDEX(dim_date!F:F,MATCH(A145,dim_date!A:A,0)),"")</f>
        <v>4/19-4/25</v>
      </c>
      <c r="P145" s="9" t="str">
        <f t="array" ref="P145">IFERROR(INDEX(dim_kpi!E:E,MATCH(D145,dim_kpi!C:C,0)),"")</f>
        <v>count</v>
      </c>
      <c r="Q145" s="9" t="str">
        <f t="array" ref="Q145">IFERROR(INDEX(dim_kpi!F:F,MATCH(D145,dim_kpi!C:C,0)),"")</f>
        <v>Y</v>
      </c>
    </row>
    <row r="146" ht="12.75" customHeight="1">
      <c r="A146" s="20" t="str">
        <f>fact_kpi_weekly!A146</f>
        <v>260426</v>
      </c>
      <c r="B146" s="21">
        <f>fact_kpi_weekly!B146</f>
        <v>46138</v>
      </c>
      <c r="C146" s="9" t="str">
        <f>fact_kpi_weekly!C146</f>
        <v>Contracted Lives</v>
      </c>
      <c r="D146" s="9" t="str">
        <f>fact_kpi_weekly!D146</f>
        <v>Eligible Forecast - Total Cumulative</v>
      </c>
      <c r="E146" s="9" t="str">
        <f>fact_kpi_weekly!E146</f>
        <v>Actual</v>
      </c>
      <c r="F146" s="9" t="str">
        <f>IF(fact_kpi_weekly!F146="","",fact_kpi_weekly!F146)</f>
        <v/>
      </c>
      <c r="G146" s="9" t="str">
        <f>fact_kpi_weekly!G146</f>
        <v>Total</v>
      </c>
      <c r="H146" s="9" t="str">
        <f>fact_kpi_weekly!H146</f>
        <v>John / Sheila</v>
      </c>
      <c r="I146" s="9">
        <f>fact_kpi_weekly!I146</f>
        <v>0</v>
      </c>
      <c r="J146" s="22">
        <f>fact_kpi_weekly!J146</f>
        <v>0</v>
      </c>
      <c r="K146" s="20" t="str">
        <f t="array" ref="K146">IFERROR(INDEX(dim_date!H:H,MATCH(A146,dim_date!A:A,0)),"")</f>
        <v>Apr</v>
      </c>
      <c r="L146" s="20" t="str">
        <f t="array" ref="L146">IFERROR(INDEX(dim_date!G:G,MATCH(A146,dim_date!A:A,0)),"")</f>
        <v>04</v>
      </c>
      <c r="M146" s="9" t="str">
        <f t="array" ref="M146">IFERROR(INDEX(dim_date!I:I,MATCH(A146,dim_date!A:A,0)),"")</f>
        <v>Q2</v>
      </c>
      <c r="N146" s="20" t="str">
        <f t="array" ref="N146">IFERROR(INDEX(dim_date!K:K,MATCH(A146,dim_date!A:A,0)),"")</f>
        <v>18</v>
      </c>
      <c r="O146" s="9" t="str">
        <f t="array" ref="O146">IFERROR(INDEX(dim_date!F:F,MATCH(A146,dim_date!A:A,0)),"")</f>
        <v>4/26-5/2</v>
      </c>
      <c r="P146" s="9" t="str">
        <f t="array" ref="P146">IFERROR(INDEX(dim_kpi!E:E,MATCH(D146,dim_kpi!C:C,0)),"")</f>
        <v>count</v>
      </c>
      <c r="Q146" s="9" t="str">
        <f t="array" ref="Q146">IFERROR(INDEX(dim_kpi!F:F,MATCH(D146,dim_kpi!C:C,0)),"")</f>
        <v>Y</v>
      </c>
    </row>
    <row r="147" ht="12.75" customHeight="1">
      <c r="A147" s="20" t="str">
        <f>fact_kpi_weekly!A147</f>
        <v>260503</v>
      </c>
      <c r="B147" s="21">
        <f>fact_kpi_weekly!B147</f>
        <v>46145</v>
      </c>
      <c r="C147" s="9" t="str">
        <f>fact_kpi_weekly!C147</f>
        <v>Contracted Lives</v>
      </c>
      <c r="D147" s="9" t="str">
        <f>fact_kpi_weekly!D147</f>
        <v>Eligible Forecast - Total Cumulative</v>
      </c>
      <c r="E147" s="9" t="str">
        <f>fact_kpi_weekly!E147</f>
        <v>Actual</v>
      </c>
      <c r="F147" s="9" t="str">
        <f>IF(fact_kpi_weekly!F147="","",fact_kpi_weekly!F147)</f>
        <v/>
      </c>
      <c r="G147" s="9" t="str">
        <f>fact_kpi_weekly!G147</f>
        <v>Total</v>
      </c>
      <c r="H147" s="9" t="str">
        <f>fact_kpi_weekly!H147</f>
        <v>John / Sheila</v>
      </c>
      <c r="I147" s="9">
        <f>fact_kpi_weekly!I147</f>
        <v>0</v>
      </c>
      <c r="J147" s="22">
        <f>fact_kpi_weekly!J147</f>
        <v>0</v>
      </c>
      <c r="K147" s="20" t="str">
        <f t="array" ref="K147">IFERROR(INDEX(dim_date!H:H,MATCH(A147,dim_date!A:A,0)),"")</f>
        <v>May</v>
      </c>
      <c r="L147" s="20" t="str">
        <f t="array" ref="L147">IFERROR(INDEX(dim_date!G:G,MATCH(A147,dim_date!A:A,0)),"")</f>
        <v>05</v>
      </c>
      <c r="M147" s="9" t="str">
        <f t="array" ref="M147">IFERROR(INDEX(dim_date!I:I,MATCH(A147,dim_date!A:A,0)),"")</f>
        <v>Q2</v>
      </c>
      <c r="N147" s="20" t="str">
        <f t="array" ref="N147">IFERROR(INDEX(dim_date!K:K,MATCH(A147,dim_date!A:A,0)),"")</f>
        <v>19</v>
      </c>
      <c r="O147" s="9" t="str">
        <f t="array" ref="O147">IFERROR(INDEX(dim_date!F:F,MATCH(A147,dim_date!A:A,0)),"")</f>
        <v>5/3-5/9</v>
      </c>
      <c r="P147" s="9" t="str">
        <f t="array" ref="P147">IFERROR(INDEX(dim_kpi!E:E,MATCH(D147,dim_kpi!C:C,0)),"")</f>
        <v>count</v>
      </c>
      <c r="Q147" s="9" t="str">
        <f t="array" ref="Q147">IFERROR(INDEX(dim_kpi!F:F,MATCH(D147,dim_kpi!C:C,0)),"")</f>
        <v>Y</v>
      </c>
    </row>
    <row r="148" ht="12.75" customHeight="1">
      <c r="A148" s="20" t="str">
        <f>fact_kpi_weekly!A148</f>
        <v>260510</v>
      </c>
      <c r="B148" s="21">
        <f>fact_kpi_weekly!B148</f>
        <v>46152</v>
      </c>
      <c r="C148" s="9" t="str">
        <f>fact_kpi_weekly!C148</f>
        <v>Contracted Lives</v>
      </c>
      <c r="D148" s="9" t="str">
        <f>fact_kpi_weekly!D148</f>
        <v>Eligible Forecast - Total Cumulative</v>
      </c>
      <c r="E148" s="9" t="str">
        <f>fact_kpi_weekly!E148</f>
        <v>Actual</v>
      </c>
      <c r="F148" s="9" t="str">
        <f>IF(fact_kpi_weekly!F148="","",fact_kpi_weekly!F148)</f>
        <v/>
      </c>
      <c r="G148" s="9" t="str">
        <f>fact_kpi_weekly!G148</f>
        <v>Total</v>
      </c>
      <c r="H148" s="9" t="str">
        <f>fact_kpi_weekly!H148</f>
        <v>John / Sheila</v>
      </c>
      <c r="I148" s="9">
        <f>fact_kpi_weekly!I148</f>
        <v>0</v>
      </c>
      <c r="J148" s="22">
        <f>fact_kpi_weekly!J148</f>
        <v>0</v>
      </c>
      <c r="K148" s="20" t="str">
        <f t="array" ref="K148">IFERROR(INDEX(dim_date!H:H,MATCH(A148,dim_date!A:A,0)),"")</f>
        <v>May</v>
      </c>
      <c r="L148" s="20" t="str">
        <f t="array" ref="L148">IFERROR(INDEX(dim_date!G:G,MATCH(A148,dim_date!A:A,0)),"")</f>
        <v>05</v>
      </c>
      <c r="M148" s="9" t="str">
        <f t="array" ref="M148">IFERROR(INDEX(dim_date!I:I,MATCH(A148,dim_date!A:A,0)),"")</f>
        <v>Q2</v>
      </c>
      <c r="N148" s="20" t="str">
        <f t="array" ref="N148">IFERROR(INDEX(dim_date!K:K,MATCH(A148,dim_date!A:A,0)),"")</f>
        <v>20</v>
      </c>
      <c r="O148" s="9" t="str">
        <f t="array" ref="O148">IFERROR(INDEX(dim_date!F:F,MATCH(A148,dim_date!A:A,0)),"")</f>
        <v>5/10-5/16</v>
      </c>
      <c r="P148" s="9" t="str">
        <f t="array" ref="P148">IFERROR(INDEX(dim_kpi!E:E,MATCH(D148,dim_kpi!C:C,0)),"")</f>
        <v>count</v>
      </c>
      <c r="Q148" s="9" t="str">
        <f t="array" ref="Q148">IFERROR(INDEX(dim_kpi!F:F,MATCH(D148,dim_kpi!C:C,0)),"")</f>
        <v>Y</v>
      </c>
    </row>
    <row r="149" ht="12.75" customHeight="1">
      <c r="A149" s="20" t="str">
        <f>fact_kpi_weekly!A149</f>
        <v>260517</v>
      </c>
      <c r="B149" s="21">
        <f>fact_kpi_weekly!B149</f>
        <v>46159</v>
      </c>
      <c r="C149" s="9" t="str">
        <f>fact_kpi_weekly!C149</f>
        <v>Contracted Lives</v>
      </c>
      <c r="D149" s="9" t="str">
        <f>fact_kpi_weekly!D149</f>
        <v>Eligible Forecast - Total Cumulative</v>
      </c>
      <c r="E149" s="9" t="str">
        <f>fact_kpi_weekly!E149</f>
        <v>Actual</v>
      </c>
      <c r="F149" s="9" t="str">
        <f>IF(fact_kpi_weekly!F149="","",fact_kpi_weekly!F149)</f>
        <v/>
      </c>
      <c r="G149" s="9" t="str">
        <f>fact_kpi_weekly!G149</f>
        <v>Total</v>
      </c>
      <c r="H149" s="9" t="str">
        <f>fact_kpi_weekly!H149</f>
        <v>John / Sheila</v>
      </c>
      <c r="I149" s="9">
        <f>fact_kpi_weekly!I149</f>
        <v>0</v>
      </c>
      <c r="J149" s="22">
        <f>fact_kpi_weekly!J149</f>
        <v>0</v>
      </c>
      <c r="K149" s="20" t="str">
        <f t="array" ref="K149">IFERROR(INDEX(dim_date!H:H,MATCH(A149,dim_date!A:A,0)),"")</f>
        <v>May</v>
      </c>
      <c r="L149" s="20" t="str">
        <f t="array" ref="L149">IFERROR(INDEX(dim_date!G:G,MATCH(A149,dim_date!A:A,0)),"")</f>
        <v>05</v>
      </c>
      <c r="M149" s="9" t="str">
        <f t="array" ref="M149">IFERROR(INDEX(dim_date!I:I,MATCH(A149,dim_date!A:A,0)),"")</f>
        <v>Q2</v>
      </c>
      <c r="N149" s="20" t="str">
        <f t="array" ref="N149">IFERROR(INDEX(dim_date!K:K,MATCH(A149,dim_date!A:A,0)),"")</f>
        <v>21</v>
      </c>
      <c r="O149" s="9" t="str">
        <f t="array" ref="O149">IFERROR(INDEX(dim_date!F:F,MATCH(A149,dim_date!A:A,0)),"")</f>
        <v>5/17-5/23</v>
      </c>
      <c r="P149" s="9" t="str">
        <f t="array" ref="P149">IFERROR(INDEX(dim_kpi!E:E,MATCH(D149,dim_kpi!C:C,0)),"")</f>
        <v>count</v>
      </c>
      <c r="Q149" s="9" t="str">
        <f t="array" ref="Q149">IFERROR(INDEX(dim_kpi!F:F,MATCH(D149,dim_kpi!C:C,0)),"")</f>
        <v>Y</v>
      </c>
    </row>
    <row r="150" ht="12.75" customHeight="1">
      <c r="A150" s="20" t="str">
        <f>fact_kpi_weekly!A150</f>
        <v>260524</v>
      </c>
      <c r="B150" s="21">
        <f>fact_kpi_weekly!B150</f>
        <v>46166</v>
      </c>
      <c r="C150" s="9" t="str">
        <f>fact_kpi_weekly!C150</f>
        <v>Contracted Lives</v>
      </c>
      <c r="D150" s="9" t="str">
        <f>fact_kpi_weekly!D150</f>
        <v>Eligible Forecast - Total Cumulative</v>
      </c>
      <c r="E150" s="9" t="str">
        <f>fact_kpi_weekly!E150</f>
        <v>Actual</v>
      </c>
      <c r="F150" s="9" t="str">
        <f>IF(fact_kpi_weekly!F150="","",fact_kpi_weekly!F150)</f>
        <v/>
      </c>
      <c r="G150" s="9" t="str">
        <f>fact_kpi_weekly!G150</f>
        <v>Total</v>
      </c>
      <c r="H150" s="9" t="str">
        <f>fact_kpi_weekly!H150</f>
        <v>John / Sheila</v>
      </c>
      <c r="I150" s="9">
        <f>fact_kpi_weekly!I150</f>
        <v>0</v>
      </c>
      <c r="J150" s="22">
        <f>fact_kpi_weekly!J150</f>
        <v>0</v>
      </c>
      <c r="K150" s="20" t="str">
        <f t="array" ref="K150">IFERROR(INDEX(dim_date!H:H,MATCH(A150,dim_date!A:A,0)),"")</f>
        <v>May</v>
      </c>
      <c r="L150" s="20" t="str">
        <f t="array" ref="L150">IFERROR(INDEX(dim_date!G:G,MATCH(A150,dim_date!A:A,0)),"")</f>
        <v>05</v>
      </c>
      <c r="M150" s="9" t="str">
        <f t="array" ref="M150">IFERROR(INDEX(dim_date!I:I,MATCH(A150,dim_date!A:A,0)),"")</f>
        <v>Q2</v>
      </c>
      <c r="N150" s="20" t="str">
        <f t="array" ref="N150">IFERROR(INDEX(dim_date!K:K,MATCH(A150,dim_date!A:A,0)),"")</f>
        <v>22</v>
      </c>
      <c r="O150" s="9" t="str">
        <f t="array" ref="O150">IFERROR(INDEX(dim_date!F:F,MATCH(A150,dim_date!A:A,0)),"")</f>
        <v>5/24-5/30</v>
      </c>
      <c r="P150" s="9" t="str">
        <f t="array" ref="P150">IFERROR(INDEX(dim_kpi!E:E,MATCH(D150,dim_kpi!C:C,0)),"")</f>
        <v>count</v>
      </c>
      <c r="Q150" s="9" t="str">
        <f t="array" ref="Q150">IFERROR(INDEX(dim_kpi!F:F,MATCH(D150,dim_kpi!C:C,0)),"")</f>
        <v>Y</v>
      </c>
    </row>
    <row r="151" ht="12.75" customHeight="1">
      <c r="A151" s="20" t="str">
        <f>fact_kpi_weekly!A151</f>
        <v>260601</v>
      </c>
      <c r="B151" s="21">
        <f>fact_kpi_weekly!B151</f>
        <v>46174</v>
      </c>
      <c r="C151" s="9" t="str">
        <f>fact_kpi_weekly!C151</f>
        <v>Contracted Lives</v>
      </c>
      <c r="D151" s="9" t="str">
        <f>fact_kpi_weekly!D151</f>
        <v>Eligible Forecast - Total Cumulative</v>
      </c>
      <c r="E151" s="9" t="str">
        <f>fact_kpi_weekly!E151</f>
        <v>Actual</v>
      </c>
      <c r="F151" s="9" t="str">
        <f>IF(fact_kpi_weekly!F151="","",fact_kpi_weekly!F151)</f>
        <v/>
      </c>
      <c r="G151" s="9" t="str">
        <f>fact_kpi_weekly!G151</f>
        <v>Total</v>
      </c>
      <c r="H151" s="9" t="str">
        <f>fact_kpi_weekly!H151</f>
        <v>John / Sheila</v>
      </c>
      <c r="I151" s="9">
        <f>fact_kpi_weekly!I151</f>
        <v>0</v>
      </c>
      <c r="J151" s="22">
        <f>fact_kpi_weekly!J151</f>
        <v>0</v>
      </c>
      <c r="K151" s="20" t="str">
        <f t="array" ref="K151">IFERROR(INDEX(dim_date!H:H,MATCH(A151,dim_date!A:A,0)),"")</f>
        <v>Jun</v>
      </c>
      <c r="L151" s="20" t="str">
        <f t="array" ref="L151">IFERROR(INDEX(dim_date!G:G,MATCH(A151,dim_date!A:A,0)),"")</f>
        <v>06</v>
      </c>
      <c r="M151" s="9" t="str">
        <f t="array" ref="M151">IFERROR(INDEX(dim_date!I:I,MATCH(A151,dim_date!A:A,0)),"")</f>
        <v>Q2</v>
      </c>
      <c r="N151" s="20" t="str">
        <f t="array" ref="N151">IFERROR(INDEX(dim_date!K:K,MATCH(A151,dim_date!A:A,0)),"")</f>
        <v>23</v>
      </c>
      <c r="O151" s="9" t="str">
        <f t="array" ref="O151">IFERROR(INDEX(dim_date!F:F,MATCH(A151,dim_date!A:A,0)),"")</f>
        <v>5/31-6/6</v>
      </c>
      <c r="P151" s="9" t="str">
        <f t="array" ref="P151">IFERROR(INDEX(dim_kpi!E:E,MATCH(D151,dim_kpi!C:C,0)),"")</f>
        <v>count</v>
      </c>
      <c r="Q151" s="9" t="str">
        <f t="array" ref="Q151">IFERROR(INDEX(dim_kpi!F:F,MATCH(D151,dim_kpi!C:C,0)),"")</f>
        <v>Y</v>
      </c>
    </row>
    <row r="152" ht="12.75" customHeight="1">
      <c r="A152" s="20" t="str">
        <f>fact_kpi_weekly!A152</f>
        <v>260607</v>
      </c>
      <c r="B152" s="21">
        <f>fact_kpi_weekly!B152</f>
        <v>46180</v>
      </c>
      <c r="C152" s="9" t="str">
        <f>fact_kpi_weekly!C152</f>
        <v>Contracted Lives</v>
      </c>
      <c r="D152" s="9" t="str">
        <f>fact_kpi_weekly!D152</f>
        <v>Eligible Forecast - Total Cumulative</v>
      </c>
      <c r="E152" s="9" t="str">
        <f>fact_kpi_weekly!E152</f>
        <v>Actual</v>
      </c>
      <c r="F152" s="9" t="str">
        <f>IF(fact_kpi_weekly!F152="","",fact_kpi_weekly!F152)</f>
        <v/>
      </c>
      <c r="G152" s="9" t="str">
        <f>fact_kpi_weekly!G152</f>
        <v>Total</v>
      </c>
      <c r="H152" s="9" t="str">
        <f>fact_kpi_weekly!H152</f>
        <v>John / Sheila</v>
      </c>
      <c r="I152" s="9">
        <f>fact_kpi_weekly!I152</f>
        <v>0</v>
      </c>
      <c r="J152" s="22">
        <f>fact_kpi_weekly!J152</f>
        <v>0</v>
      </c>
      <c r="K152" s="20" t="str">
        <f t="array" ref="K152">IFERROR(INDEX(dim_date!H:H,MATCH(A152,dim_date!A:A,0)),"")</f>
        <v>Jun</v>
      </c>
      <c r="L152" s="20" t="str">
        <f t="array" ref="L152">IFERROR(INDEX(dim_date!G:G,MATCH(A152,dim_date!A:A,0)),"")</f>
        <v>06</v>
      </c>
      <c r="M152" s="9" t="str">
        <f t="array" ref="M152">IFERROR(INDEX(dim_date!I:I,MATCH(A152,dim_date!A:A,0)),"")</f>
        <v>Q2</v>
      </c>
      <c r="N152" s="20" t="str">
        <f t="array" ref="N152">IFERROR(INDEX(dim_date!K:K,MATCH(A152,dim_date!A:A,0)),"")</f>
        <v>24</v>
      </c>
      <c r="O152" s="9" t="str">
        <f t="array" ref="O152">IFERROR(INDEX(dim_date!F:F,MATCH(A152,dim_date!A:A,0)),"")</f>
        <v>6/7-6/13</v>
      </c>
      <c r="P152" s="9" t="str">
        <f t="array" ref="P152">IFERROR(INDEX(dim_kpi!E:E,MATCH(D152,dim_kpi!C:C,0)),"")</f>
        <v>count</v>
      </c>
      <c r="Q152" s="9" t="str">
        <f t="array" ref="Q152">IFERROR(INDEX(dim_kpi!F:F,MATCH(D152,dim_kpi!C:C,0)),"")</f>
        <v>Y</v>
      </c>
    </row>
    <row r="153" ht="12.75" customHeight="1">
      <c r="A153" s="20" t="str">
        <f>fact_kpi_weekly!A153</f>
        <v>260614</v>
      </c>
      <c r="B153" s="21">
        <f>fact_kpi_weekly!B153</f>
        <v>46187</v>
      </c>
      <c r="C153" s="9" t="str">
        <f>fact_kpi_weekly!C153</f>
        <v>Contracted Lives</v>
      </c>
      <c r="D153" s="9" t="str">
        <f>fact_kpi_weekly!D153</f>
        <v>Eligible Forecast - Total Cumulative</v>
      </c>
      <c r="E153" s="9" t="str">
        <f>fact_kpi_weekly!E153</f>
        <v>Actual</v>
      </c>
      <c r="F153" s="9" t="str">
        <f>IF(fact_kpi_weekly!F153="","",fact_kpi_weekly!F153)</f>
        <v/>
      </c>
      <c r="G153" s="9" t="str">
        <f>fact_kpi_weekly!G153</f>
        <v>Total</v>
      </c>
      <c r="H153" s="9" t="str">
        <f>fact_kpi_weekly!H153</f>
        <v>John / Sheila</v>
      </c>
      <c r="I153" s="9">
        <f>fact_kpi_weekly!I153</f>
        <v>0</v>
      </c>
      <c r="J153" s="22">
        <f>fact_kpi_weekly!J153</f>
        <v>0</v>
      </c>
      <c r="K153" s="20" t="str">
        <f t="array" ref="K153">IFERROR(INDEX(dim_date!H:H,MATCH(A153,dim_date!A:A,0)),"")</f>
        <v>Jun</v>
      </c>
      <c r="L153" s="20" t="str">
        <f t="array" ref="L153">IFERROR(INDEX(dim_date!G:G,MATCH(A153,dim_date!A:A,0)),"")</f>
        <v>06</v>
      </c>
      <c r="M153" s="9" t="str">
        <f t="array" ref="M153">IFERROR(INDEX(dim_date!I:I,MATCH(A153,dim_date!A:A,0)),"")</f>
        <v>Q2</v>
      </c>
      <c r="N153" s="20" t="str">
        <f t="array" ref="N153">IFERROR(INDEX(dim_date!K:K,MATCH(A153,dim_date!A:A,0)),"")</f>
        <v>25</v>
      </c>
      <c r="O153" s="9" t="str">
        <f t="array" ref="O153">IFERROR(INDEX(dim_date!F:F,MATCH(A153,dim_date!A:A,0)),"")</f>
        <v>6/14-6/20</v>
      </c>
      <c r="P153" s="9" t="str">
        <f t="array" ref="P153">IFERROR(INDEX(dim_kpi!E:E,MATCH(D153,dim_kpi!C:C,0)),"")</f>
        <v>count</v>
      </c>
      <c r="Q153" s="9" t="str">
        <f t="array" ref="Q153">IFERROR(INDEX(dim_kpi!F:F,MATCH(D153,dim_kpi!C:C,0)),"")</f>
        <v>Y</v>
      </c>
    </row>
    <row r="154" ht="12.75" customHeight="1">
      <c r="A154" s="20" t="str">
        <f>fact_kpi_weekly!A154</f>
        <v>260621</v>
      </c>
      <c r="B154" s="21">
        <f>fact_kpi_weekly!B154</f>
        <v>46194</v>
      </c>
      <c r="C154" s="9" t="str">
        <f>fact_kpi_weekly!C154</f>
        <v>Contracted Lives</v>
      </c>
      <c r="D154" s="9" t="str">
        <f>fact_kpi_weekly!D154</f>
        <v>Eligible Forecast - Total Cumulative</v>
      </c>
      <c r="E154" s="9" t="str">
        <f>fact_kpi_weekly!E154</f>
        <v>Actual</v>
      </c>
      <c r="F154" s="9" t="str">
        <f>IF(fact_kpi_weekly!F154="","",fact_kpi_weekly!F154)</f>
        <v/>
      </c>
      <c r="G154" s="9" t="str">
        <f>fact_kpi_weekly!G154</f>
        <v>Total</v>
      </c>
      <c r="H154" s="9" t="str">
        <f>fact_kpi_weekly!H154</f>
        <v>John / Sheila</v>
      </c>
      <c r="I154" s="9">
        <f>fact_kpi_weekly!I154</f>
        <v>0</v>
      </c>
      <c r="J154" s="22">
        <f>fact_kpi_weekly!J154</f>
        <v>0</v>
      </c>
      <c r="K154" s="20" t="str">
        <f t="array" ref="K154">IFERROR(INDEX(dim_date!H:H,MATCH(A154,dim_date!A:A,0)),"")</f>
        <v>Jun</v>
      </c>
      <c r="L154" s="20" t="str">
        <f t="array" ref="L154">IFERROR(INDEX(dim_date!G:G,MATCH(A154,dim_date!A:A,0)),"")</f>
        <v>06</v>
      </c>
      <c r="M154" s="9" t="str">
        <f t="array" ref="M154">IFERROR(INDEX(dim_date!I:I,MATCH(A154,dim_date!A:A,0)),"")</f>
        <v>Q2</v>
      </c>
      <c r="N154" s="20" t="str">
        <f t="array" ref="N154">IFERROR(INDEX(dim_date!K:K,MATCH(A154,dim_date!A:A,0)),"")</f>
        <v>26</v>
      </c>
      <c r="O154" s="9" t="str">
        <f t="array" ref="O154">IFERROR(INDEX(dim_date!F:F,MATCH(A154,dim_date!A:A,0)),"")</f>
        <v>6/21-6/27</v>
      </c>
      <c r="P154" s="9" t="str">
        <f t="array" ref="P154">IFERROR(INDEX(dim_kpi!E:E,MATCH(D154,dim_kpi!C:C,0)),"")</f>
        <v>count</v>
      </c>
      <c r="Q154" s="9" t="str">
        <f t="array" ref="Q154">IFERROR(INDEX(dim_kpi!F:F,MATCH(D154,dim_kpi!C:C,0)),"")</f>
        <v>Y</v>
      </c>
    </row>
    <row r="155" ht="12.75" customHeight="1">
      <c r="A155" s="20" t="str">
        <f>fact_kpi_weekly!A155</f>
        <v>260628</v>
      </c>
      <c r="B155" s="21">
        <f>fact_kpi_weekly!B155</f>
        <v>46201</v>
      </c>
      <c r="C155" s="9" t="str">
        <f>fact_kpi_weekly!C155</f>
        <v>Contracted Lives</v>
      </c>
      <c r="D155" s="9" t="str">
        <f>fact_kpi_weekly!D155</f>
        <v>Eligible Forecast - Total Cumulative</v>
      </c>
      <c r="E155" s="9" t="str">
        <f>fact_kpi_weekly!E155</f>
        <v>Actual</v>
      </c>
      <c r="F155" s="9" t="str">
        <f>IF(fact_kpi_weekly!F155="","",fact_kpi_weekly!F155)</f>
        <v/>
      </c>
      <c r="G155" s="9" t="str">
        <f>fact_kpi_weekly!G155</f>
        <v>Total</v>
      </c>
      <c r="H155" s="9" t="str">
        <f>fact_kpi_weekly!H155</f>
        <v>John / Sheila</v>
      </c>
      <c r="I155" s="9">
        <f>fact_kpi_weekly!I155</f>
        <v>0</v>
      </c>
      <c r="J155" s="22">
        <f>fact_kpi_weekly!J155</f>
        <v>0</v>
      </c>
      <c r="K155" s="20" t="str">
        <f t="array" ref="K155">IFERROR(INDEX(dim_date!H:H,MATCH(A155,dim_date!A:A,0)),"")</f>
        <v>Jun</v>
      </c>
      <c r="L155" s="20" t="str">
        <f t="array" ref="L155">IFERROR(INDEX(dim_date!G:G,MATCH(A155,dim_date!A:A,0)),"")</f>
        <v>06</v>
      </c>
      <c r="M155" s="9" t="str">
        <f t="array" ref="M155">IFERROR(INDEX(dim_date!I:I,MATCH(A155,dim_date!A:A,0)),"")</f>
        <v>Q2</v>
      </c>
      <c r="N155" s="20" t="str">
        <f t="array" ref="N155">IFERROR(INDEX(dim_date!K:K,MATCH(A155,dim_date!A:A,0)),"")</f>
        <v>27</v>
      </c>
      <c r="O155" s="9" t="str">
        <f t="array" ref="O155">IFERROR(INDEX(dim_date!F:F,MATCH(A155,dim_date!A:A,0)),"")</f>
        <v>6/28-7/4</v>
      </c>
      <c r="P155" s="9" t="str">
        <f t="array" ref="P155">IFERROR(INDEX(dim_kpi!E:E,MATCH(D155,dim_kpi!C:C,0)),"")</f>
        <v>count</v>
      </c>
      <c r="Q155" s="9" t="str">
        <f t="array" ref="Q155">IFERROR(INDEX(dim_kpi!F:F,MATCH(D155,dim_kpi!C:C,0)),"")</f>
        <v>Y</v>
      </c>
    </row>
    <row r="156" ht="12.75" customHeight="1">
      <c r="A156" s="20" t="str">
        <f>fact_kpi_weekly!A156</f>
        <v>260705</v>
      </c>
      <c r="B156" s="21">
        <f>fact_kpi_weekly!B156</f>
        <v>46208</v>
      </c>
      <c r="C156" s="9" t="str">
        <f>fact_kpi_weekly!C156</f>
        <v>Contracted Lives</v>
      </c>
      <c r="D156" s="9" t="str">
        <f>fact_kpi_weekly!D156</f>
        <v>Eligible Forecast - Total Cumulative</v>
      </c>
      <c r="E156" s="9" t="str">
        <f>fact_kpi_weekly!E156</f>
        <v>Actual</v>
      </c>
      <c r="F156" s="9" t="str">
        <f>IF(fact_kpi_weekly!F156="","",fact_kpi_weekly!F156)</f>
        <v/>
      </c>
      <c r="G156" s="9" t="str">
        <f>fact_kpi_weekly!G156</f>
        <v>Total</v>
      </c>
      <c r="H156" s="9" t="str">
        <f>fact_kpi_weekly!H156</f>
        <v>John / Sheila</v>
      </c>
      <c r="I156" s="9">
        <f>fact_kpi_weekly!I156</f>
        <v>0</v>
      </c>
      <c r="J156" s="22">
        <f>fact_kpi_weekly!J156</f>
        <v>0</v>
      </c>
      <c r="K156" s="20" t="str">
        <f t="array" ref="K156">IFERROR(INDEX(dim_date!H:H,MATCH(A156,dim_date!A:A,0)),"")</f>
        <v>Jul</v>
      </c>
      <c r="L156" s="20" t="str">
        <f t="array" ref="L156">IFERROR(INDEX(dim_date!G:G,MATCH(A156,dim_date!A:A,0)),"")</f>
        <v>07</v>
      </c>
      <c r="M156" s="9" t="str">
        <f t="array" ref="M156">IFERROR(INDEX(dim_date!I:I,MATCH(A156,dim_date!A:A,0)),"")</f>
        <v>Q3</v>
      </c>
      <c r="N156" s="20" t="str">
        <f t="array" ref="N156">IFERROR(INDEX(dim_date!K:K,MATCH(A156,dim_date!A:A,0)),"")</f>
        <v>28</v>
      </c>
      <c r="O156" s="9" t="str">
        <f t="array" ref="O156">IFERROR(INDEX(dim_date!F:F,MATCH(A156,dim_date!A:A,0)),"")</f>
        <v>7/5-7/11</v>
      </c>
      <c r="P156" s="9" t="str">
        <f t="array" ref="P156">IFERROR(INDEX(dim_kpi!E:E,MATCH(D156,dim_kpi!C:C,0)),"")</f>
        <v>count</v>
      </c>
      <c r="Q156" s="9" t="str">
        <f t="array" ref="Q156">IFERROR(INDEX(dim_kpi!F:F,MATCH(D156,dim_kpi!C:C,0)),"")</f>
        <v>Y</v>
      </c>
    </row>
    <row r="157" ht="12.75" customHeight="1">
      <c r="A157" s="20" t="str">
        <f>fact_kpi_weekly!A157</f>
        <v>260712</v>
      </c>
      <c r="B157" s="21">
        <f>fact_kpi_weekly!B157</f>
        <v>46215</v>
      </c>
      <c r="C157" s="9" t="str">
        <f>fact_kpi_weekly!C157</f>
        <v>Contracted Lives</v>
      </c>
      <c r="D157" s="9" t="str">
        <f>fact_kpi_weekly!D157</f>
        <v>Eligible Forecast - Total Cumulative</v>
      </c>
      <c r="E157" s="9" t="str">
        <f>fact_kpi_weekly!E157</f>
        <v>Actual</v>
      </c>
      <c r="F157" s="9" t="str">
        <f>IF(fact_kpi_weekly!F157="","",fact_kpi_weekly!F157)</f>
        <v/>
      </c>
      <c r="G157" s="9" t="str">
        <f>fact_kpi_weekly!G157</f>
        <v>Total</v>
      </c>
      <c r="H157" s="9" t="str">
        <f>fact_kpi_weekly!H157</f>
        <v>John / Sheila</v>
      </c>
      <c r="I157" s="9">
        <f>fact_kpi_weekly!I157</f>
        <v>0</v>
      </c>
      <c r="J157" s="22">
        <f>fact_kpi_weekly!J157</f>
        <v>0</v>
      </c>
      <c r="K157" s="20" t="str">
        <f t="array" ref="K157">IFERROR(INDEX(dim_date!H:H,MATCH(A157,dim_date!A:A,0)),"")</f>
        <v>Jul</v>
      </c>
      <c r="L157" s="20" t="str">
        <f t="array" ref="L157">IFERROR(INDEX(dim_date!G:G,MATCH(A157,dim_date!A:A,0)),"")</f>
        <v>07</v>
      </c>
      <c r="M157" s="9" t="str">
        <f t="array" ref="M157">IFERROR(INDEX(dim_date!I:I,MATCH(A157,dim_date!A:A,0)),"")</f>
        <v>Q3</v>
      </c>
      <c r="N157" s="20" t="str">
        <f t="array" ref="N157">IFERROR(INDEX(dim_date!K:K,MATCH(A157,dim_date!A:A,0)),"")</f>
        <v>29</v>
      </c>
      <c r="O157" s="9" t="str">
        <f t="array" ref="O157">IFERROR(INDEX(dim_date!F:F,MATCH(A157,dim_date!A:A,0)),"")</f>
        <v>7/12-7/18</v>
      </c>
      <c r="P157" s="9" t="str">
        <f t="array" ref="P157">IFERROR(INDEX(dim_kpi!E:E,MATCH(D157,dim_kpi!C:C,0)),"")</f>
        <v>count</v>
      </c>
      <c r="Q157" s="9" t="str">
        <f t="array" ref="Q157">IFERROR(INDEX(dim_kpi!F:F,MATCH(D157,dim_kpi!C:C,0)),"")</f>
        <v>Y</v>
      </c>
    </row>
    <row r="158" ht="12.75" customHeight="1">
      <c r="A158" s="20" t="str">
        <f>fact_kpi_weekly!A158</f>
        <v>260719</v>
      </c>
      <c r="B158" s="21">
        <f>fact_kpi_weekly!B158</f>
        <v>46222</v>
      </c>
      <c r="C158" s="9" t="str">
        <f>fact_kpi_weekly!C158</f>
        <v>Contracted Lives</v>
      </c>
      <c r="D158" s="9" t="str">
        <f>fact_kpi_weekly!D158</f>
        <v>Eligible Forecast - Total Cumulative</v>
      </c>
      <c r="E158" s="9" t="str">
        <f>fact_kpi_weekly!E158</f>
        <v>Actual</v>
      </c>
      <c r="F158" s="9" t="str">
        <f>IF(fact_kpi_weekly!F158="","",fact_kpi_weekly!F158)</f>
        <v/>
      </c>
      <c r="G158" s="9" t="str">
        <f>fact_kpi_weekly!G158</f>
        <v>Total</v>
      </c>
      <c r="H158" s="9" t="str">
        <f>fact_kpi_weekly!H158</f>
        <v>John / Sheila</v>
      </c>
      <c r="I158" s="9">
        <f>fact_kpi_weekly!I158</f>
        <v>0</v>
      </c>
      <c r="J158" s="22">
        <f>fact_kpi_weekly!J158</f>
        <v>0</v>
      </c>
      <c r="K158" s="20" t="str">
        <f t="array" ref="K158">IFERROR(INDEX(dim_date!H:H,MATCH(A158,dim_date!A:A,0)),"")</f>
        <v>Jul</v>
      </c>
      <c r="L158" s="20" t="str">
        <f t="array" ref="L158">IFERROR(INDEX(dim_date!G:G,MATCH(A158,dim_date!A:A,0)),"")</f>
        <v>07</v>
      </c>
      <c r="M158" s="9" t="str">
        <f t="array" ref="M158">IFERROR(INDEX(dim_date!I:I,MATCH(A158,dim_date!A:A,0)),"")</f>
        <v>Q3</v>
      </c>
      <c r="N158" s="20" t="str">
        <f t="array" ref="N158">IFERROR(INDEX(dim_date!K:K,MATCH(A158,dim_date!A:A,0)),"")</f>
        <v>30</v>
      </c>
      <c r="O158" s="9" t="str">
        <f t="array" ref="O158">IFERROR(INDEX(dim_date!F:F,MATCH(A158,dim_date!A:A,0)),"")</f>
        <v>7/19-7/25</v>
      </c>
      <c r="P158" s="9" t="str">
        <f t="array" ref="P158">IFERROR(INDEX(dim_kpi!E:E,MATCH(D158,dim_kpi!C:C,0)),"")</f>
        <v>count</v>
      </c>
      <c r="Q158" s="9" t="str">
        <f t="array" ref="Q158">IFERROR(INDEX(dim_kpi!F:F,MATCH(D158,dim_kpi!C:C,0)),"")</f>
        <v>Y</v>
      </c>
    </row>
    <row r="159" ht="12.75" customHeight="1">
      <c r="A159" s="20" t="str">
        <f>fact_kpi_weekly!A159</f>
        <v>260726</v>
      </c>
      <c r="B159" s="21">
        <f>fact_kpi_weekly!B159</f>
        <v>46229</v>
      </c>
      <c r="C159" s="9" t="str">
        <f>fact_kpi_weekly!C159</f>
        <v>Contracted Lives</v>
      </c>
      <c r="D159" s="9" t="str">
        <f>fact_kpi_weekly!D159</f>
        <v>Eligible Forecast - Total Cumulative</v>
      </c>
      <c r="E159" s="9" t="str">
        <f>fact_kpi_weekly!E159</f>
        <v>Actual</v>
      </c>
      <c r="F159" s="9" t="str">
        <f>IF(fact_kpi_weekly!F159="","",fact_kpi_weekly!F159)</f>
        <v/>
      </c>
      <c r="G159" s="9" t="str">
        <f>fact_kpi_weekly!G159</f>
        <v>Total</v>
      </c>
      <c r="H159" s="9" t="str">
        <f>fact_kpi_weekly!H159</f>
        <v>John / Sheila</v>
      </c>
      <c r="I159" s="9">
        <f>fact_kpi_weekly!I159</f>
        <v>0</v>
      </c>
      <c r="J159" s="22">
        <f>fact_kpi_weekly!J159</f>
        <v>0</v>
      </c>
      <c r="K159" s="20" t="str">
        <f t="array" ref="K159">IFERROR(INDEX(dim_date!H:H,MATCH(A159,dim_date!A:A,0)),"")</f>
        <v>Jul</v>
      </c>
      <c r="L159" s="20" t="str">
        <f t="array" ref="L159">IFERROR(INDEX(dim_date!G:G,MATCH(A159,dim_date!A:A,0)),"")</f>
        <v>07</v>
      </c>
      <c r="M159" s="9" t="str">
        <f t="array" ref="M159">IFERROR(INDEX(dim_date!I:I,MATCH(A159,dim_date!A:A,0)),"")</f>
        <v>Q3</v>
      </c>
      <c r="N159" s="20" t="str">
        <f t="array" ref="N159">IFERROR(INDEX(dim_date!K:K,MATCH(A159,dim_date!A:A,0)),"")</f>
        <v>31</v>
      </c>
      <c r="O159" s="9" t="str">
        <f t="array" ref="O159">IFERROR(INDEX(dim_date!F:F,MATCH(A159,dim_date!A:A,0)),"")</f>
        <v>7/26-8/1</v>
      </c>
      <c r="P159" s="9" t="str">
        <f t="array" ref="P159">IFERROR(INDEX(dim_kpi!E:E,MATCH(D159,dim_kpi!C:C,0)),"")</f>
        <v>count</v>
      </c>
      <c r="Q159" s="9" t="str">
        <f t="array" ref="Q159">IFERROR(INDEX(dim_kpi!F:F,MATCH(D159,dim_kpi!C:C,0)),"")</f>
        <v>Y</v>
      </c>
    </row>
    <row r="160" ht="12.75" customHeight="1">
      <c r="A160" s="20" t="str">
        <f>fact_kpi_weekly!A160</f>
        <v>260802</v>
      </c>
      <c r="B160" s="21">
        <f>fact_kpi_weekly!B160</f>
        <v>46236</v>
      </c>
      <c r="C160" s="9" t="str">
        <f>fact_kpi_weekly!C160</f>
        <v>Contracted Lives</v>
      </c>
      <c r="D160" s="9" t="str">
        <f>fact_kpi_weekly!D160</f>
        <v>Eligible Forecast - Total Cumulative</v>
      </c>
      <c r="E160" s="9" t="str">
        <f>fact_kpi_weekly!E160</f>
        <v>Actual</v>
      </c>
      <c r="F160" s="9" t="str">
        <f>IF(fact_kpi_weekly!F160="","",fact_kpi_weekly!F160)</f>
        <v/>
      </c>
      <c r="G160" s="9" t="str">
        <f>fact_kpi_weekly!G160</f>
        <v>Total</v>
      </c>
      <c r="H160" s="9" t="str">
        <f>fact_kpi_weekly!H160</f>
        <v>John / Sheila</v>
      </c>
      <c r="I160" s="9">
        <f>fact_kpi_weekly!I160</f>
        <v>0</v>
      </c>
      <c r="J160" s="22">
        <f>fact_kpi_weekly!J160</f>
        <v>0</v>
      </c>
      <c r="K160" s="20" t="str">
        <f t="array" ref="K160">IFERROR(INDEX(dim_date!H:H,MATCH(A160,dim_date!A:A,0)),"")</f>
        <v>Aug</v>
      </c>
      <c r="L160" s="20" t="str">
        <f t="array" ref="L160">IFERROR(INDEX(dim_date!G:G,MATCH(A160,dim_date!A:A,0)),"")</f>
        <v>08</v>
      </c>
      <c r="M160" s="9" t="str">
        <f t="array" ref="M160">IFERROR(INDEX(dim_date!I:I,MATCH(A160,dim_date!A:A,0)),"")</f>
        <v>Q3</v>
      </c>
      <c r="N160" s="20" t="str">
        <f t="array" ref="N160">IFERROR(INDEX(dim_date!K:K,MATCH(A160,dim_date!A:A,0)),"")</f>
        <v>32</v>
      </c>
      <c r="O160" s="9" t="str">
        <f t="array" ref="O160">IFERROR(INDEX(dim_date!F:F,MATCH(A160,dim_date!A:A,0)),"")</f>
        <v>8/2-8/8</v>
      </c>
      <c r="P160" s="9" t="str">
        <f t="array" ref="P160">IFERROR(INDEX(dim_kpi!E:E,MATCH(D160,dim_kpi!C:C,0)),"")</f>
        <v>count</v>
      </c>
      <c r="Q160" s="9" t="str">
        <f t="array" ref="Q160">IFERROR(INDEX(dim_kpi!F:F,MATCH(D160,dim_kpi!C:C,0)),"")</f>
        <v>Y</v>
      </c>
    </row>
    <row r="161" ht="12.75" customHeight="1">
      <c r="A161" s="20" t="str">
        <f>fact_kpi_weekly!A161</f>
        <v>260809</v>
      </c>
      <c r="B161" s="21">
        <f>fact_kpi_weekly!B161</f>
        <v>46243</v>
      </c>
      <c r="C161" s="9" t="str">
        <f>fact_kpi_weekly!C161</f>
        <v>Contracted Lives</v>
      </c>
      <c r="D161" s="9" t="str">
        <f>fact_kpi_weekly!D161</f>
        <v>Eligible Forecast - Total Cumulative</v>
      </c>
      <c r="E161" s="9" t="str">
        <f>fact_kpi_weekly!E161</f>
        <v>Actual</v>
      </c>
      <c r="F161" s="9" t="str">
        <f>IF(fact_kpi_weekly!F161="","",fact_kpi_weekly!F161)</f>
        <v/>
      </c>
      <c r="G161" s="9" t="str">
        <f>fact_kpi_weekly!G161</f>
        <v>Total</v>
      </c>
      <c r="H161" s="9" t="str">
        <f>fact_kpi_weekly!H161</f>
        <v>John / Sheila</v>
      </c>
      <c r="I161" s="9">
        <f>fact_kpi_weekly!I161</f>
        <v>0</v>
      </c>
      <c r="J161" s="22">
        <f>fact_kpi_weekly!J161</f>
        <v>0</v>
      </c>
      <c r="K161" s="20" t="str">
        <f t="array" ref="K161">IFERROR(INDEX(dim_date!H:H,MATCH(A161,dim_date!A:A,0)),"")</f>
        <v>Aug</v>
      </c>
      <c r="L161" s="20" t="str">
        <f t="array" ref="L161">IFERROR(INDEX(dim_date!G:G,MATCH(A161,dim_date!A:A,0)),"")</f>
        <v>08</v>
      </c>
      <c r="M161" s="9" t="str">
        <f t="array" ref="M161">IFERROR(INDEX(dim_date!I:I,MATCH(A161,dim_date!A:A,0)),"")</f>
        <v>Q3</v>
      </c>
      <c r="N161" s="20" t="str">
        <f t="array" ref="N161">IFERROR(INDEX(dim_date!K:K,MATCH(A161,dim_date!A:A,0)),"")</f>
        <v>33</v>
      </c>
      <c r="O161" s="9" t="str">
        <f t="array" ref="O161">IFERROR(INDEX(dim_date!F:F,MATCH(A161,dim_date!A:A,0)),"")</f>
        <v>8/9-8/15</v>
      </c>
      <c r="P161" s="9" t="str">
        <f t="array" ref="P161">IFERROR(INDEX(dim_kpi!E:E,MATCH(D161,dim_kpi!C:C,0)),"")</f>
        <v>count</v>
      </c>
      <c r="Q161" s="9" t="str">
        <f t="array" ref="Q161">IFERROR(INDEX(dim_kpi!F:F,MATCH(D161,dim_kpi!C:C,0)),"")</f>
        <v>Y</v>
      </c>
    </row>
    <row r="162" ht="12.75" customHeight="1">
      <c r="A162" s="20" t="str">
        <f>fact_kpi_weekly!A162</f>
        <v>260816</v>
      </c>
      <c r="B162" s="21">
        <f>fact_kpi_weekly!B162</f>
        <v>46250</v>
      </c>
      <c r="C162" s="9" t="str">
        <f>fact_kpi_weekly!C162</f>
        <v>Contracted Lives</v>
      </c>
      <c r="D162" s="9" t="str">
        <f>fact_kpi_weekly!D162</f>
        <v>Eligible Forecast - Total Cumulative</v>
      </c>
      <c r="E162" s="9" t="str">
        <f>fact_kpi_weekly!E162</f>
        <v>Actual</v>
      </c>
      <c r="F162" s="9" t="str">
        <f>IF(fact_kpi_weekly!F162="","",fact_kpi_weekly!F162)</f>
        <v/>
      </c>
      <c r="G162" s="9" t="str">
        <f>fact_kpi_weekly!G162</f>
        <v>Total</v>
      </c>
      <c r="H162" s="9" t="str">
        <f>fact_kpi_weekly!H162</f>
        <v>John / Sheila</v>
      </c>
      <c r="I162" s="9">
        <f>fact_kpi_weekly!I162</f>
        <v>0</v>
      </c>
      <c r="J162" s="22">
        <f>fact_kpi_weekly!J162</f>
        <v>0</v>
      </c>
      <c r="K162" s="20" t="str">
        <f t="array" ref="K162">IFERROR(INDEX(dim_date!H:H,MATCH(A162,dim_date!A:A,0)),"")</f>
        <v>Aug</v>
      </c>
      <c r="L162" s="20" t="str">
        <f t="array" ref="L162">IFERROR(INDEX(dim_date!G:G,MATCH(A162,dim_date!A:A,0)),"")</f>
        <v>08</v>
      </c>
      <c r="M162" s="9" t="str">
        <f t="array" ref="M162">IFERROR(INDEX(dim_date!I:I,MATCH(A162,dim_date!A:A,0)),"")</f>
        <v>Q3</v>
      </c>
      <c r="N162" s="20" t="str">
        <f t="array" ref="N162">IFERROR(INDEX(dim_date!K:K,MATCH(A162,dim_date!A:A,0)),"")</f>
        <v>34</v>
      </c>
      <c r="O162" s="9" t="str">
        <f t="array" ref="O162">IFERROR(INDEX(dim_date!F:F,MATCH(A162,dim_date!A:A,0)),"")</f>
        <v>8/16-8/22</v>
      </c>
      <c r="P162" s="9" t="str">
        <f t="array" ref="P162">IFERROR(INDEX(dim_kpi!E:E,MATCH(D162,dim_kpi!C:C,0)),"")</f>
        <v>count</v>
      </c>
      <c r="Q162" s="9" t="str">
        <f t="array" ref="Q162">IFERROR(INDEX(dim_kpi!F:F,MATCH(D162,dim_kpi!C:C,0)),"")</f>
        <v>Y</v>
      </c>
    </row>
    <row r="163" ht="12.75" customHeight="1">
      <c r="A163" s="20" t="str">
        <f>fact_kpi_weekly!A163</f>
        <v>260823</v>
      </c>
      <c r="B163" s="21">
        <f>fact_kpi_weekly!B163</f>
        <v>46257</v>
      </c>
      <c r="C163" s="9" t="str">
        <f>fact_kpi_weekly!C163</f>
        <v>Contracted Lives</v>
      </c>
      <c r="D163" s="9" t="str">
        <f>fact_kpi_weekly!D163</f>
        <v>Eligible Forecast - Total Cumulative</v>
      </c>
      <c r="E163" s="9" t="str">
        <f>fact_kpi_weekly!E163</f>
        <v>Actual</v>
      </c>
      <c r="F163" s="9" t="str">
        <f>IF(fact_kpi_weekly!F163="","",fact_kpi_weekly!F163)</f>
        <v/>
      </c>
      <c r="G163" s="9" t="str">
        <f>fact_kpi_weekly!G163</f>
        <v>Total</v>
      </c>
      <c r="H163" s="9" t="str">
        <f>fact_kpi_weekly!H163</f>
        <v>John / Sheila</v>
      </c>
      <c r="I163" s="9">
        <f>fact_kpi_weekly!I163</f>
        <v>0</v>
      </c>
      <c r="J163" s="22">
        <f>fact_kpi_weekly!J163</f>
        <v>0</v>
      </c>
      <c r="K163" s="20" t="str">
        <f t="array" ref="K163">IFERROR(INDEX(dim_date!H:H,MATCH(A163,dim_date!A:A,0)),"")</f>
        <v>Aug</v>
      </c>
      <c r="L163" s="20" t="str">
        <f t="array" ref="L163">IFERROR(INDEX(dim_date!G:G,MATCH(A163,dim_date!A:A,0)),"")</f>
        <v>08</v>
      </c>
      <c r="M163" s="9" t="str">
        <f t="array" ref="M163">IFERROR(INDEX(dim_date!I:I,MATCH(A163,dim_date!A:A,0)),"")</f>
        <v>Q3</v>
      </c>
      <c r="N163" s="20" t="str">
        <f t="array" ref="N163">IFERROR(INDEX(dim_date!K:K,MATCH(A163,dim_date!A:A,0)),"")</f>
        <v>35</v>
      </c>
      <c r="O163" s="9" t="str">
        <f t="array" ref="O163">IFERROR(INDEX(dim_date!F:F,MATCH(A163,dim_date!A:A,0)),"")</f>
        <v>8/23-8/29</v>
      </c>
      <c r="P163" s="9" t="str">
        <f t="array" ref="P163">IFERROR(INDEX(dim_kpi!E:E,MATCH(D163,dim_kpi!C:C,0)),"")</f>
        <v>count</v>
      </c>
      <c r="Q163" s="9" t="str">
        <f t="array" ref="Q163">IFERROR(INDEX(dim_kpi!F:F,MATCH(D163,dim_kpi!C:C,0)),"")</f>
        <v>Y</v>
      </c>
    </row>
    <row r="164" ht="12.75" customHeight="1">
      <c r="A164" s="20" t="str">
        <f>fact_kpi_weekly!A164</f>
        <v>260830</v>
      </c>
      <c r="B164" s="21">
        <f>fact_kpi_weekly!B164</f>
        <v>46264</v>
      </c>
      <c r="C164" s="9" t="str">
        <f>fact_kpi_weekly!C164</f>
        <v>Contracted Lives</v>
      </c>
      <c r="D164" s="9" t="str">
        <f>fact_kpi_weekly!D164</f>
        <v>Eligible Forecast - Total Cumulative</v>
      </c>
      <c r="E164" s="9" t="str">
        <f>fact_kpi_weekly!E164</f>
        <v>Actual</v>
      </c>
      <c r="F164" s="9" t="str">
        <f>IF(fact_kpi_weekly!F164="","",fact_kpi_weekly!F164)</f>
        <v/>
      </c>
      <c r="G164" s="9" t="str">
        <f>fact_kpi_weekly!G164</f>
        <v>Total</v>
      </c>
      <c r="H164" s="9" t="str">
        <f>fact_kpi_weekly!H164</f>
        <v>John / Sheila</v>
      </c>
      <c r="I164" s="9">
        <f>fact_kpi_weekly!I164</f>
        <v>0</v>
      </c>
      <c r="J164" s="22">
        <f>fact_kpi_weekly!J164</f>
        <v>0</v>
      </c>
      <c r="K164" s="20" t="str">
        <f t="array" ref="K164">IFERROR(INDEX(dim_date!H:H,MATCH(A164,dim_date!A:A,0)),"")</f>
        <v>Aug</v>
      </c>
      <c r="L164" s="20" t="str">
        <f t="array" ref="L164">IFERROR(INDEX(dim_date!G:G,MATCH(A164,dim_date!A:A,0)),"")</f>
        <v>08</v>
      </c>
      <c r="M164" s="9" t="str">
        <f t="array" ref="M164">IFERROR(INDEX(dim_date!I:I,MATCH(A164,dim_date!A:A,0)),"")</f>
        <v>Q3</v>
      </c>
      <c r="N164" s="20" t="str">
        <f t="array" ref="N164">IFERROR(INDEX(dim_date!K:K,MATCH(A164,dim_date!A:A,0)),"")</f>
        <v>36</v>
      </c>
      <c r="O164" s="9" t="str">
        <f t="array" ref="O164">IFERROR(INDEX(dim_date!F:F,MATCH(A164,dim_date!A:A,0)),"")</f>
        <v>8/30-9/5</v>
      </c>
      <c r="P164" s="9" t="str">
        <f t="array" ref="P164">IFERROR(INDEX(dim_kpi!E:E,MATCH(D164,dim_kpi!C:C,0)),"")</f>
        <v>count</v>
      </c>
      <c r="Q164" s="9" t="str">
        <f t="array" ref="Q164">IFERROR(INDEX(dim_kpi!F:F,MATCH(D164,dim_kpi!C:C,0)),"")</f>
        <v>Y</v>
      </c>
    </row>
    <row r="165" ht="12.75" customHeight="1">
      <c r="A165" s="20" t="str">
        <f>fact_kpi_weekly!A165</f>
        <v>260906</v>
      </c>
      <c r="B165" s="21">
        <f>fact_kpi_weekly!B165</f>
        <v>46271</v>
      </c>
      <c r="C165" s="9" t="str">
        <f>fact_kpi_weekly!C165</f>
        <v>Contracted Lives</v>
      </c>
      <c r="D165" s="9" t="str">
        <f>fact_kpi_weekly!D165</f>
        <v>Eligible Forecast - Total Cumulative</v>
      </c>
      <c r="E165" s="9" t="str">
        <f>fact_kpi_weekly!E165</f>
        <v>Actual</v>
      </c>
      <c r="F165" s="9" t="str">
        <f>IF(fact_kpi_weekly!F165="","",fact_kpi_weekly!F165)</f>
        <v/>
      </c>
      <c r="G165" s="9" t="str">
        <f>fact_kpi_weekly!G165</f>
        <v>Total</v>
      </c>
      <c r="H165" s="9" t="str">
        <f>fact_kpi_weekly!H165</f>
        <v>John / Sheila</v>
      </c>
      <c r="I165" s="9">
        <f>fact_kpi_weekly!I165</f>
        <v>0</v>
      </c>
      <c r="J165" s="22">
        <f>fact_kpi_weekly!J165</f>
        <v>0</v>
      </c>
      <c r="K165" s="20" t="str">
        <f t="array" ref="K165">IFERROR(INDEX(dim_date!H:H,MATCH(A165,dim_date!A:A,0)),"")</f>
        <v>Sep</v>
      </c>
      <c r="L165" s="20" t="str">
        <f t="array" ref="L165">IFERROR(INDEX(dim_date!G:G,MATCH(A165,dim_date!A:A,0)),"")</f>
        <v>09</v>
      </c>
      <c r="M165" s="9" t="str">
        <f t="array" ref="M165">IFERROR(INDEX(dim_date!I:I,MATCH(A165,dim_date!A:A,0)),"")</f>
        <v>Q3</v>
      </c>
      <c r="N165" s="20" t="str">
        <f t="array" ref="N165">IFERROR(INDEX(dim_date!K:K,MATCH(A165,dim_date!A:A,0)),"")</f>
        <v>37</v>
      </c>
      <c r="O165" s="9" t="str">
        <f t="array" ref="O165">IFERROR(INDEX(dim_date!F:F,MATCH(A165,dim_date!A:A,0)),"")</f>
        <v>9/6-9/12</v>
      </c>
      <c r="P165" s="9" t="str">
        <f t="array" ref="P165">IFERROR(INDEX(dim_kpi!E:E,MATCH(D165,dim_kpi!C:C,0)),"")</f>
        <v>count</v>
      </c>
      <c r="Q165" s="9" t="str">
        <f t="array" ref="Q165">IFERROR(INDEX(dim_kpi!F:F,MATCH(D165,dim_kpi!C:C,0)),"")</f>
        <v>Y</v>
      </c>
    </row>
    <row r="166" ht="12.75" customHeight="1">
      <c r="A166" s="20" t="str">
        <f>fact_kpi_weekly!A166</f>
        <v>260913</v>
      </c>
      <c r="B166" s="21">
        <f>fact_kpi_weekly!B166</f>
        <v>46278</v>
      </c>
      <c r="C166" s="9" t="str">
        <f>fact_kpi_weekly!C166</f>
        <v>Contracted Lives</v>
      </c>
      <c r="D166" s="9" t="str">
        <f>fact_kpi_weekly!D166</f>
        <v>Eligible Forecast - Total Cumulative</v>
      </c>
      <c r="E166" s="9" t="str">
        <f>fact_kpi_weekly!E166</f>
        <v>Actual</v>
      </c>
      <c r="F166" s="9" t="str">
        <f>IF(fact_kpi_weekly!F166="","",fact_kpi_weekly!F166)</f>
        <v/>
      </c>
      <c r="G166" s="9" t="str">
        <f>fact_kpi_weekly!G166</f>
        <v>Total</v>
      </c>
      <c r="H166" s="9" t="str">
        <f>fact_kpi_weekly!H166</f>
        <v>John / Sheila</v>
      </c>
      <c r="I166" s="9">
        <f>fact_kpi_weekly!I166</f>
        <v>0</v>
      </c>
      <c r="J166" s="22">
        <f>fact_kpi_weekly!J166</f>
        <v>0</v>
      </c>
      <c r="K166" s="20" t="str">
        <f t="array" ref="K166">IFERROR(INDEX(dim_date!H:H,MATCH(A166,dim_date!A:A,0)),"")</f>
        <v>Sep</v>
      </c>
      <c r="L166" s="20" t="str">
        <f t="array" ref="L166">IFERROR(INDEX(dim_date!G:G,MATCH(A166,dim_date!A:A,0)),"")</f>
        <v>09</v>
      </c>
      <c r="M166" s="9" t="str">
        <f t="array" ref="M166">IFERROR(INDEX(dim_date!I:I,MATCH(A166,dim_date!A:A,0)),"")</f>
        <v>Q3</v>
      </c>
      <c r="N166" s="20" t="str">
        <f t="array" ref="N166">IFERROR(INDEX(dim_date!K:K,MATCH(A166,dim_date!A:A,0)),"")</f>
        <v>38</v>
      </c>
      <c r="O166" s="9" t="str">
        <f t="array" ref="O166">IFERROR(INDEX(dim_date!F:F,MATCH(A166,dim_date!A:A,0)),"")</f>
        <v>9/13-9/19</v>
      </c>
      <c r="P166" s="9" t="str">
        <f t="array" ref="P166">IFERROR(INDEX(dim_kpi!E:E,MATCH(D166,dim_kpi!C:C,0)),"")</f>
        <v>count</v>
      </c>
      <c r="Q166" s="9" t="str">
        <f t="array" ref="Q166">IFERROR(INDEX(dim_kpi!F:F,MATCH(D166,dim_kpi!C:C,0)),"")</f>
        <v>Y</v>
      </c>
    </row>
    <row r="167" ht="12.75" customHeight="1">
      <c r="A167" s="20" t="str">
        <f>fact_kpi_weekly!A167</f>
        <v>260920</v>
      </c>
      <c r="B167" s="21">
        <f>fact_kpi_weekly!B167</f>
        <v>46285</v>
      </c>
      <c r="C167" s="9" t="str">
        <f>fact_kpi_weekly!C167</f>
        <v>Contracted Lives</v>
      </c>
      <c r="D167" s="9" t="str">
        <f>fact_kpi_weekly!D167</f>
        <v>Eligible Forecast - Total Cumulative</v>
      </c>
      <c r="E167" s="9" t="str">
        <f>fact_kpi_weekly!E167</f>
        <v>Actual</v>
      </c>
      <c r="F167" s="9" t="str">
        <f>IF(fact_kpi_weekly!F167="","",fact_kpi_weekly!F167)</f>
        <v/>
      </c>
      <c r="G167" s="9" t="str">
        <f>fact_kpi_weekly!G167</f>
        <v>Total</v>
      </c>
      <c r="H167" s="9" t="str">
        <f>fact_kpi_weekly!H167</f>
        <v>John / Sheila</v>
      </c>
      <c r="I167" s="9">
        <f>fact_kpi_weekly!I167</f>
        <v>0</v>
      </c>
      <c r="J167" s="22">
        <f>fact_kpi_weekly!J167</f>
        <v>0</v>
      </c>
      <c r="K167" s="20" t="str">
        <f t="array" ref="K167">IFERROR(INDEX(dim_date!H:H,MATCH(A167,dim_date!A:A,0)),"")</f>
        <v>Sep</v>
      </c>
      <c r="L167" s="20" t="str">
        <f t="array" ref="L167">IFERROR(INDEX(dim_date!G:G,MATCH(A167,dim_date!A:A,0)),"")</f>
        <v>09</v>
      </c>
      <c r="M167" s="9" t="str">
        <f t="array" ref="M167">IFERROR(INDEX(dim_date!I:I,MATCH(A167,dim_date!A:A,0)),"")</f>
        <v>Q3</v>
      </c>
      <c r="N167" s="20" t="str">
        <f t="array" ref="N167">IFERROR(INDEX(dim_date!K:K,MATCH(A167,dim_date!A:A,0)),"")</f>
        <v>39</v>
      </c>
      <c r="O167" s="9" t="str">
        <f t="array" ref="O167">IFERROR(INDEX(dim_date!F:F,MATCH(A167,dim_date!A:A,0)),"")</f>
        <v>9/20-9/26</v>
      </c>
      <c r="P167" s="9" t="str">
        <f t="array" ref="P167">IFERROR(INDEX(dim_kpi!E:E,MATCH(D167,dim_kpi!C:C,0)),"")</f>
        <v>count</v>
      </c>
      <c r="Q167" s="9" t="str">
        <f t="array" ref="Q167">IFERROR(INDEX(dim_kpi!F:F,MATCH(D167,dim_kpi!C:C,0)),"")</f>
        <v>Y</v>
      </c>
    </row>
    <row r="168" ht="12.75" customHeight="1">
      <c r="A168" s="20" t="str">
        <f>fact_kpi_weekly!A168</f>
        <v>260927</v>
      </c>
      <c r="B168" s="21">
        <f>fact_kpi_weekly!B168</f>
        <v>46292</v>
      </c>
      <c r="C168" s="9" t="str">
        <f>fact_kpi_weekly!C168</f>
        <v>Contracted Lives</v>
      </c>
      <c r="D168" s="9" t="str">
        <f>fact_kpi_weekly!D168</f>
        <v>Eligible Forecast - Total Cumulative</v>
      </c>
      <c r="E168" s="9" t="str">
        <f>fact_kpi_weekly!E168</f>
        <v>Actual</v>
      </c>
      <c r="F168" s="9" t="str">
        <f>IF(fact_kpi_weekly!F168="","",fact_kpi_weekly!F168)</f>
        <v/>
      </c>
      <c r="G168" s="9" t="str">
        <f>fact_kpi_weekly!G168</f>
        <v>Total</v>
      </c>
      <c r="H168" s="9" t="str">
        <f>fact_kpi_weekly!H168</f>
        <v>John / Sheila</v>
      </c>
      <c r="I168" s="9">
        <f>fact_kpi_weekly!I168</f>
        <v>0</v>
      </c>
      <c r="J168" s="22">
        <f>fact_kpi_weekly!J168</f>
        <v>0</v>
      </c>
      <c r="K168" s="20" t="str">
        <f t="array" ref="K168">IFERROR(INDEX(dim_date!H:H,MATCH(A168,dim_date!A:A,0)),"")</f>
        <v>Sep</v>
      </c>
      <c r="L168" s="20" t="str">
        <f t="array" ref="L168">IFERROR(INDEX(dim_date!G:G,MATCH(A168,dim_date!A:A,0)),"")</f>
        <v>09</v>
      </c>
      <c r="M168" s="9" t="str">
        <f t="array" ref="M168">IFERROR(INDEX(dim_date!I:I,MATCH(A168,dim_date!A:A,0)),"")</f>
        <v>Q3</v>
      </c>
      <c r="N168" s="20" t="str">
        <f t="array" ref="N168">IFERROR(INDEX(dim_date!K:K,MATCH(A168,dim_date!A:A,0)),"")</f>
        <v>40</v>
      </c>
      <c r="O168" s="9" t="str">
        <f t="array" ref="O168">IFERROR(INDEX(dim_date!F:F,MATCH(A168,dim_date!A:A,0)),"")</f>
        <v>9/27-10/3</v>
      </c>
      <c r="P168" s="9" t="str">
        <f t="array" ref="P168">IFERROR(INDEX(dim_kpi!E:E,MATCH(D168,dim_kpi!C:C,0)),"")</f>
        <v>count</v>
      </c>
      <c r="Q168" s="9" t="str">
        <f t="array" ref="Q168">IFERROR(INDEX(dim_kpi!F:F,MATCH(D168,dim_kpi!C:C,0)),"")</f>
        <v>Y</v>
      </c>
    </row>
    <row r="169" ht="12.75" customHeight="1">
      <c r="A169" s="20" t="str">
        <f>fact_kpi_weekly!A169</f>
        <v>261004</v>
      </c>
      <c r="B169" s="21">
        <f>fact_kpi_weekly!B169</f>
        <v>46299</v>
      </c>
      <c r="C169" s="9" t="str">
        <f>fact_kpi_weekly!C169</f>
        <v>Contracted Lives</v>
      </c>
      <c r="D169" s="9" t="str">
        <f>fact_kpi_weekly!D169</f>
        <v>Eligible Forecast - Total Cumulative</v>
      </c>
      <c r="E169" s="9" t="str">
        <f>fact_kpi_weekly!E169</f>
        <v>Actual</v>
      </c>
      <c r="F169" s="9" t="str">
        <f>IF(fact_kpi_weekly!F169="","",fact_kpi_weekly!F169)</f>
        <v/>
      </c>
      <c r="G169" s="9" t="str">
        <f>fact_kpi_weekly!G169</f>
        <v>Total</v>
      </c>
      <c r="H169" s="9" t="str">
        <f>fact_kpi_weekly!H169</f>
        <v>John / Sheila</v>
      </c>
      <c r="I169" s="9">
        <f>fact_kpi_weekly!I169</f>
        <v>0</v>
      </c>
      <c r="J169" s="22">
        <f>fact_kpi_weekly!J169</f>
        <v>0</v>
      </c>
      <c r="K169" s="20" t="str">
        <f t="array" ref="K169">IFERROR(INDEX(dim_date!H:H,MATCH(A169,dim_date!A:A,0)),"")</f>
        <v>Oct</v>
      </c>
      <c r="L169" s="20" t="str">
        <f t="array" ref="L169">IFERROR(INDEX(dim_date!G:G,MATCH(A169,dim_date!A:A,0)),"")</f>
        <v>10</v>
      </c>
      <c r="M169" s="9" t="str">
        <f t="array" ref="M169">IFERROR(INDEX(dim_date!I:I,MATCH(A169,dim_date!A:A,0)),"")</f>
        <v>Q4</v>
      </c>
      <c r="N169" s="20" t="str">
        <f t="array" ref="N169">IFERROR(INDEX(dim_date!K:K,MATCH(A169,dim_date!A:A,0)),"")</f>
        <v>41</v>
      </c>
      <c r="O169" s="9" t="str">
        <f t="array" ref="O169">IFERROR(INDEX(dim_date!F:F,MATCH(A169,dim_date!A:A,0)),"")</f>
        <v>10/4-10/10</v>
      </c>
      <c r="P169" s="9" t="str">
        <f t="array" ref="P169">IFERROR(INDEX(dim_kpi!E:E,MATCH(D169,dim_kpi!C:C,0)),"")</f>
        <v>count</v>
      </c>
      <c r="Q169" s="9" t="str">
        <f t="array" ref="Q169">IFERROR(INDEX(dim_kpi!F:F,MATCH(D169,dim_kpi!C:C,0)),"")</f>
        <v>Y</v>
      </c>
    </row>
    <row r="170" ht="12.75" customHeight="1">
      <c r="A170" s="20" t="str">
        <f>fact_kpi_weekly!A170</f>
        <v>261011</v>
      </c>
      <c r="B170" s="21">
        <f>fact_kpi_weekly!B170</f>
        <v>46306</v>
      </c>
      <c r="C170" s="9" t="str">
        <f>fact_kpi_weekly!C170</f>
        <v>Contracted Lives</v>
      </c>
      <c r="D170" s="9" t="str">
        <f>fact_kpi_weekly!D170</f>
        <v>Eligible Forecast - Total Cumulative</v>
      </c>
      <c r="E170" s="9" t="str">
        <f>fact_kpi_weekly!E170</f>
        <v>Actual</v>
      </c>
      <c r="F170" s="9" t="str">
        <f>IF(fact_kpi_weekly!F170="","",fact_kpi_weekly!F170)</f>
        <v/>
      </c>
      <c r="G170" s="9" t="str">
        <f>fact_kpi_weekly!G170</f>
        <v>Total</v>
      </c>
      <c r="H170" s="9" t="str">
        <f>fact_kpi_weekly!H170</f>
        <v>John / Sheila</v>
      </c>
      <c r="I170" s="9">
        <f>fact_kpi_weekly!I170</f>
        <v>0</v>
      </c>
      <c r="J170" s="22">
        <f>fact_kpi_weekly!J170</f>
        <v>0</v>
      </c>
      <c r="K170" s="20" t="str">
        <f t="array" ref="K170">IFERROR(INDEX(dim_date!H:H,MATCH(A170,dim_date!A:A,0)),"")</f>
        <v>Oct</v>
      </c>
      <c r="L170" s="20" t="str">
        <f t="array" ref="L170">IFERROR(INDEX(dim_date!G:G,MATCH(A170,dim_date!A:A,0)),"")</f>
        <v>10</v>
      </c>
      <c r="M170" s="9" t="str">
        <f t="array" ref="M170">IFERROR(INDEX(dim_date!I:I,MATCH(A170,dim_date!A:A,0)),"")</f>
        <v>Q4</v>
      </c>
      <c r="N170" s="20" t="str">
        <f t="array" ref="N170">IFERROR(INDEX(dim_date!K:K,MATCH(A170,dim_date!A:A,0)),"")</f>
        <v>42</v>
      </c>
      <c r="O170" s="9" t="str">
        <f t="array" ref="O170">IFERROR(INDEX(dim_date!F:F,MATCH(A170,dim_date!A:A,0)),"")</f>
        <v>10/11-10/17</v>
      </c>
      <c r="P170" s="9" t="str">
        <f t="array" ref="P170">IFERROR(INDEX(dim_kpi!E:E,MATCH(D170,dim_kpi!C:C,0)),"")</f>
        <v>count</v>
      </c>
      <c r="Q170" s="9" t="str">
        <f t="array" ref="Q170">IFERROR(INDEX(dim_kpi!F:F,MATCH(D170,dim_kpi!C:C,0)),"")</f>
        <v>Y</v>
      </c>
    </row>
    <row r="171" ht="12.75" customHeight="1">
      <c r="A171" s="20" t="str">
        <f>fact_kpi_weekly!A171</f>
        <v>261018</v>
      </c>
      <c r="B171" s="21">
        <f>fact_kpi_weekly!B171</f>
        <v>46313</v>
      </c>
      <c r="C171" s="9" t="str">
        <f>fact_kpi_weekly!C171</f>
        <v>Contracted Lives</v>
      </c>
      <c r="D171" s="9" t="str">
        <f>fact_kpi_weekly!D171</f>
        <v>Eligible Forecast - Total Cumulative</v>
      </c>
      <c r="E171" s="9" t="str">
        <f>fact_kpi_weekly!E171</f>
        <v>Actual</v>
      </c>
      <c r="F171" s="9" t="str">
        <f>IF(fact_kpi_weekly!F171="","",fact_kpi_weekly!F171)</f>
        <v/>
      </c>
      <c r="G171" s="9" t="str">
        <f>fact_kpi_weekly!G171</f>
        <v>Total</v>
      </c>
      <c r="H171" s="9" t="str">
        <f>fact_kpi_weekly!H171</f>
        <v>John / Sheila</v>
      </c>
      <c r="I171" s="9">
        <f>fact_kpi_weekly!I171</f>
        <v>0</v>
      </c>
      <c r="J171" s="22">
        <f>fact_kpi_weekly!J171</f>
        <v>0</v>
      </c>
      <c r="K171" s="20" t="str">
        <f t="array" ref="K171">IFERROR(INDEX(dim_date!H:H,MATCH(A171,dim_date!A:A,0)),"")</f>
        <v>Oct</v>
      </c>
      <c r="L171" s="20" t="str">
        <f t="array" ref="L171">IFERROR(INDEX(dim_date!G:G,MATCH(A171,dim_date!A:A,0)),"")</f>
        <v>10</v>
      </c>
      <c r="M171" s="9" t="str">
        <f t="array" ref="M171">IFERROR(INDEX(dim_date!I:I,MATCH(A171,dim_date!A:A,0)),"")</f>
        <v>Q4</v>
      </c>
      <c r="N171" s="20" t="str">
        <f t="array" ref="N171">IFERROR(INDEX(dim_date!K:K,MATCH(A171,dim_date!A:A,0)),"")</f>
        <v>43</v>
      </c>
      <c r="O171" s="9" t="str">
        <f t="array" ref="O171">IFERROR(INDEX(dim_date!F:F,MATCH(A171,dim_date!A:A,0)),"")</f>
        <v>10/18-10/24</v>
      </c>
      <c r="P171" s="9" t="str">
        <f t="array" ref="P171">IFERROR(INDEX(dim_kpi!E:E,MATCH(D171,dim_kpi!C:C,0)),"")</f>
        <v>count</v>
      </c>
      <c r="Q171" s="9" t="str">
        <f t="array" ref="Q171">IFERROR(INDEX(dim_kpi!F:F,MATCH(D171,dim_kpi!C:C,0)),"")</f>
        <v>Y</v>
      </c>
    </row>
    <row r="172" ht="12.75" customHeight="1">
      <c r="A172" s="20" t="str">
        <f>fact_kpi_weekly!A172</f>
        <v>261025</v>
      </c>
      <c r="B172" s="21">
        <f>fact_kpi_weekly!B172</f>
        <v>46320</v>
      </c>
      <c r="C172" s="9" t="str">
        <f>fact_kpi_weekly!C172</f>
        <v>Contracted Lives</v>
      </c>
      <c r="D172" s="9" t="str">
        <f>fact_kpi_weekly!D172</f>
        <v>Eligible Forecast - Total Cumulative</v>
      </c>
      <c r="E172" s="9" t="str">
        <f>fact_kpi_weekly!E172</f>
        <v>Actual</v>
      </c>
      <c r="F172" s="9" t="str">
        <f>IF(fact_kpi_weekly!F172="","",fact_kpi_weekly!F172)</f>
        <v/>
      </c>
      <c r="G172" s="9" t="str">
        <f>fact_kpi_weekly!G172</f>
        <v>Total</v>
      </c>
      <c r="H172" s="9" t="str">
        <f>fact_kpi_weekly!H172</f>
        <v>John / Sheila</v>
      </c>
      <c r="I172" s="9">
        <f>fact_kpi_weekly!I172</f>
        <v>0</v>
      </c>
      <c r="J172" s="22">
        <f>fact_kpi_weekly!J172</f>
        <v>0</v>
      </c>
      <c r="K172" s="20" t="str">
        <f t="array" ref="K172">IFERROR(INDEX(dim_date!H:H,MATCH(A172,dim_date!A:A,0)),"")</f>
        <v>Oct</v>
      </c>
      <c r="L172" s="20" t="str">
        <f t="array" ref="L172">IFERROR(INDEX(dim_date!G:G,MATCH(A172,dim_date!A:A,0)),"")</f>
        <v>10</v>
      </c>
      <c r="M172" s="9" t="str">
        <f t="array" ref="M172">IFERROR(INDEX(dim_date!I:I,MATCH(A172,dim_date!A:A,0)),"")</f>
        <v>Q4</v>
      </c>
      <c r="N172" s="20" t="str">
        <f t="array" ref="N172">IFERROR(INDEX(dim_date!K:K,MATCH(A172,dim_date!A:A,0)),"")</f>
        <v>44</v>
      </c>
      <c r="O172" s="9" t="str">
        <f t="array" ref="O172">IFERROR(INDEX(dim_date!F:F,MATCH(A172,dim_date!A:A,0)),"")</f>
        <v>10/25-10/31</v>
      </c>
      <c r="P172" s="9" t="str">
        <f t="array" ref="P172">IFERROR(INDEX(dim_kpi!E:E,MATCH(D172,dim_kpi!C:C,0)),"")</f>
        <v>count</v>
      </c>
      <c r="Q172" s="9" t="str">
        <f t="array" ref="Q172">IFERROR(INDEX(dim_kpi!F:F,MATCH(D172,dim_kpi!C:C,0)),"")</f>
        <v>Y</v>
      </c>
    </row>
    <row r="173" ht="12.75" customHeight="1">
      <c r="A173" s="20" t="str">
        <f>fact_kpi_weekly!A173</f>
        <v>261101</v>
      </c>
      <c r="B173" s="21">
        <f>fact_kpi_weekly!B173</f>
        <v>46327</v>
      </c>
      <c r="C173" s="9" t="str">
        <f>fact_kpi_weekly!C173</f>
        <v>Contracted Lives</v>
      </c>
      <c r="D173" s="9" t="str">
        <f>fact_kpi_weekly!D173</f>
        <v>Eligible Forecast - Total Cumulative</v>
      </c>
      <c r="E173" s="9" t="str">
        <f>fact_kpi_weekly!E173</f>
        <v>Actual</v>
      </c>
      <c r="F173" s="9" t="str">
        <f>IF(fact_kpi_weekly!F173="","",fact_kpi_weekly!F173)</f>
        <v/>
      </c>
      <c r="G173" s="9" t="str">
        <f>fact_kpi_weekly!G173</f>
        <v>Total</v>
      </c>
      <c r="H173" s="9" t="str">
        <f>fact_kpi_weekly!H173</f>
        <v>John / Sheila</v>
      </c>
      <c r="I173" s="9">
        <f>fact_kpi_weekly!I173</f>
        <v>0</v>
      </c>
      <c r="J173" s="22">
        <f>fact_kpi_weekly!J173</f>
        <v>0</v>
      </c>
      <c r="K173" s="20" t="str">
        <f t="array" ref="K173">IFERROR(INDEX(dim_date!H:H,MATCH(A173,dim_date!A:A,0)),"")</f>
        <v>Nov</v>
      </c>
      <c r="L173" s="20" t="str">
        <f t="array" ref="L173">IFERROR(INDEX(dim_date!G:G,MATCH(A173,dim_date!A:A,0)),"")</f>
        <v>11</v>
      </c>
      <c r="M173" s="9" t="str">
        <f t="array" ref="M173">IFERROR(INDEX(dim_date!I:I,MATCH(A173,dim_date!A:A,0)),"")</f>
        <v>Q4</v>
      </c>
      <c r="N173" s="20" t="str">
        <f t="array" ref="N173">IFERROR(INDEX(dim_date!K:K,MATCH(A173,dim_date!A:A,0)),"")</f>
        <v>45</v>
      </c>
      <c r="O173" s="9" t="str">
        <f t="array" ref="O173">IFERROR(INDEX(dim_date!F:F,MATCH(A173,dim_date!A:A,0)),"")</f>
        <v>11/1-11/7</v>
      </c>
      <c r="P173" s="9" t="str">
        <f t="array" ref="P173">IFERROR(INDEX(dim_kpi!E:E,MATCH(D173,dim_kpi!C:C,0)),"")</f>
        <v>count</v>
      </c>
      <c r="Q173" s="9" t="str">
        <f t="array" ref="Q173">IFERROR(INDEX(dim_kpi!F:F,MATCH(D173,dim_kpi!C:C,0)),"")</f>
        <v>Y</v>
      </c>
    </row>
    <row r="174" ht="12.75" customHeight="1">
      <c r="A174" s="20" t="str">
        <f>fact_kpi_weekly!A174</f>
        <v>261108</v>
      </c>
      <c r="B174" s="21">
        <f>fact_kpi_weekly!B174</f>
        <v>46334</v>
      </c>
      <c r="C174" s="9" t="str">
        <f>fact_kpi_weekly!C174</f>
        <v>Contracted Lives</v>
      </c>
      <c r="D174" s="9" t="str">
        <f>fact_kpi_weekly!D174</f>
        <v>Eligible Forecast - Total Cumulative</v>
      </c>
      <c r="E174" s="9" t="str">
        <f>fact_kpi_weekly!E174</f>
        <v>Actual</v>
      </c>
      <c r="F174" s="9" t="str">
        <f>IF(fact_kpi_weekly!F174="","",fact_kpi_weekly!F174)</f>
        <v/>
      </c>
      <c r="G174" s="9" t="str">
        <f>fact_kpi_weekly!G174</f>
        <v>Total</v>
      </c>
      <c r="H174" s="9" t="str">
        <f>fact_kpi_weekly!H174</f>
        <v>John / Sheila</v>
      </c>
      <c r="I174" s="9">
        <f>fact_kpi_weekly!I174</f>
        <v>0</v>
      </c>
      <c r="J174" s="22">
        <f>fact_kpi_weekly!J174</f>
        <v>0</v>
      </c>
      <c r="K174" s="20" t="str">
        <f t="array" ref="K174">IFERROR(INDEX(dim_date!H:H,MATCH(A174,dim_date!A:A,0)),"")</f>
        <v>Nov</v>
      </c>
      <c r="L174" s="20" t="str">
        <f t="array" ref="L174">IFERROR(INDEX(dim_date!G:G,MATCH(A174,dim_date!A:A,0)),"")</f>
        <v>11</v>
      </c>
      <c r="M174" s="9" t="str">
        <f t="array" ref="M174">IFERROR(INDEX(dim_date!I:I,MATCH(A174,dim_date!A:A,0)),"")</f>
        <v>Q4</v>
      </c>
      <c r="N174" s="20" t="str">
        <f t="array" ref="N174">IFERROR(INDEX(dim_date!K:K,MATCH(A174,dim_date!A:A,0)),"")</f>
        <v>46</v>
      </c>
      <c r="O174" s="9" t="str">
        <f t="array" ref="O174">IFERROR(INDEX(dim_date!F:F,MATCH(A174,dim_date!A:A,0)),"")</f>
        <v>11/8-11/14</v>
      </c>
      <c r="P174" s="9" t="str">
        <f t="array" ref="P174">IFERROR(INDEX(dim_kpi!E:E,MATCH(D174,dim_kpi!C:C,0)),"")</f>
        <v>count</v>
      </c>
      <c r="Q174" s="9" t="str">
        <f t="array" ref="Q174">IFERROR(INDEX(dim_kpi!F:F,MATCH(D174,dim_kpi!C:C,0)),"")</f>
        <v>Y</v>
      </c>
    </row>
    <row r="175" ht="12.75" customHeight="1">
      <c r="A175" s="20" t="str">
        <f>fact_kpi_weekly!A175</f>
        <v>261115</v>
      </c>
      <c r="B175" s="21">
        <f>fact_kpi_weekly!B175</f>
        <v>46341</v>
      </c>
      <c r="C175" s="9" t="str">
        <f>fact_kpi_weekly!C175</f>
        <v>Contracted Lives</v>
      </c>
      <c r="D175" s="9" t="str">
        <f>fact_kpi_weekly!D175</f>
        <v>Eligible Forecast - Total Cumulative</v>
      </c>
      <c r="E175" s="9" t="str">
        <f>fact_kpi_weekly!E175</f>
        <v>Actual</v>
      </c>
      <c r="F175" s="9" t="str">
        <f>IF(fact_kpi_weekly!F175="","",fact_kpi_weekly!F175)</f>
        <v/>
      </c>
      <c r="G175" s="9" t="str">
        <f>fact_kpi_weekly!G175</f>
        <v>Total</v>
      </c>
      <c r="H175" s="9" t="str">
        <f>fact_kpi_weekly!H175</f>
        <v>John / Sheila</v>
      </c>
      <c r="I175" s="9">
        <f>fact_kpi_weekly!I175</f>
        <v>0</v>
      </c>
      <c r="J175" s="22">
        <f>fact_kpi_weekly!J175</f>
        <v>0</v>
      </c>
      <c r="K175" s="20" t="str">
        <f t="array" ref="K175">IFERROR(INDEX(dim_date!H:H,MATCH(A175,dim_date!A:A,0)),"")</f>
        <v>Nov</v>
      </c>
      <c r="L175" s="20" t="str">
        <f t="array" ref="L175">IFERROR(INDEX(dim_date!G:G,MATCH(A175,dim_date!A:A,0)),"")</f>
        <v>11</v>
      </c>
      <c r="M175" s="9" t="str">
        <f t="array" ref="M175">IFERROR(INDEX(dim_date!I:I,MATCH(A175,dim_date!A:A,0)),"")</f>
        <v>Q4</v>
      </c>
      <c r="N175" s="20" t="str">
        <f t="array" ref="N175">IFERROR(INDEX(dim_date!K:K,MATCH(A175,dim_date!A:A,0)),"")</f>
        <v>47</v>
      </c>
      <c r="O175" s="9" t="str">
        <f t="array" ref="O175">IFERROR(INDEX(dim_date!F:F,MATCH(A175,dim_date!A:A,0)),"")</f>
        <v>11/15-11/21</v>
      </c>
      <c r="P175" s="9" t="str">
        <f t="array" ref="P175">IFERROR(INDEX(dim_kpi!E:E,MATCH(D175,dim_kpi!C:C,0)),"")</f>
        <v>count</v>
      </c>
      <c r="Q175" s="9" t="str">
        <f t="array" ref="Q175">IFERROR(INDEX(dim_kpi!F:F,MATCH(D175,dim_kpi!C:C,0)),"")</f>
        <v>Y</v>
      </c>
    </row>
    <row r="176" ht="12.75" customHeight="1">
      <c r="A176" s="20" t="str">
        <f>fact_kpi_weekly!A176</f>
        <v>261122</v>
      </c>
      <c r="B176" s="21">
        <f>fact_kpi_weekly!B176</f>
        <v>46348</v>
      </c>
      <c r="C176" s="9" t="str">
        <f>fact_kpi_weekly!C176</f>
        <v>Contracted Lives</v>
      </c>
      <c r="D176" s="9" t="str">
        <f>fact_kpi_weekly!D176</f>
        <v>Eligible Forecast - Total Cumulative</v>
      </c>
      <c r="E176" s="9" t="str">
        <f>fact_kpi_weekly!E176</f>
        <v>Actual</v>
      </c>
      <c r="F176" s="9" t="str">
        <f>IF(fact_kpi_weekly!F176="","",fact_kpi_weekly!F176)</f>
        <v/>
      </c>
      <c r="G176" s="9" t="str">
        <f>fact_kpi_weekly!G176</f>
        <v>Total</v>
      </c>
      <c r="H176" s="9" t="str">
        <f>fact_kpi_weekly!H176</f>
        <v>John / Sheila</v>
      </c>
      <c r="I176" s="9">
        <f>fact_kpi_weekly!I176</f>
        <v>0</v>
      </c>
      <c r="J176" s="22">
        <f>fact_kpi_weekly!J176</f>
        <v>0</v>
      </c>
      <c r="K176" s="20" t="str">
        <f t="array" ref="K176">IFERROR(INDEX(dim_date!H:H,MATCH(A176,dim_date!A:A,0)),"")</f>
        <v>Nov</v>
      </c>
      <c r="L176" s="20" t="str">
        <f t="array" ref="L176">IFERROR(INDEX(dim_date!G:G,MATCH(A176,dim_date!A:A,0)),"")</f>
        <v>11</v>
      </c>
      <c r="M176" s="9" t="str">
        <f t="array" ref="M176">IFERROR(INDEX(dim_date!I:I,MATCH(A176,dim_date!A:A,0)),"")</f>
        <v>Q4</v>
      </c>
      <c r="N176" s="20" t="str">
        <f t="array" ref="N176">IFERROR(INDEX(dim_date!K:K,MATCH(A176,dim_date!A:A,0)),"")</f>
        <v>48</v>
      </c>
      <c r="O176" s="9" t="str">
        <f t="array" ref="O176">IFERROR(INDEX(dim_date!F:F,MATCH(A176,dim_date!A:A,0)),"")</f>
        <v>11/22-11/28</v>
      </c>
      <c r="P176" s="9" t="str">
        <f t="array" ref="P176">IFERROR(INDEX(dim_kpi!E:E,MATCH(D176,dim_kpi!C:C,0)),"")</f>
        <v>count</v>
      </c>
      <c r="Q176" s="9" t="str">
        <f t="array" ref="Q176">IFERROR(INDEX(dim_kpi!F:F,MATCH(D176,dim_kpi!C:C,0)),"")</f>
        <v>Y</v>
      </c>
    </row>
    <row r="177" ht="12.75" customHeight="1">
      <c r="A177" s="20" t="str">
        <f>fact_kpi_weekly!A177</f>
        <v>261129</v>
      </c>
      <c r="B177" s="21">
        <f>fact_kpi_weekly!B177</f>
        <v>46355</v>
      </c>
      <c r="C177" s="9" t="str">
        <f>fact_kpi_weekly!C177</f>
        <v>Contracted Lives</v>
      </c>
      <c r="D177" s="9" t="str">
        <f>fact_kpi_weekly!D177</f>
        <v>Eligible Forecast - Total Cumulative</v>
      </c>
      <c r="E177" s="9" t="str">
        <f>fact_kpi_weekly!E177</f>
        <v>Actual</v>
      </c>
      <c r="F177" s="9" t="str">
        <f>IF(fact_kpi_weekly!F177="","",fact_kpi_weekly!F177)</f>
        <v/>
      </c>
      <c r="G177" s="9" t="str">
        <f>fact_kpi_weekly!G177</f>
        <v>Total</v>
      </c>
      <c r="H177" s="9" t="str">
        <f>fact_kpi_weekly!H177</f>
        <v>John / Sheila</v>
      </c>
      <c r="I177" s="9">
        <f>fact_kpi_weekly!I177</f>
        <v>0</v>
      </c>
      <c r="J177" s="22">
        <f>fact_kpi_weekly!J177</f>
        <v>0</v>
      </c>
      <c r="K177" s="20" t="str">
        <f t="array" ref="K177">IFERROR(INDEX(dim_date!H:H,MATCH(A177,dim_date!A:A,0)),"")</f>
        <v>Nov</v>
      </c>
      <c r="L177" s="20" t="str">
        <f t="array" ref="L177">IFERROR(INDEX(dim_date!G:G,MATCH(A177,dim_date!A:A,0)),"")</f>
        <v>11</v>
      </c>
      <c r="M177" s="9" t="str">
        <f t="array" ref="M177">IFERROR(INDEX(dim_date!I:I,MATCH(A177,dim_date!A:A,0)),"")</f>
        <v>Q4</v>
      </c>
      <c r="N177" s="20" t="str">
        <f t="array" ref="N177">IFERROR(INDEX(dim_date!K:K,MATCH(A177,dim_date!A:A,0)),"")</f>
        <v>49</v>
      </c>
      <c r="O177" s="9" t="str">
        <f t="array" ref="O177">IFERROR(INDEX(dim_date!F:F,MATCH(A177,dim_date!A:A,0)),"")</f>
        <v>11/29-12/5</v>
      </c>
      <c r="P177" s="9" t="str">
        <f t="array" ref="P177">IFERROR(INDEX(dim_kpi!E:E,MATCH(D177,dim_kpi!C:C,0)),"")</f>
        <v>count</v>
      </c>
      <c r="Q177" s="9" t="str">
        <f t="array" ref="Q177">IFERROR(INDEX(dim_kpi!F:F,MATCH(D177,dim_kpi!C:C,0)),"")</f>
        <v>Y</v>
      </c>
    </row>
    <row r="178" ht="12.75" customHeight="1">
      <c r="A178" s="20" t="str">
        <f>fact_kpi_weekly!A178</f>
        <v>261206</v>
      </c>
      <c r="B178" s="21">
        <f>fact_kpi_weekly!B178</f>
        <v>46362</v>
      </c>
      <c r="C178" s="9" t="str">
        <f>fact_kpi_weekly!C178</f>
        <v>Contracted Lives</v>
      </c>
      <c r="D178" s="9" t="str">
        <f>fact_kpi_weekly!D178</f>
        <v>Eligible Forecast - Total Cumulative</v>
      </c>
      <c r="E178" s="9" t="str">
        <f>fact_kpi_weekly!E178</f>
        <v>Actual</v>
      </c>
      <c r="F178" s="9" t="str">
        <f>IF(fact_kpi_weekly!F178="","",fact_kpi_weekly!F178)</f>
        <v/>
      </c>
      <c r="G178" s="9" t="str">
        <f>fact_kpi_weekly!G178</f>
        <v>Total</v>
      </c>
      <c r="H178" s="9" t="str">
        <f>fact_kpi_weekly!H178</f>
        <v>John / Sheila</v>
      </c>
      <c r="I178" s="9">
        <f>fact_kpi_weekly!I178</f>
        <v>0</v>
      </c>
      <c r="J178" s="22">
        <f>fact_kpi_weekly!J178</f>
        <v>0</v>
      </c>
      <c r="K178" s="20" t="str">
        <f t="array" ref="K178">IFERROR(INDEX(dim_date!H:H,MATCH(A178,dim_date!A:A,0)),"")</f>
        <v>Dec</v>
      </c>
      <c r="L178" s="20" t="str">
        <f t="array" ref="L178">IFERROR(INDEX(dim_date!G:G,MATCH(A178,dim_date!A:A,0)),"")</f>
        <v>12</v>
      </c>
      <c r="M178" s="9" t="str">
        <f t="array" ref="M178">IFERROR(INDEX(dim_date!I:I,MATCH(A178,dim_date!A:A,0)),"")</f>
        <v>Q4</v>
      </c>
      <c r="N178" s="20" t="str">
        <f t="array" ref="N178">IFERROR(INDEX(dim_date!K:K,MATCH(A178,dim_date!A:A,0)),"")</f>
        <v>50</v>
      </c>
      <c r="O178" s="9" t="str">
        <f t="array" ref="O178">IFERROR(INDEX(dim_date!F:F,MATCH(A178,dim_date!A:A,0)),"")</f>
        <v>12/6-12/12</v>
      </c>
      <c r="P178" s="9" t="str">
        <f t="array" ref="P178">IFERROR(INDEX(dim_kpi!E:E,MATCH(D178,dim_kpi!C:C,0)),"")</f>
        <v>count</v>
      </c>
      <c r="Q178" s="9" t="str">
        <f t="array" ref="Q178">IFERROR(INDEX(dim_kpi!F:F,MATCH(D178,dim_kpi!C:C,0)),"")</f>
        <v>Y</v>
      </c>
    </row>
    <row r="179" ht="12.75" customHeight="1">
      <c r="A179" s="20" t="str">
        <f>fact_kpi_weekly!A179</f>
        <v>261213</v>
      </c>
      <c r="B179" s="21">
        <f>fact_kpi_weekly!B179</f>
        <v>46369</v>
      </c>
      <c r="C179" s="9" t="str">
        <f>fact_kpi_weekly!C179</f>
        <v>Contracted Lives</v>
      </c>
      <c r="D179" s="9" t="str">
        <f>fact_kpi_weekly!D179</f>
        <v>Eligible Forecast - Total Cumulative</v>
      </c>
      <c r="E179" s="9" t="str">
        <f>fact_kpi_weekly!E179</f>
        <v>Actual</v>
      </c>
      <c r="F179" s="9" t="str">
        <f>IF(fact_kpi_weekly!F179="","",fact_kpi_weekly!F179)</f>
        <v/>
      </c>
      <c r="G179" s="9" t="str">
        <f>fact_kpi_weekly!G179</f>
        <v>Total</v>
      </c>
      <c r="H179" s="9" t="str">
        <f>fact_kpi_weekly!H179</f>
        <v>John / Sheila</v>
      </c>
      <c r="I179" s="9">
        <f>fact_kpi_weekly!I179</f>
        <v>0</v>
      </c>
      <c r="J179" s="22">
        <f>fact_kpi_weekly!J179</f>
        <v>0</v>
      </c>
      <c r="K179" s="20" t="str">
        <f t="array" ref="K179">IFERROR(INDEX(dim_date!H:H,MATCH(A179,dim_date!A:A,0)),"")</f>
        <v>Dec</v>
      </c>
      <c r="L179" s="20" t="str">
        <f t="array" ref="L179">IFERROR(INDEX(dim_date!G:G,MATCH(A179,dim_date!A:A,0)),"")</f>
        <v>12</v>
      </c>
      <c r="M179" s="9" t="str">
        <f t="array" ref="M179">IFERROR(INDEX(dim_date!I:I,MATCH(A179,dim_date!A:A,0)),"")</f>
        <v>Q4</v>
      </c>
      <c r="N179" s="20" t="str">
        <f t="array" ref="N179">IFERROR(INDEX(dim_date!K:K,MATCH(A179,dim_date!A:A,0)),"")</f>
        <v>51</v>
      </c>
      <c r="O179" s="9" t="str">
        <f t="array" ref="O179">IFERROR(INDEX(dim_date!F:F,MATCH(A179,dim_date!A:A,0)),"")</f>
        <v>12/13-12/19</v>
      </c>
      <c r="P179" s="9" t="str">
        <f t="array" ref="P179">IFERROR(INDEX(dim_kpi!E:E,MATCH(D179,dim_kpi!C:C,0)),"")</f>
        <v>count</v>
      </c>
      <c r="Q179" s="9" t="str">
        <f t="array" ref="Q179">IFERROR(INDEX(dim_kpi!F:F,MATCH(D179,dim_kpi!C:C,0)),"")</f>
        <v>Y</v>
      </c>
    </row>
    <row r="180" ht="12.75" customHeight="1">
      <c r="A180" s="20" t="str">
        <f>fact_kpi_weekly!A180</f>
        <v>261220</v>
      </c>
      <c r="B180" s="21">
        <f>fact_kpi_weekly!B180</f>
        <v>46376</v>
      </c>
      <c r="C180" s="9" t="str">
        <f>fact_kpi_weekly!C180</f>
        <v>Contracted Lives</v>
      </c>
      <c r="D180" s="9" t="str">
        <f>fact_kpi_weekly!D180</f>
        <v>Eligible Forecast - Total Cumulative</v>
      </c>
      <c r="E180" s="9" t="str">
        <f>fact_kpi_weekly!E180</f>
        <v>Actual</v>
      </c>
      <c r="F180" s="9" t="str">
        <f>IF(fact_kpi_weekly!F180="","",fact_kpi_weekly!F180)</f>
        <v/>
      </c>
      <c r="G180" s="9" t="str">
        <f>fact_kpi_weekly!G180</f>
        <v>Total</v>
      </c>
      <c r="H180" s="9" t="str">
        <f>fact_kpi_weekly!H180</f>
        <v>John / Sheila</v>
      </c>
      <c r="I180" s="9">
        <f>fact_kpi_weekly!I180</f>
        <v>0</v>
      </c>
      <c r="J180" s="22">
        <f>fact_kpi_weekly!J180</f>
        <v>0</v>
      </c>
      <c r="K180" s="20" t="str">
        <f t="array" ref="K180">IFERROR(INDEX(dim_date!H:H,MATCH(A180,dim_date!A:A,0)),"")</f>
        <v>Dec</v>
      </c>
      <c r="L180" s="20" t="str">
        <f t="array" ref="L180">IFERROR(INDEX(dim_date!G:G,MATCH(A180,dim_date!A:A,0)),"")</f>
        <v>12</v>
      </c>
      <c r="M180" s="9" t="str">
        <f t="array" ref="M180">IFERROR(INDEX(dim_date!I:I,MATCH(A180,dim_date!A:A,0)),"")</f>
        <v>Q4</v>
      </c>
      <c r="N180" s="20" t="str">
        <f t="array" ref="N180">IFERROR(INDEX(dim_date!K:K,MATCH(A180,dim_date!A:A,0)),"")</f>
        <v>52</v>
      </c>
      <c r="O180" s="9" t="str">
        <f t="array" ref="O180">IFERROR(INDEX(dim_date!F:F,MATCH(A180,dim_date!A:A,0)),"")</f>
        <v>12/20-12/26</v>
      </c>
      <c r="P180" s="9" t="str">
        <f t="array" ref="P180">IFERROR(INDEX(dim_kpi!E:E,MATCH(D180,dim_kpi!C:C,0)),"")</f>
        <v>count</v>
      </c>
      <c r="Q180" s="9" t="str">
        <f t="array" ref="Q180">IFERROR(INDEX(dim_kpi!F:F,MATCH(D180,dim_kpi!C:C,0)),"")</f>
        <v>Y</v>
      </c>
    </row>
    <row r="181" ht="12.75" customHeight="1">
      <c r="A181" s="20" t="str">
        <f>fact_kpi_weekly!A181</f>
        <v>261227</v>
      </c>
      <c r="B181" s="21">
        <f>fact_kpi_weekly!B181</f>
        <v>46383</v>
      </c>
      <c r="C181" s="9" t="str">
        <f>fact_kpi_weekly!C181</f>
        <v>Contracted Lives</v>
      </c>
      <c r="D181" s="9" t="str">
        <f>fact_kpi_weekly!D181</f>
        <v>Eligible Forecast - Total Cumulative</v>
      </c>
      <c r="E181" s="9" t="str">
        <f>fact_kpi_weekly!E181</f>
        <v>Actual</v>
      </c>
      <c r="F181" s="9" t="str">
        <f>IF(fact_kpi_weekly!F181="","",fact_kpi_weekly!F181)</f>
        <v/>
      </c>
      <c r="G181" s="9" t="str">
        <f>fact_kpi_weekly!G181</f>
        <v>Total</v>
      </c>
      <c r="H181" s="9" t="str">
        <f>fact_kpi_weekly!H181</f>
        <v>John / Sheila</v>
      </c>
      <c r="I181" s="9">
        <f>fact_kpi_weekly!I181</f>
        <v>0</v>
      </c>
      <c r="J181" s="22">
        <f>fact_kpi_weekly!J181</f>
        <v>0</v>
      </c>
      <c r="K181" s="20" t="str">
        <f t="array" ref="K181">IFERROR(INDEX(dim_date!H:H,MATCH(A181,dim_date!A:A,0)),"")</f>
        <v>Dec</v>
      </c>
      <c r="L181" s="20" t="str">
        <f t="array" ref="L181">IFERROR(INDEX(dim_date!G:G,MATCH(A181,dim_date!A:A,0)),"")</f>
        <v>12</v>
      </c>
      <c r="M181" s="9" t="str">
        <f t="array" ref="M181">IFERROR(INDEX(dim_date!I:I,MATCH(A181,dim_date!A:A,0)),"")</f>
        <v>Q4</v>
      </c>
      <c r="N181" s="20" t="str">
        <f t="array" ref="N181">IFERROR(INDEX(dim_date!K:K,MATCH(A181,dim_date!A:A,0)),"")</f>
        <v>53</v>
      </c>
      <c r="O181" s="9" t="str">
        <f t="array" ref="O181">IFERROR(INDEX(dim_date!F:F,MATCH(A181,dim_date!A:A,0)),"")</f>
        <v>12/27-1/2</v>
      </c>
      <c r="P181" s="9" t="str">
        <f t="array" ref="P181">IFERROR(INDEX(dim_kpi!E:E,MATCH(D181,dim_kpi!C:C,0)),"")</f>
        <v>count</v>
      </c>
      <c r="Q181" s="9" t="str">
        <f t="array" ref="Q181">IFERROR(INDEX(dim_kpi!F:F,MATCH(D181,dim_kpi!C:C,0)),"")</f>
        <v>Y</v>
      </c>
    </row>
    <row r="182" ht="12.75" customHeight="1">
      <c r="A182" s="20" t="str">
        <f>fact_kpi_weekly!A182</f>
        <v>260301</v>
      </c>
      <c r="B182" s="21">
        <f>fact_kpi_weekly!B182</f>
        <v>46082</v>
      </c>
      <c r="C182" s="9" t="str">
        <f>fact_kpi_weekly!C182</f>
        <v>Contracted Lives</v>
      </c>
      <c r="D182" s="9" t="str">
        <f>fact_kpi_weekly!D182</f>
        <v>Eligible Forecast - New Store Cumulative</v>
      </c>
      <c r="E182" s="9" t="str">
        <f>fact_kpi_weekly!E182</f>
        <v>Forecast</v>
      </c>
      <c r="F182" s="9" t="str">
        <f>IF(fact_kpi_weekly!F182="","",fact_kpi_weekly!F182)</f>
        <v/>
      </c>
      <c r="G182" s="9" t="str">
        <f>fact_kpi_weekly!G182</f>
        <v>New Store</v>
      </c>
      <c r="H182" s="9" t="str">
        <f>fact_kpi_weekly!H182</f>
        <v>John / Sheila</v>
      </c>
      <c r="I182" s="9">
        <f>fact_kpi_weekly!I182</f>
        <v>8758</v>
      </c>
      <c r="J182" s="22">
        <f>fact_kpi_weekly!J182</f>
        <v>8758</v>
      </c>
      <c r="K182" s="20" t="str">
        <f t="array" ref="K182">IFERROR(INDEX(dim_date!H:H,MATCH(A182,dim_date!A:A,0)),"")</f>
        <v>Mar</v>
      </c>
      <c r="L182" s="20" t="str">
        <f t="array" ref="L182">IFERROR(INDEX(dim_date!G:G,MATCH(A182,dim_date!A:A,0)),"")</f>
        <v>03</v>
      </c>
      <c r="M182" s="9" t="str">
        <f t="array" ref="M182">IFERROR(INDEX(dim_date!I:I,MATCH(A182,dim_date!A:A,0)),"")</f>
        <v>Q1</v>
      </c>
      <c r="N182" s="20" t="str">
        <f t="array" ref="N182">IFERROR(INDEX(dim_date!K:K,MATCH(A182,dim_date!A:A,0)),"")</f>
        <v>10</v>
      </c>
      <c r="O182" s="9" t="str">
        <f t="array" ref="O182">IFERROR(INDEX(dim_date!F:F,MATCH(A182,dim_date!A:A,0)),"")</f>
        <v>3/1-3/7</v>
      </c>
      <c r="P182" s="9" t="str">
        <f t="array" ref="P182">IFERROR(INDEX(dim_kpi!E:E,MATCH(D182,dim_kpi!C:C,0)),"")</f>
        <v>count</v>
      </c>
      <c r="Q182" s="9" t="str">
        <f t="array" ref="Q182">IFERROR(INDEX(dim_kpi!F:F,MATCH(D182,dim_kpi!C:C,0)),"")</f>
        <v>Y</v>
      </c>
    </row>
    <row r="183" ht="12.75" customHeight="1">
      <c r="A183" s="20" t="str">
        <f>fact_kpi_weekly!A183</f>
        <v>260308</v>
      </c>
      <c r="B183" s="21">
        <f>fact_kpi_weekly!B183</f>
        <v>46089</v>
      </c>
      <c r="C183" s="9" t="str">
        <f>fact_kpi_weekly!C183</f>
        <v>Contracted Lives</v>
      </c>
      <c r="D183" s="9" t="str">
        <f>fact_kpi_weekly!D183</f>
        <v>Eligible Forecast - New Store Cumulative</v>
      </c>
      <c r="E183" s="9" t="str">
        <f>fact_kpi_weekly!E183</f>
        <v>Forecast</v>
      </c>
      <c r="F183" s="9" t="str">
        <f>IF(fact_kpi_weekly!F183="","",fact_kpi_weekly!F183)</f>
        <v/>
      </c>
      <c r="G183" s="9" t="str">
        <f>fact_kpi_weekly!G183</f>
        <v>New Store</v>
      </c>
      <c r="H183" s="9" t="str">
        <f>fact_kpi_weekly!H183</f>
        <v>John / Sheila</v>
      </c>
      <c r="I183" s="9">
        <f>fact_kpi_weekly!I183</f>
        <v>8758</v>
      </c>
      <c r="J183" s="22">
        <f>fact_kpi_weekly!J183</f>
        <v>8758</v>
      </c>
      <c r="K183" s="20" t="str">
        <f t="array" ref="K183">IFERROR(INDEX(dim_date!H:H,MATCH(A183,dim_date!A:A,0)),"")</f>
        <v>Mar</v>
      </c>
      <c r="L183" s="20" t="str">
        <f t="array" ref="L183">IFERROR(INDEX(dim_date!G:G,MATCH(A183,dim_date!A:A,0)),"")</f>
        <v>03</v>
      </c>
      <c r="M183" s="9" t="str">
        <f t="array" ref="M183">IFERROR(INDEX(dim_date!I:I,MATCH(A183,dim_date!A:A,0)),"")</f>
        <v>Q1</v>
      </c>
      <c r="N183" s="20" t="str">
        <f t="array" ref="N183">IFERROR(INDEX(dim_date!K:K,MATCH(A183,dim_date!A:A,0)),"")</f>
        <v>11</v>
      </c>
      <c r="O183" s="9" t="str">
        <f t="array" ref="O183">IFERROR(INDEX(dim_date!F:F,MATCH(A183,dim_date!A:A,0)),"")</f>
        <v>3/8-3/14</v>
      </c>
      <c r="P183" s="9" t="str">
        <f t="array" ref="P183">IFERROR(INDEX(dim_kpi!E:E,MATCH(D183,dim_kpi!C:C,0)),"")</f>
        <v>count</v>
      </c>
      <c r="Q183" s="9" t="str">
        <f t="array" ref="Q183">IFERROR(INDEX(dim_kpi!F:F,MATCH(D183,dim_kpi!C:C,0)),"")</f>
        <v>Y</v>
      </c>
    </row>
    <row r="184" ht="12.75" customHeight="1">
      <c r="A184" s="20" t="str">
        <f>fact_kpi_weekly!A184</f>
        <v>260315</v>
      </c>
      <c r="B184" s="21">
        <f>fact_kpi_weekly!B184</f>
        <v>46096</v>
      </c>
      <c r="C184" s="9" t="str">
        <f>fact_kpi_weekly!C184</f>
        <v>Contracted Lives</v>
      </c>
      <c r="D184" s="9" t="str">
        <f>fact_kpi_weekly!D184</f>
        <v>Eligible Forecast - New Store Cumulative</v>
      </c>
      <c r="E184" s="9" t="str">
        <f>fact_kpi_weekly!E184</f>
        <v>Forecast</v>
      </c>
      <c r="F184" s="9" t="str">
        <f>IF(fact_kpi_weekly!F184="","",fact_kpi_weekly!F184)</f>
        <v/>
      </c>
      <c r="G184" s="9" t="str">
        <f>fact_kpi_weekly!G184</f>
        <v>New Store</v>
      </c>
      <c r="H184" s="9" t="str">
        <f>fact_kpi_weekly!H184</f>
        <v>John / Sheila</v>
      </c>
      <c r="I184" s="9">
        <f>fact_kpi_weekly!I184</f>
        <v>8758</v>
      </c>
      <c r="J184" s="22">
        <f>fact_kpi_weekly!J184</f>
        <v>8758</v>
      </c>
      <c r="K184" s="20" t="str">
        <f t="array" ref="K184">IFERROR(INDEX(dim_date!H:H,MATCH(A184,dim_date!A:A,0)),"")</f>
        <v>Mar</v>
      </c>
      <c r="L184" s="20" t="str">
        <f t="array" ref="L184">IFERROR(INDEX(dim_date!G:G,MATCH(A184,dim_date!A:A,0)),"")</f>
        <v>03</v>
      </c>
      <c r="M184" s="9" t="str">
        <f t="array" ref="M184">IFERROR(INDEX(dim_date!I:I,MATCH(A184,dim_date!A:A,0)),"")</f>
        <v>Q1</v>
      </c>
      <c r="N184" s="20" t="str">
        <f t="array" ref="N184">IFERROR(INDEX(dim_date!K:K,MATCH(A184,dim_date!A:A,0)),"")</f>
        <v>12</v>
      </c>
      <c r="O184" s="9" t="str">
        <f t="array" ref="O184">IFERROR(INDEX(dim_date!F:F,MATCH(A184,dim_date!A:A,0)),"")</f>
        <v>3/15-3/21</v>
      </c>
      <c r="P184" s="9" t="str">
        <f t="array" ref="P184">IFERROR(INDEX(dim_kpi!E:E,MATCH(D184,dim_kpi!C:C,0)),"")</f>
        <v>count</v>
      </c>
      <c r="Q184" s="9" t="str">
        <f t="array" ref="Q184">IFERROR(INDEX(dim_kpi!F:F,MATCH(D184,dim_kpi!C:C,0)),"")</f>
        <v>Y</v>
      </c>
    </row>
    <row r="185" ht="12.75" customHeight="1">
      <c r="A185" s="20" t="str">
        <f>fact_kpi_weekly!A185</f>
        <v>260322</v>
      </c>
      <c r="B185" s="21">
        <f>fact_kpi_weekly!B185</f>
        <v>46103</v>
      </c>
      <c r="C185" s="9" t="str">
        <f>fact_kpi_weekly!C185</f>
        <v>Contracted Lives</v>
      </c>
      <c r="D185" s="9" t="str">
        <f>fact_kpi_weekly!D185</f>
        <v>Eligible Forecast - New Store Cumulative</v>
      </c>
      <c r="E185" s="9" t="str">
        <f>fact_kpi_weekly!E185</f>
        <v>Forecast</v>
      </c>
      <c r="F185" s="9" t="str">
        <f>IF(fact_kpi_weekly!F185="","",fact_kpi_weekly!F185)</f>
        <v/>
      </c>
      <c r="G185" s="9" t="str">
        <f>fact_kpi_weekly!G185</f>
        <v>New Store</v>
      </c>
      <c r="H185" s="9" t="str">
        <f>fact_kpi_weekly!H185</f>
        <v>John / Sheila</v>
      </c>
      <c r="I185" s="9">
        <f>fact_kpi_weekly!I185</f>
        <v>8758</v>
      </c>
      <c r="J185" s="22">
        <f>fact_kpi_weekly!J185</f>
        <v>8758</v>
      </c>
      <c r="K185" s="20" t="str">
        <f t="array" ref="K185">IFERROR(INDEX(dim_date!H:H,MATCH(A185,dim_date!A:A,0)),"")</f>
        <v>Mar</v>
      </c>
      <c r="L185" s="20" t="str">
        <f t="array" ref="L185">IFERROR(INDEX(dim_date!G:G,MATCH(A185,dim_date!A:A,0)),"")</f>
        <v>03</v>
      </c>
      <c r="M185" s="9" t="str">
        <f t="array" ref="M185">IFERROR(INDEX(dim_date!I:I,MATCH(A185,dim_date!A:A,0)),"")</f>
        <v>Q1</v>
      </c>
      <c r="N185" s="20" t="str">
        <f t="array" ref="N185">IFERROR(INDEX(dim_date!K:K,MATCH(A185,dim_date!A:A,0)),"")</f>
        <v>13</v>
      </c>
      <c r="O185" s="9" t="str">
        <f t="array" ref="O185">IFERROR(INDEX(dim_date!F:F,MATCH(A185,dim_date!A:A,0)),"")</f>
        <v>3/22-3/28</v>
      </c>
      <c r="P185" s="9" t="str">
        <f t="array" ref="P185">IFERROR(INDEX(dim_kpi!E:E,MATCH(D185,dim_kpi!C:C,0)),"")</f>
        <v>count</v>
      </c>
      <c r="Q185" s="9" t="str">
        <f t="array" ref="Q185">IFERROR(INDEX(dim_kpi!F:F,MATCH(D185,dim_kpi!C:C,0)),"")</f>
        <v>Y</v>
      </c>
    </row>
    <row r="186" ht="12.75" customHeight="1">
      <c r="A186" s="20" t="str">
        <f>fact_kpi_weekly!A186</f>
        <v>260329</v>
      </c>
      <c r="B186" s="21">
        <f>fact_kpi_weekly!B186</f>
        <v>46110</v>
      </c>
      <c r="C186" s="9" t="str">
        <f>fact_kpi_weekly!C186</f>
        <v>Contracted Lives</v>
      </c>
      <c r="D186" s="9" t="str">
        <f>fact_kpi_weekly!D186</f>
        <v>Eligible Forecast - New Store Cumulative</v>
      </c>
      <c r="E186" s="9" t="str">
        <f>fact_kpi_weekly!E186</f>
        <v>Forecast</v>
      </c>
      <c r="F186" s="9" t="str">
        <f>IF(fact_kpi_weekly!F186="","",fact_kpi_weekly!F186)</f>
        <v/>
      </c>
      <c r="G186" s="9" t="str">
        <f>fact_kpi_weekly!G186</f>
        <v>New Store</v>
      </c>
      <c r="H186" s="9" t="str">
        <f>fact_kpi_weekly!H186</f>
        <v>John / Sheila</v>
      </c>
      <c r="I186" s="9">
        <f>fact_kpi_weekly!I186</f>
        <v>8758</v>
      </c>
      <c r="J186" s="22">
        <f>fact_kpi_weekly!J186</f>
        <v>8758</v>
      </c>
      <c r="K186" s="20" t="str">
        <f t="array" ref="K186">IFERROR(INDEX(dim_date!H:H,MATCH(A186,dim_date!A:A,0)),"")</f>
        <v>Mar</v>
      </c>
      <c r="L186" s="20" t="str">
        <f t="array" ref="L186">IFERROR(INDEX(dim_date!G:G,MATCH(A186,dim_date!A:A,0)),"")</f>
        <v>03</v>
      </c>
      <c r="M186" s="9" t="str">
        <f t="array" ref="M186">IFERROR(INDEX(dim_date!I:I,MATCH(A186,dim_date!A:A,0)),"")</f>
        <v>Q1</v>
      </c>
      <c r="N186" s="20" t="str">
        <f t="array" ref="N186">IFERROR(INDEX(dim_date!K:K,MATCH(A186,dim_date!A:A,0)),"")</f>
        <v>14</v>
      </c>
      <c r="O186" s="9" t="str">
        <f t="array" ref="O186">IFERROR(INDEX(dim_date!F:F,MATCH(A186,dim_date!A:A,0)),"")</f>
        <v>3/29-4/4</v>
      </c>
      <c r="P186" s="9" t="str">
        <f t="array" ref="P186">IFERROR(INDEX(dim_kpi!E:E,MATCH(D186,dim_kpi!C:C,0)),"")</f>
        <v>count</v>
      </c>
      <c r="Q186" s="9" t="str">
        <f t="array" ref="Q186">IFERROR(INDEX(dim_kpi!F:F,MATCH(D186,dim_kpi!C:C,0)),"")</f>
        <v>Y</v>
      </c>
    </row>
    <row r="187" ht="12.75" customHeight="1">
      <c r="A187" s="20" t="str">
        <f>fact_kpi_weekly!A187</f>
        <v>260405</v>
      </c>
      <c r="B187" s="21">
        <f>fact_kpi_weekly!B187</f>
        <v>46117</v>
      </c>
      <c r="C187" s="9" t="str">
        <f>fact_kpi_weekly!C187</f>
        <v>Contracted Lives</v>
      </c>
      <c r="D187" s="9" t="str">
        <f>fact_kpi_weekly!D187</f>
        <v>Eligible Forecast - New Store Cumulative</v>
      </c>
      <c r="E187" s="9" t="str">
        <f>fact_kpi_weekly!E187</f>
        <v>Forecast</v>
      </c>
      <c r="F187" s="9" t="str">
        <f>IF(fact_kpi_weekly!F187="","",fact_kpi_weekly!F187)</f>
        <v/>
      </c>
      <c r="G187" s="9" t="str">
        <f>fact_kpi_weekly!G187</f>
        <v>New Store</v>
      </c>
      <c r="H187" s="9" t="str">
        <f>fact_kpi_weekly!H187</f>
        <v>John / Sheila</v>
      </c>
      <c r="I187" s="9">
        <f>fact_kpi_weekly!I187</f>
        <v>8758</v>
      </c>
      <c r="J187" s="22">
        <f>fact_kpi_weekly!J187</f>
        <v>8758</v>
      </c>
      <c r="K187" s="20" t="str">
        <f t="array" ref="K187">IFERROR(INDEX(dim_date!H:H,MATCH(A187,dim_date!A:A,0)),"")</f>
        <v>Apr</v>
      </c>
      <c r="L187" s="20" t="str">
        <f t="array" ref="L187">IFERROR(INDEX(dim_date!G:G,MATCH(A187,dim_date!A:A,0)),"")</f>
        <v>04</v>
      </c>
      <c r="M187" s="9" t="str">
        <f t="array" ref="M187">IFERROR(INDEX(dim_date!I:I,MATCH(A187,dim_date!A:A,0)),"")</f>
        <v>Q2</v>
      </c>
      <c r="N187" s="20" t="str">
        <f t="array" ref="N187">IFERROR(INDEX(dim_date!K:K,MATCH(A187,dim_date!A:A,0)),"")</f>
        <v>15</v>
      </c>
      <c r="O187" s="9" t="str">
        <f t="array" ref="O187">IFERROR(INDEX(dim_date!F:F,MATCH(A187,dim_date!A:A,0)),"")</f>
        <v>4/5-4/11</v>
      </c>
      <c r="P187" s="9" t="str">
        <f t="array" ref="P187">IFERROR(INDEX(dim_kpi!E:E,MATCH(D187,dim_kpi!C:C,0)),"")</f>
        <v>count</v>
      </c>
      <c r="Q187" s="9" t="str">
        <f t="array" ref="Q187">IFERROR(INDEX(dim_kpi!F:F,MATCH(D187,dim_kpi!C:C,0)),"")</f>
        <v>Y</v>
      </c>
    </row>
    <row r="188" ht="12.75" customHeight="1">
      <c r="A188" s="20" t="str">
        <f>fact_kpi_weekly!A188</f>
        <v>260412</v>
      </c>
      <c r="B188" s="21">
        <f>fact_kpi_weekly!B188</f>
        <v>46124</v>
      </c>
      <c r="C188" s="9" t="str">
        <f>fact_kpi_weekly!C188</f>
        <v>Contracted Lives</v>
      </c>
      <c r="D188" s="9" t="str">
        <f>fact_kpi_weekly!D188</f>
        <v>Eligible Forecast - New Store Cumulative</v>
      </c>
      <c r="E188" s="9" t="str">
        <f>fact_kpi_weekly!E188</f>
        <v>Forecast</v>
      </c>
      <c r="F188" s="9" t="str">
        <f>IF(fact_kpi_weekly!F188="","",fact_kpi_weekly!F188)</f>
        <v/>
      </c>
      <c r="G188" s="9" t="str">
        <f>fact_kpi_weekly!G188</f>
        <v>New Store</v>
      </c>
      <c r="H188" s="9" t="str">
        <f>fact_kpi_weekly!H188</f>
        <v>John / Sheila</v>
      </c>
      <c r="I188" s="9">
        <f>fact_kpi_weekly!I188</f>
        <v>8758</v>
      </c>
      <c r="J188" s="22">
        <f>fact_kpi_weekly!J188</f>
        <v>8758</v>
      </c>
      <c r="K188" s="20" t="str">
        <f t="array" ref="K188">IFERROR(INDEX(dim_date!H:H,MATCH(A188,dim_date!A:A,0)),"")</f>
        <v>Apr</v>
      </c>
      <c r="L188" s="20" t="str">
        <f t="array" ref="L188">IFERROR(INDEX(dim_date!G:G,MATCH(A188,dim_date!A:A,0)),"")</f>
        <v>04</v>
      </c>
      <c r="M188" s="9" t="str">
        <f t="array" ref="M188">IFERROR(INDEX(dim_date!I:I,MATCH(A188,dim_date!A:A,0)),"")</f>
        <v>Q2</v>
      </c>
      <c r="N188" s="20" t="str">
        <f t="array" ref="N188">IFERROR(INDEX(dim_date!K:K,MATCH(A188,dim_date!A:A,0)),"")</f>
        <v>16</v>
      </c>
      <c r="O188" s="9" t="str">
        <f t="array" ref="O188">IFERROR(INDEX(dim_date!F:F,MATCH(A188,dim_date!A:A,0)),"")</f>
        <v>4/12-4/18</v>
      </c>
      <c r="P188" s="9" t="str">
        <f t="array" ref="P188">IFERROR(INDEX(dim_kpi!E:E,MATCH(D188,dim_kpi!C:C,0)),"")</f>
        <v>count</v>
      </c>
      <c r="Q188" s="9" t="str">
        <f t="array" ref="Q188">IFERROR(INDEX(dim_kpi!F:F,MATCH(D188,dim_kpi!C:C,0)),"")</f>
        <v>Y</v>
      </c>
    </row>
    <row r="189" ht="12.75" customHeight="1">
      <c r="A189" s="20" t="str">
        <f>fact_kpi_weekly!A189</f>
        <v>260419</v>
      </c>
      <c r="B189" s="21">
        <f>fact_kpi_weekly!B189</f>
        <v>46131</v>
      </c>
      <c r="C189" s="9" t="str">
        <f>fact_kpi_weekly!C189</f>
        <v>Contracted Lives</v>
      </c>
      <c r="D189" s="9" t="str">
        <f>fact_kpi_weekly!D189</f>
        <v>Eligible Forecast - New Store Cumulative</v>
      </c>
      <c r="E189" s="9" t="str">
        <f>fact_kpi_weekly!E189</f>
        <v>Forecast</v>
      </c>
      <c r="F189" s="9" t="str">
        <f>IF(fact_kpi_weekly!F189="","",fact_kpi_weekly!F189)</f>
        <v/>
      </c>
      <c r="G189" s="9" t="str">
        <f>fact_kpi_weekly!G189</f>
        <v>New Store</v>
      </c>
      <c r="H189" s="9" t="str">
        <f>fact_kpi_weekly!H189</f>
        <v>John / Sheila</v>
      </c>
      <c r="I189" s="9">
        <f>fact_kpi_weekly!I189</f>
        <v>8758</v>
      </c>
      <c r="J189" s="22">
        <f>fact_kpi_weekly!J189</f>
        <v>8758</v>
      </c>
      <c r="K189" s="20" t="str">
        <f t="array" ref="K189">IFERROR(INDEX(dim_date!H:H,MATCH(A189,dim_date!A:A,0)),"")</f>
        <v>Apr</v>
      </c>
      <c r="L189" s="20" t="str">
        <f t="array" ref="L189">IFERROR(INDEX(dim_date!G:G,MATCH(A189,dim_date!A:A,0)),"")</f>
        <v>04</v>
      </c>
      <c r="M189" s="9" t="str">
        <f t="array" ref="M189">IFERROR(INDEX(dim_date!I:I,MATCH(A189,dim_date!A:A,0)),"")</f>
        <v>Q2</v>
      </c>
      <c r="N189" s="20" t="str">
        <f t="array" ref="N189">IFERROR(INDEX(dim_date!K:K,MATCH(A189,dim_date!A:A,0)),"")</f>
        <v>17</v>
      </c>
      <c r="O189" s="9" t="str">
        <f t="array" ref="O189">IFERROR(INDEX(dim_date!F:F,MATCH(A189,dim_date!A:A,0)),"")</f>
        <v>4/19-4/25</v>
      </c>
      <c r="P189" s="9" t="str">
        <f t="array" ref="P189">IFERROR(INDEX(dim_kpi!E:E,MATCH(D189,dim_kpi!C:C,0)),"")</f>
        <v>count</v>
      </c>
      <c r="Q189" s="9" t="str">
        <f t="array" ref="Q189">IFERROR(INDEX(dim_kpi!F:F,MATCH(D189,dim_kpi!C:C,0)),"")</f>
        <v>Y</v>
      </c>
    </row>
    <row r="190" ht="12.75" customHeight="1">
      <c r="A190" s="20" t="str">
        <f>fact_kpi_weekly!A190</f>
        <v>260426</v>
      </c>
      <c r="B190" s="21">
        <f>fact_kpi_weekly!B190</f>
        <v>46138</v>
      </c>
      <c r="C190" s="9" t="str">
        <f>fact_kpi_weekly!C190</f>
        <v>Contracted Lives</v>
      </c>
      <c r="D190" s="9" t="str">
        <f>fact_kpi_weekly!D190</f>
        <v>Eligible Forecast - New Store Cumulative</v>
      </c>
      <c r="E190" s="9" t="str">
        <f>fact_kpi_weekly!E190</f>
        <v>Forecast</v>
      </c>
      <c r="F190" s="9" t="str">
        <f>IF(fact_kpi_weekly!F190="","",fact_kpi_weekly!F190)</f>
        <v/>
      </c>
      <c r="G190" s="9" t="str">
        <f>fact_kpi_weekly!G190</f>
        <v>New Store</v>
      </c>
      <c r="H190" s="9" t="str">
        <f>fact_kpi_weekly!H190</f>
        <v>John / Sheila</v>
      </c>
      <c r="I190" s="9">
        <f>fact_kpi_weekly!I190</f>
        <v>23758</v>
      </c>
      <c r="J190" s="22">
        <f>fact_kpi_weekly!J190</f>
        <v>23758</v>
      </c>
      <c r="K190" s="20" t="str">
        <f t="array" ref="K190">IFERROR(INDEX(dim_date!H:H,MATCH(A190,dim_date!A:A,0)),"")</f>
        <v>Apr</v>
      </c>
      <c r="L190" s="20" t="str">
        <f t="array" ref="L190">IFERROR(INDEX(dim_date!G:G,MATCH(A190,dim_date!A:A,0)),"")</f>
        <v>04</v>
      </c>
      <c r="M190" s="9" t="str">
        <f t="array" ref="M190">IFERROR(INDEX(dim_date!I:I,MATCH(A190,dim_date!A:A,0)),"")</f>
        <v>Q2</v>
      </c>
      <c r="N190" s="20" t="str">
        <f t="array" ref="N190">IFERROR(INDEX(dim_date!K:K,MATCH(A190,dim_date!A:A,0)),"")</f>
        <v>18</v>
      </c>
      <c r="O190" s="9" t="str">
        <f t="array" ref="O190">IFERROR(INDEX(dim_date!F:F,MATCH(A190,dim_date!A:A,0)),"")</f>
        <v>4/26-5/2</v>
      </c>
      <c r="P190" s="9" t="str">
        <f t="array" ref="P190">IFERROR(INDEX(dim_kpi!E:E,MATCH(D190,dim_kpi!C:C,0)),"")</f>
        <v>count</v>
      </c>
      <c r="Q190" s="9" t="str">
        <f t="array" ref="Q190">IFERROR(INDEX(dim_kpi!F:F,MATCH(D190,dim_kpi!C:C,0)),"")</f>
        <v>Y</v>
      </c>
    </row>
    <row r="191" ht="12.75" customHeight="1">
      <c r="A191" s="20" t="str">
        <f>fact_kpi_weekly!A191</f>
        <v>260503</v>
      </c>
      <c r="B191" s="21">
        <f>fact_kpi_weekly!B191</f>
        <v>46145</v>
      </c>
      <c r="C191" s="9" t="str">
        <f>fact_kpi_weekly!C191</f>
        <v>Contracted Lives</v>
      </c>
      <c r="D191" s="9" t="str">
        <f>fact_kpi_weekly!D191</f>
        <v>Eligible Forecast - New Store Cumulative</v>
      </c>
      <c r="E191" s="9" t="str">
        <f>fact_kpi_weekly!E191</f>
        <v>Forecast</v>
      </c>
      <c r="F191" s="9" t="str">
        <f>IF(fact_kpi_weekly!F191="","",fact_kpi_weekly!F191)</f>
        <v/>
      </c>
      <c r="G191" s="9" t="str">
        <f>fact_kpi_weekly!G191</f>
        <v>New Store</v>
      </c>
      <c r="H191" s="9" t="str">
        <f>fact_kpi_weekly!H191</f>
        <v>John / Sheila</v>
      </c>
      <c r="I191" s="9">
        <f>fact_kpi_weekly!I191</f>
        <v>23758</v>
      </c>
      <c r="J191" s="22">
        <f>fact_kpi_weekly!J191</f>
        <v>23758</v>
      </c>
      <c r="K191" s="20" t="str">
        <f t="array" ref="K191">IFERROR(INDEX(dim_date!H:H,MATCH(A191,dim_date!A:A,0)),"")</f>
        <v>May</v>
      </c>
      <c r="L191" s="20" t="str">
        <f t="array" ref="L191">IFERROR(INDEX(dim_date!G:G,MATCH(A191,dim_date!A:A,0)),"")</f>
        <v>05</v>
      </c>
      <c r="M191" s="9" t="str">
        <f t="array" ref="M191">IFERROR(INDEX(dim_date!I:I,MATCH(A191,dim_date!A:A,0)),"")</f>
        <v>Q2</v>
      </c>
      <c r="N191" s="20" t="str">
        <f t="array" ref="N191">IFERROR(INDEX(dim_date!K:K,MATCH(A191,dim_date!A:A,0)),"")</f>
        <v>19</v>
      </c>
      <c r="O191" s="9" t="str">
        <f t="array" ref="O191">IFERROR(INDEX(dim_date!F:F,MATCH(A191,dim_date!A:A,0)),"")</f>
        <v>5/3-5/9</v>
      </c>
      <c r="P191" s="9" t="str">
        <f t="array" ref="P191">IFERROR(INDEX(dim_kpi!E:E,MATCH(D191,dim_kpi!C:C,0)),"")</f>
        <v>count</v>
      </c>
      <c r="Q191" s="9" t="str">
        <f t="array" ref="Q191">IFERROR(INDEX(dim_kpi!F:F,MATCH(D191,dim_kpi!C:C,0)),"")</f>
        <v>Y</v>
      </c>
    </row>
    <row r="192" ht="12.75" customHeight="1">
      <c r="A192" s="20" t="str">
        <f>fact_kpi_weekly!A192</f>
        <v>260510</v>
      </c>
      <c r="B192" s="21">
        <f>fact_kpi_weekly!B192</f>
        <v>46152</v>
      </c>
      <c r="C192" s="9" t="str">
        <f>fact_kpi_weekly!C192</f>
        <v>Contracted Lives</v>
      </c>
      <c r="D192" s="9" t="str">
        <f>fact_kpi_weekly!D192</f>
        <v>Eligible Forecast - New Store Cumulative</v>
      </c>
      <c r="E192" s="9" t="str">
        <f>fact_kpi_weekly!E192</f>
        <v>Forecast</v>
      </c>
      <c r="F192" s="9" t="str">
        <f>IF(fact_kpi_weekly!F192="","",fact_kpi_weekly!F192)</f>
        <v/>
      </c>
      <c r="G192" s="9" t="str">
        <f>fact_kpi_weekly!G192</f>
        <v>New Store</v>
      </c>
      <c r="H192" s="9" t="str">
        <f>fact_kpi_weekly!H192</f>
        <v>John / Sheila</v>
      </c>
      <c r="I192" s="9">
        <f>fact_kpi_weekly!I192</f>
        <v>23758</v>
      </c>
      <c r="J192" s="22">
        <f>fact_kpi_weekly!J192</f>
        <v>23758</v>
      </c>
      <c r="K192" s="20" t="str">
        <f t="array" ref="K192">IFERROR(INDEX(dim_date!H:H,MATCH(A192,dim_date!A:A,0)),"")</f>
        <v>May</v>
      </c>
      <c r="L192" s="20" t="str">
        <f t="array" ref="L192">IFERROR(INDEX(dim_date!G:G,MATCH(A192,dim_date!A:A,0)),"")</f>
        <v>05</v>
      </c>
      <c r="M192" s="9" t="str">
        <f t="array" ref="M192">IFERROR(INDEX(dim_date!I:I,MATCH(A192,dim_date!A:A,0)),"")</f>
        <v>Q2</v>
      </c>
      <c r="N192" s="20" t="str">
        <f t="array" ref="N192">IFERROR(INDEX(dim_date!K:K,MATCH(A192,dim_date!A:A,0)),"")</f>
        <v>20</v>
      </c>
      <c r="O192" s="9" t="str">
        <f t="array" ref="O192">IFERROR(INDEX(dim_date!F:F,MATCH(A192,dim_date!A:A,0)),"")</f>
        <v>5/10-5/16</v>
      </c>
      <c r="P192" s="9" t="str">
        <f t="array" ref="P192">IFERROR(INDEX(dim_kpi!E:E,MATCH(D192,dim_kpi!C:C,0)),"")</f>
        <v>count</v>
      </c>
      <c r="Q192" s="9" t="str">
        <f t="array" ref="Q192">IFERROR(INDEX(dim_kpi!F:F,MATCH(D192,dim_kpi!C:C,0)),"")</f>
        <v>Y</v>
      </c>
    </row>
    <row r="193" ht="12.75" customHeight="1">
      <c r="A193" s="20" t="str">
        <f>fact_kpi_weekly!A193</f>
        <v>260517</v>
      </c>
      <c r="B193" s="21">
        <f>fact_kpi_weekly!B193</f>
        <v>46159</v>
      </c>
      <c r="C193" s="9" t="str">
        <f>fact_kpi_weekly!C193</f>
        <v>Contracted Lives</v>
      </c>
      <c r="D193" s="9" t="str">
        <f>fact_kpi_weekly!D193</f>
        <v>Eligible Forecast - New Store Cumulative</v>
      </c>
      <c r="E193" s="9" t="str">
        <f>fact_kpi_weekly!E193</f>
        <v>Forecast</v>
      </c>
      <c r="F193" s="9" t="str">
        <f>IF(fact_kpi_weekly!F193="","",fact_kpi_weekly!F193)</f>
        <v/>
      </c>
      <c r="G193" s="9" t="str">
        <f>fact_kpi_weekly!G193</f>
        <v>New Store</v>
      </c>
      <c r="H193" s="9" t="str">
        <f>fact_kpi_weekly!H193</f>
        <v>John / Sheila</v>
      </c>
      <c r="I193" s="9">
        <f>fact_kpi_weekly!I193</f>
        <v>28758</v>
      </c>
      <c r="J193" s="22">
        <f>fact_kpi_weekly!J193</f>
        <v>28758</v>
      </c>
      <c r="K193" s="20" t="str">
        <f t="array" ref="K193">IFERROR(INDEX(dim_date!H:H,MATCH(A193,dim_date!A:A,0)),"")</f>
        <v>May</v>
      </c>
      <c r="L193" s="20" t="str">
        <f t="array" ref="L193">IFERROR(INDEX(dim_date!G:G,MATCH(A193,dim_date!A:A,0)),"")</f>
        <v>05</v>
      </c>
      <c r="M193" s="9" t="str">
        <f t="array" ref="M193">IFERROR(INDEX(dim_date!I:I,MATCH(A193,dim_date!A:A,0)),"")</f>
        <v>Q2</v>
      </c>
      <c r="N193" s="20" t="str">
        <f t="array" ref="N193">IFERROR(INDEX(dim_date!K:K,MATCH(A193,dim_date!A:A,0)),"")</f>
        <v>21</v>
      </c>
      <c r="O193" s="9" t="str">
        <f t="array" ref="O193">IFERROR(INDEX(dim_date!F:F,MATCH(A193,dim_date!A:A,0)),"")</f>
        <v>5/17-5/23</v>
      </c>
      <c r="P193" s="9" t="str">
        <f t="array" ref="P193">IFERROR(INDEX(dim_kpi!E:E,MATCH(D193,dim_kpi!C:C,0)),"")</f>
        <v>count</v>
      </c>
      <c r="Q193" s="9" t="str">
        <f t="array" ref="Q193">IFERROR(INDEX(dim_kpi!F:F,MATCH(D193,dim_kpi!C:C,0)),"")</f>
        <v>Y</v>
      </c>
    </row>
    <row r="194" ht="12.75" customHeight="1">
      <c r="A194" s="20" t="str">
        <f>fact_kpi_weekly!A194</f>
        <v>260524</v>
      </c>
      <c r="B194" s="21">
        <f>fact_kpi_weekly!B194</f>
        <v>46166</v>
      </c>
      <c r="C194" s="9" t="str">
        <f>fact_kpi_weekly!C194</f>
        <v>Contracted Lives</v>
      </c>
      <c r="D194" s="9" t="str">
        <f>fact_kpi_weekly!D194</f>
        <v>Eligible Forecast - New Store Cumulative</v>
      </c>
      <c r="E194" s="9" t="str">
        <f>fact_kpi_weekly!E194</f>
        <v>Forecast</v>
      </c>
      <c r="F194" s="9" t="str">
        <f>IF(fact_kpi_weekly!F194="","",fact_kpi_weekly!F194)</f>
        <v/>
      </c>
      <c r="G194" s="9" t="str">
        <f>fact_kpi_weekly!G194</f>
        <v>New Store</v>
      </c>
      <c r="H194" s="9" t="str">
        <f>fact_kpi_weekly!H194</f>
        <v>John / Sheila</v>
      </c>
      <c r="I194" s="9">
        <f>fact_kpi_weekly!I194</f>
        <v>28758</v>
      </c>
      <c r="J194" s="22">
        <f>fact_kpi_weekly!J194</f>
        <v>28758</v>
      </c>
      <c r="K194" s="20" t="str">
        <f t="array" ref="K194">IFERROR(INDEX(dim_date!H:H,MATCH(A194,dim_date!A:A,0)),"")</f>
        <v>May</v>
      </c>
      <c r="L194" s="20" t="str">
        <f t="array" ref="L194">IFERROR(INDEX(dim_date!G:G,MATCH(A194,dim_date!A:A,0)),"")</f>
        <v>05</v>
      </c>
      <c r="M194" s="9" t="str">
        <f t="array" ref="M194">IFERROR(INDEX(dim_date!I:I,MATCH(A194,dim_date!A:A,0)),"")</f>
        <v>Q2</v>
      </c>
      <c r="N194" s="20" t="str">
        <f t="array" ref="N194">IFERROR(INDEX(dim_date!K:K,MATCH(A194,dim_date!A:A,0)),"")</f>
        <v>22</v>
      </c>
      <c r="O194" s="9" t="str">
        <f t="array" ref="O194">IFERROR(INDEX(dim_date!F:F,MATCH(A194,dim_date!A:A,0)),"")</f>
        <v>5/24-5/30</v>
      </c>
      <c r="P194" s="9" t="str">
        <f t="array" ref="P194">IFERROR(INDEX(dim_kpi!E:E,MATCH(D194,dim_kpi!C:C,0)),"")</f>
        <v>count</v>
      </c>
      <c r="Q194" s="9" t="str">
        <f t="array" ref="Q194">IFERROR(INDEX(dim_kpi!F:F,MATCH(D194,dim_kpi!C:C,0)),"")</f>
        <v>Y</v>
      </c>
    </row>
    <row r="195" ht="12.75" customHeight="1">
      <c r="A195" s="20" t="str">
        <f>fact_kpi_weekly!A195</f>
        <v>260601</v>
      </c>
      <c r="B195" s="21">
        <f>fact_kpi_weekly!B195</f>
        <v>46174</v>
      </c>
      <c r="C195" s="9" t="str">
        <f>fact_kpi_weekly!C195</f>
        <v>Contracted Lives</v>
      </c>
      <c r="D195" s="9" t="str">
        <f>fact_kpi_weekly!D195</f>
        <v>Eligible Forecast - New Store Cumulative</v>
      </c>
      <c r="E195" s="9" t="str">
        <f>fact_kpi_weekly!E195</f>
        <v>Forecast</v>
      </c>
      <c r="F195" s="9" t="str">
        <f>IF(fact_kpi_weekly!F195="","",fact_kpi_weekly!F195)</f>
        <v/>
      </c>
      <c r="G195" s="9" t="str">
        <f>fact_kpi_weekly!G195</f>
        <v>New Store</v>
      </c>
      <c r="H195" s="9" t="str">
        <f>fact_kpi_weekly!H195</f>
        <v>John / Sheila</v>
      </c>
      <c r="I195" s="9">
        <f>fact_kpi_weekly!I195</f>
        <v>43758</v>
      </c>
      <c r="J195" s="22">
        <f>fact_kpi_weekly!J195</f>
        <v>43758</v>
      </c>
      <c r="K195" s="20" t="str">
        <f t="array" ref="K195">IFERROR(INDEX(dim_date!H:H,MATCH(A195,dim_date!A:A,0)),"")</f>
        <v>Jun</v>
      </c>
      <c r="L195" s="20" t="str">
        <f t="array" ref="L195">IFERROR(INDEX(dim_date!G:G,MATCH(A195,dim_date!A:A,0)),"")</f>
        <v>06</v>
      </c>
      <c r="M195" s="9" t="str">
        <f t="array" ref="M195">IFERROR(INDEX(dim_date!I:I,MATCH(A195,dim_date!A:A,0)),"")</f>
        <v>Q2</v>
      </c>
      <c r="N195" s="20" t="str">
        <f t="array" ref="N195">IFERROR(INDEX(dim_date!K:K,MATCH(A195,dim_date!A:A,0)),"")</f>
        <v>23</v>
      </c>
      <c r="O195" s="9" t="str">
        <f t="array" ref="O195">IFERROR(INDEX(dim_date!F:F,MATCH(A195,dim_date!A:A,0)),"")</f>
        <v>5/31-6/6</v>
      </c>
      <c r="P195" s="9" t="str">
        <f t="array" ref="P195">IFERROR(INDEX(dim_kpi!E:E,MATCH(D195,dim_kpi!C:C,0)),"")</f>
        <v>count</v>
      </c>
      <c r="Q195" s="9" t="str">
        <f t="array" ref="Q195">IFERROR(INDEX(dim_kpi!F:F,MATCH(D195,dim_kpi!C:C,0)),"")</f>
        <v>Y</v>
      </c>
    </row>
    <row r="196" ht="12.75" customHeight="1">
      <c r="A196" s="20" t="str">
        <f>fact_kpi_weekly!A196</f>
        <v>260607</v>
      </c>
      <c r="B196" s="21">
        <f>fact_kpi_weekly!B196</f>
        <v>46180</v>
      </c>
      <c r="C196" s="9" t="str">
        <f>fact_kpi_weekly!C196</f>
        <v>Contracted Lives</v>
      </c>
      <c r="D196" s="9" t="str">
        <f>fact_kpi_weekly!D196</f>
        <v>Eligible Forecast - New Store Cumulative</v>
      </c>
      <c r="E196" s="9" t="str">
        <f>fact_kpi_weekly!E196</f>
        <v>Forecast</v>
      </c>
      <c r="F196" s="9" t="str">
        <f>IF(fact_kpi_weekly!F196="","",fact_kpi_weekly!F196)</f>
        <v/>
      </c>
      <c r="G196" s="9" t="str">
        <f>fact_kpi_weekly!G196</f>
        <v>New Store</v>
      </c>
      <c r="H196" s="9" t="str">
        <f>fact_kpi_weekly!H196</f>
        <v>John / Sheila</v>
      </c>
      <c r="I196" s="9">
        <f>fact_kpi_weekly!I196</f>
        <v>43758</v>
      </c>
      <c r="J196" s="22">
        <f>fact_kpi_weekly!J196</f>
        <v>43758</v>
      </c>
      <c r="K196" s="20" t="str">
        <f t="array" ref="K196">IFERROR(INDEX(dim_date!H:H,MATCH(A196,dim_date!A:A,0)),"")</f>
        <v>Jun</v>
      </c>
      <c r="L196" s="20" t="str">
        <f t="array" ref="L196">IFERROR(INDEX(dim_date!G:G,MATCH(A196,dim_date!A:A,0)),"")</f>
        <v>06</v>
      </c>
      <c r="M196" s="9" t="str">
        <f t="array" ref="M196">IFERROR(INDEX(dim_date!I:I,MATCH(A196,dim_date!A:A,0)),"")</f>
        <v>Q2</v>
      </c>
      <c r="N196" s="20" t="str">
        <f t="array" ref="N196">IFERROR(INDEX(dim_date!K:K,MATCH(A196,dim_date!A:A,0)),"")</f>
        <v>24</v>
      </c>
      <c r="O196" s="9" t="str">
        <f t="array" ref="O196">IFERROR(INDEX(dim_date!F:F,MATCH(A196,dim_date!A:A,0)),"")</f>
        <v>6/7-6/13</v>
      </c>
      <c r="P196" s="9" t="str">
        <f t="array" ref="P196">IFERROR(INDEX(dim_kpi!E:E,MATCH(D196,dim_kpi!C:C,0)),"")</f>
        <v>count</v>
      </c>
      <c r="Q196" s="9" t="str">
        <f t="array" ref="Q196">IFERROR(INDEX(dim_kpi!F:F,MATCH(D196,dim_kpi!C:C,0)),"")</f>
        <v>Y</v>
      </c>
    </row>
    <row r="197" ht="12.75" customHeight="1">
      <c r="A197" s="20" t="str">
        <f>fact_kpi_weekly!A197</f>
        <v>260614</v>
      </c>
      <c r="B197" s="21">
        <f>fact_kpi_weekly!B197</f>
        <v>46187</v>
      </c>
      <c r="C197" s="9" t="str">
        <f>fact_kpi_weekly!C197</f>
        <v>Contracted Lives</v>
      </c>
      <c r="D197" s="9" t="str">
        <f>fact_kpi_weekly!D197</f>
        <v>Eligible Forecast - New Store Cumulative</v>
      </c>
      <c r="E197" s="9" t="str">
        <f>fact_kpi_weekly!E197</f>
        <v>Forecast</v>
      </c>
      <c r="F197" s="9" t="str">
        <f>IF(fact_kpi_weekly!F197="","",fact_kpi_weekly!F197)</f>
        <v/>
      </c>
      <c r="G197" s="9" t="str">
        <f>fact_kpi_weekly!G197</f>
        <v>New Store</v>
      </c>
      <c r="H197" s="9" t="str">
        <f>fact_kpi_weekly!H197</f>
        <v>John / Sheila</v>
      </c>
      <c r="I197" s="9">
        <f>fact_kpi_weekly!I197</f>
        <v>48758</v>
      </c>
      <c r="J197" s="22">
        <f>fact_kpi_weekly!J197</f>
        <v>48758</v>
      </c>
      <c r="K197" s="20" t="str">
        <f t="array" ref="K197">IFERROR(INDEX(dim_date!H:H,MATCH(A197,dim_date!A:A,0)),"")</f>
        <v>Jun</v>
      </c>
      <c r="L197" s="20" t="str">
        <f t="array" ref="L197">IFERROR(INDEX(dim_date!G:G,MATCH(A197,dim_date!A:A,0)),"")</f>
        <v>06</v>
      </c>
      <c r="M197" s="9" t="str">
        <f t="array" ref="M197">IFERROR(INDEX(dim_date!I:I,MATCH(A197,dim_date!A:A,0)),"")</f>
        <v>Q2</v>
      </c>
      <c r="N197" s="20" t="str">
        <f t="array" ref="N197">IFERROR(INDEX(dim_date!K:K,MATCH(A197,dim_date!A:A,0)),"")</f>
        <v>25</v>
      </c>
      <c r="O197" s="9" t="str">
        <f t="array" ref="O197">IFERROR(INDEX(dim_date!F:F,MATCH(A197,dim_date!A:A,0)),"")</f>
        <v>6/14-6/20</v>
      </c>
      <c r="P197" s="9" t="str">
        <f t="array" ref="P197">IFERROR(INDEX(dim_kpi!E:E,MATCH(D197,dim_kpi!C:C,0)),"")</f>
        <v>count</v>
      </c>
      <c r="Q197" s="9" t="str">
        <f t="array" ref="Q197">IFERROR(INDEX(dim_kpi!F:F,MATCH(D197,dim_kpi!C:C,0)),"")</f>
        <v>Y</v>
      </c>
    </row>
    <row r="198" ht="12.75" customHeight="1">
      <c r="A198" s="20" t="str">
        <f>fact_kpi_weekly!A198</f>
        <v>260621</v>
      </c>
      <c r="B198" s="21">
        <f>fact_kpi_weekly!B198</f>
        <v>46194</v>
      </c>
      <c r="C198" s="9" t="str">
        <f>fact_kpi_weekly!C198</f>
        <v>Contracted Lives</v>
      </c>
      <c r="D198" s="9" t="str">
        <f>fact_kpi_weekly!D198</f>
        <v>Eligible Forecast - New Store Cumulative</v>
      </c>
      <c r="E198" s="9" t="str">
        <f>fact_kpi_weekly!E198</f>
        <v>Forecast</v>
      </c>
      <c r="F198" s="9" t="str">
        <f>IF(fact_kpi_weekly!F198="","",fact_kpi_weekly!F198)</f>
        <v/>
      </c>
      <c r="G198" s="9" t="str">
        <f>fact_kpi_weekly!G198</f>
        <v>New Store</v>
      </c>
      <c r="H198" s="9" t="str">
        <f>fact_kpi_weekly!H198</f>
        <v>John / Sheila</v>
      </c>
      <c r="I198" s="9">
        <f>fact_kpi_weekly!I198</f>
        <v>48758</v>
      </c>
      <c r="J198" s="22">
        <f>fact_kpi_weekly!J198</f>
        <v>48758</v>
      </c>
      <c r="K198" s="20" t="str">
        <f t="array" ref="K198">IFERROR(INDEX(dim_date!H:H,MATCH(A198,dim_date!A:A,0)),"")</f>
        <v>Jun</v>
      </c>
      <c r="L198" s="20" t="str">
        <f t="array" ref="L198">IFERROR(INDEX(dim_date!G:G,MATCH(A198,dim_date!A:A,0)),"")</f>
        <v>06</v>
      </c>
      <c r="M198" s="9" t="str">
        <f t="array" ref="M198">IFERROR(INDEX(dim_date!I:I,MATCH(A198,dim_date!A:A,0)),"")</f>
        <v>Q2</v>
      </c>
      <c r="N198" s="20" t="str">
        <f t="array" ref="N198">IFERROR(INDEX(dim_date!K:K,MATCH(A198,dim_date!A:A,0)),"")</f>
        <v>26</v>
      </c>
      <c r="O198" s="9" t="str">
        <f t="array" ref="O198">IFERROR(INDEX(dim_date!F:F,MATCH(A198,dim_date!A:A,0)),"")</f>
        <v>6/21-6/27</v>
      </c>
      <c r="P198" s="9" t="str">
        <f t="array" ref="P198">IFERROR(INDEX(dim_kpi!E:E,MATCH(D198,dim_kpi!C:C,0)),"")</f>
        <v>count</v>
      </c>
      <c r="Q198" s="9" t="str">
        <f t="array" ref="Q198">IFERROR(INDEX(dim_kpi!F:F,MATCH(D198,dim_kpi!C:C,0)),"")</f>
        <v>Y</v>
      </c>
    </row>
    <row r="199" ht="12.75" customHeight="1">
      <c r="A199" s="20" t="str">
        <f>fact_kpi_weekly!A199</f>
        <v>260628</v>
      </c>
      <c r="B199" s="21">
        <f>fact_kpi_weekly!B199</f>
        <v>46201</v>
      </c>
      <c r="C199" s="9" t="str">
        <f>fact_kpi_weekly!C199</f>
        <v>Contracted Lives</v>
      </c>
      <c r="D199" s="9" t="str">
        <f>fact_kpi_weekly!D199</f>
        <v>Eligible Forecast - New Store Cumulative</v>
      </c>
      <c r="E199" s="9" t="str">
        <f>fact_kpi_weekly!E199</f>
        <v>Forecast</v>
      </c>
      <c r="F199" s="9" t="str">
        <f>IF(fact_kpi_weekly!F199="","",fact_kpi_weekly!F199)</f>
        <v/>
      </c>
      <c r="G199" s="9" t="str">
        <f>fact_kpi_weekly!G199</f>
        <v>New Store</v>
      </c>
      <c r="H199" s="9" t="str">
        <f>fact_kpi_weekly!H199</f>
        <v>John / Sheila</v>
      </c>
      <c r="I199" s="9">
        <f>fact_kpi_weekly!I199</f>
        <v>48758</v>
      </c>
      <c r="J199" s="22">
        <f>fact_kpi_weekly!J199</f>
        <v>48758</v>
      </c>
      <c r="K199" s="20" t="str">
        <f t="array" ref="K199">IFERROR(INDEX(dim_date!H:H,MATCH(A199,dim_date!A:A,0)),"")</f>
        <v>Jun</v>
      </c>
      <c r="L199" s="20" t="str">
        <f t="array" ref="L199">IFERROR(INDEX(dim_date!G:G,MATCH(A199,dim_date!A:A,0)),"")</f>
        <v>06</v>
      </c>
      <c r="M199" s="9" t="str">
        <f t="array" ref="M199">IFERROR(INDEX(dim_date!I:I,MATCH(A199,dim_date!A:A,0)),"")</f>
        <v>Q2</v>
      </c>
      <c r="N199" s="20" t="str">
        <f t="array" ref="N199">IFERROR(INDEX(dim_date!K:K,MATCH(A199,dim_date!A:A,0)),"")</f>
        <v>27</v>
      </c>
      <c r="O199" s="9" t="str">
        <f t="array" ref="O199">IFERROR(INDEX(dim_date!F:F,MATCH(A199,dim_date!A:A,0)),"")</f>
        <v>6/28-7/4</v>
      </c>
      <c r="P199" s="9" t="str">
        <f t="array" ref="P199">IFERROR(INDEX(dim_kpi!E:E,MATCH(D199,dim_kpi!C:C,0)),"")</f>
        <v>count</v>
      </c>
      <c r="Q199" s="9" t="str">
        <f t="array" ref="Q199">IFERROR(INDEX(dim_kpi!F:F,MATCH(D199,dim_kpi!C:C,0)),"")</f>
        <v>Y</v>
      </c>
    </row>
    <row r="200" ht="12.75" customHeight="1">
      <c r="A200" s="20" t="str">
        <f>fact_kpi_weekly!A200</f>
        <v>260705</v>
      </c>
      <c r="B200" s="21">
        <f>fact_kpi_weekly!B200</f>
        <v>46208</v>
      </c>
      <c r="C200" s="9" t="str">
        <f>fact_kpi_weekly!C200</f>
        <v>Contracted Lives</v>
      </c>
      <c r="D200" s="9" t="str">
        <f>fact_kpi_weekly!D200</f>
        <v>Eligible Forecast - New Store Cumulative</v>
      </c>
      <c r="E200" s="9" t="str">
        <f>fact_kpi_weekly!E200</f>
        <v>Forecast</v>
      </c>
      <c r="F200" s="9" t="str">
        <f>IF(fact_kpi_weekly!F200="","",fact_kpi_weekly!F200)</f>
        <v/>
      </c>
      <c r="G200" s="9" t="str">
        <f>fact_kpi_weekly!G200</f>
        <v>New Store</v>
      </c>
      <c r="H200" s="9" t="str">
        <f>fact_kpi_weekly!H200</f>
        <v>John / Sheila</v>
      </c>
      <c r="I200" s="9">
        <f>fact_kpi_weekly!I200</f>
        <v>48758</v>
      </c>
      <c r="J200" s="22">
        <f>fact_kpi_weekly!J200</f>
        <v>48758</v>
      </c>
      <c r="K200" s="20" t="str">
        <f t="array" ref="K200">IFERROR(INDEX(dim_date!H:H,MATCH(A200,dim_date!A:A,0)),"")</f>
        <v>Jul</v>
      </c>
      <c r="L200" s="20" t="str">
        <f t="array" ref="L200">IFERROR(INDEX(dim_date!G:G,MATCH(A200,dim_date!A:A,0)),"")</f>
        <v>07</v>
      </c>
      <c r="M200" s="9" t="str">
        <f t="array" ref="M200">IFERROR(INDEX(dim_date!I:I,MATCH(A200,dim_date!A:A,0)),"")</f>
        <v>Q3</v>
      </c>
      <c r="N200" s="20" t="str">
        <f t="array" ref="N200">IFERROR(INDEX(dim_date!K:K,MATCH(A200,dim_date!A:A,0)),"")</f>
        <v>28</v>
      </c>
      <c r="O200" s="9" t="str">
        <f t="array" ref="O200">IFERROR(INDEX(dim_date!F:F,MATCH(A200,dim_date!A:A,0)),"")</f>
        <v>7/5-7/11</v>
      </c>
      <c r="P200" s="9" t="str">
        <f t="array" ref="P200">IFERROR(INDEX(dim_kpi!E:E,MATCH(D200,dim_kpi!C:C,0)),"")</f>
        <v>count</v>
      </c>
      <c r="Q200" s="9" t="str">
        <f t="array" ref="Q200">IFERROR(INDEX(dim_kpi!F:F,MATCH(D200,dim_kpi!C:C,0)),"")</f>
        <v>Y</v>
      </c>
    </row>
    <row r="201" ht="12.75" customHeight="1">
      <c r="A201" s="20" t="str">
        <f>fact_kpi_weekly!A201</f>
        <v>260712</v>
      </c>
      <c r="B201" s="21">
        <f>fact_kpi_weekly!B201</f>
        <v>46215</v>
      </c>
      <c r="C201" s="9" t="str">
        <f>fact_kpi_weekly!C201</f>
        <v>Contracted Lives</v>
      </c>
      <c r="D201" s="9" t="str">
        <f>fact_kpi_weekly!D201</f>
        <v>Eligible Forecast - New Store Cumulative</v>
      </c>
      <c r="E201" s="9" t="str">
        <f>fact_kpi_weekly!E201</f>
        <v>Forecast</v>
      </c>
      <c r="F201" s="9" t="str">
        <f>IF(fact_kpi_weekly!F201="","",fact_kpi_weekly!F201)</f>
        <v/>
      </c>
      <c r="G201" s="9" t="str">
        <f>fact_kpi_weekly!G201</f>
        <v>New Store</v>
      </c>
      <c r="H201" s="9" t="str">
        <f>fact_kpi_weekly!H201</f>
        <v>John / Sheila</v>
      </c>
      <c r="I201" s="9">
        <f>fact_kpi_weekly!I201</f>
        <v>73758</v>
      </c>
      <c r="J201" s="22">
        <f>fact_kpi_weekly!J201</f>
        <v>73758</v>
      </c>
      <c r="K201" s="20" t="str">
        <f t="array" ref="K201">IFERROR(INDEX(dim_date!H:H,MATCH(A201,dim_date!A:A,0)),"")</f>
        <v>Jul</v>
      </c>
      <c r="L201" s="20" t="str">
        <f t="array" ref="L201">IFERROR(INDEX(dim_date!G:G,MATCH(A201,dim_date!A:A,0)),"")</f>
        <v>07</v>
      </c>
      <c r="M201" s="9" t="str">
        <f t="array" ref="M201">IFERROR(INDEX(dim_date!I:I,MATCH(A201,dim_date!A:A,0)),"")</f>
        <v>Q3</v>
      </c>
      <c r="N201" s="20" t="str">
        <f t="array" ref="N201">IFERROR(INDEX(dim_date!K:K,MATCH(A201,dim_date!A:A,0)),"")</f>
        <v>29</v>
      </c>
      <c r="O201" s="9" t="str">
        <f t="array" ref="O201">IFERROR(INDEX(dim_date!F:F,MATCH(A201,dim_date!A:A,0)),"")</f>
        <v>7/12-7/18</v>
      </c>
      <c r="P201" s="9" t="str">
        <f t="array" ref="P201">IFERROR(INDEX(dim_kpi!E:E,MATCH(D201,dim_kpi!C:C,0)),"")</f>
        <v>count</v>
      </c>
      <c r="Q201" s="9" t="str">
        <f t="array" ref="Q201">IFERROR(INDEX(dim_kpi!F:F,MATCH(D201,dim_kpi!C:C,0)),"")</f>
        <v>Y</v>
      </c>
    </row>
    <row r="202" ht="12.75" customHeight="1">
      <c r="A202" s="20" t="str">
        <f>fact_kpi_weekly!A202</f>
        <v>260719</v>
      </c>
      <c r="B202" s="21">
        <f>fact_kpi_weekly!B202</f>
        <v>46222</v>
      </c>
      <c r="C202" s="9" t="str">
        <f>fact_kpi_weekly!C202</f>
        <v>Contracted Lives</v>
      </c>
      <c r="D202" s="9" t="str">
        <f>fact_kpi_weekly!D202</f>
        <v>Eligible Forecast - New Store Cumulative</v>
      </c>
      <c r="E202" s="9" t="str">
        <f>fact_kpi_weekly!E202</f>
        <v>Forecast</v>
      </c>
      <c r="F202" s="9" t="str">
        <f>IF(fact_kpi_weekly!F202="","",fact_kpi_weekly!F202)</f>
        <v/>
      </c>
      <c r="G202" s="9" t="str">
        <f>fact_kpi_weekly!G202</f>
        <v>New Store</v>
      </c>
      <c r="H202" s="9" t="str">
        <f>fact_kpi_weekly!H202</f>
        <v>John / Sheila</v>
      </c>
      <c r="I202" s="9">
        <f>fact_kpi_weekly!I202</f>
        <v>73758</v>
      </c>
      <c r="J202" s="22">
        <f>fact_kpi_weekly!J202</f>
        <v>73758</v>
      </c>
      <c r="K202" s="20" t="str">
        <f t="array" ref="K202">IFERROR(INDEX(dim_date!H:H,MATCH(A202,dim_date!A:A,0)),"")</f>
        <v>Jul</v>
      </c>
      <c r="L202" s="20" t="str">
        <f t="array" ref="L202">IFERROR(INDEX(dim_date!G:G,MATCH(A202,dim_date!A:A,0)),"")</f>
        <v>07</v>
      </c>
      <c r="M202" s="9" t="str">
        <f t="array" ref="M202">IFERROR(INDEX(dim_date!I:I,MATCH(A202,dim_date!A:A,0)),"")</f>
        <v>Q3</v>
      </c>
      <c r="N202" s="20" t="str">
        <f t="array" ref="N202">IFERROR(INDEX(dim_date!K:K,MATCH(A202,dim_date!A:A,0)),"")</f>
        <v>30</v>
      </c>
      <c r="O202" s="9" t="str">
        <f t="array" ref="O202">IFERROR(INDEX(dim_date!F:F,MATCH(A202,dim_date!A:A,0)),"")</f>
        <v>7/19-7/25</v>
      </c>
      <c r="P202" s="9" t="str">
        <f t="array" ref="P202">IFERROR(INDEX(dim_kpi!E:E,MATCH(D202,dim_kpi!C:C,0)),"")</f>
        <v>count</v>
      </c>
      <c r="Q202" s="9" t="str">
        <f t="array" ref="Q202">IFERROR(INDEX(dim_kpi!F:F,MATCH(D202,dim_kpi!C:C,0)),"")</f>
        <v>Y</v>
      </c>
    </row>
    <row r="203" ht="12.75" customHeight="1">
      <c r="A203" s="20" t="str">
        <f>fact_kpi_weekly!A203</f>
        <v>260726</v>
      </c>
      <c r="B203" s="21">
        <f>fact_kpi_weekly!B203</f>
        <v>46229</v>
      </c>
      <c r="C203" s="9" t="str">
        <f>fact_kpi_weekly!C203</f>
        <v>Contracted Lives</v>
      </c>
      <c r="D203" s="9" t="str">
        <f>fact_kpi_weekly!D203</f>
        <v>Eligible Forecast - New Store Cumulative</v>
      </c>
      <c r="E203" s="9" t="str">
        <f>fact_kpi_weekly!E203</f>
        <v>Forecast</v>
      </c>
      <c r="F203" s="9" t="str">
        <f>IF(fact_kpi_weekly!F203="","",fact_kpi_weekly!F203)</f>
        <v/>
      </c>
      <c r="G203" s="9" t="str">
        <f>fact_kpi_weekly!G203</f>
        <v>New Store</v>
      </c>
      <c r="H203" s="9" t="str">
        <f>fact_kpi_weekly!H203</f>
        <v>John / Sheila</v>
      </c>
      <c r="I203" s="9">
        <f>fact_kpi_weekly!I203</f>
        <v>78758</v>
      </c>
      <c r="J203" s="22">
        <f>fact_kpi_weekly!J203</f>
        <v>78758</v>
      </c>
      <c r="K203" s="20" t="str">
        <f t="array" ref="K203">IFERROR(INDEX(dim_date!H:H,MATCH(A203,dim_date!A:A,0)),"")</f>
        <v>Jul</v>
      </c>
      <c r="L203" s="20" t="str">
        <f t="array" ref="L203">IFERROR(INDEX(dim_date!G:G,MATCH(A203,dim_date!A:A,0)),"")</f>
        <v>07</v>
      </c>
      <c r="M203" s="9" t="str">
        <f t="array" ref="M203">IFERROR(INDEX(dim_date!I:I,MATCH(A203,dim_date!A:A,0)),"")</f>
        <v>Q3</v>
      </c>
      <c r="N203" s="20" t="str">
        <f t="array" ref="N203">IFERROR(INDEX(dim_date!K:K,MATCH(A203,dim_date!A:A,0)),"")</f>
        <v>31</v>
      </c>
      <c r="O203" s="9" t="str">
        <f t="array" ref="O203">IFERROR(INDEX(dim_date!F:F,MATCH(A203,dim_date!A:A,0)),"")</f>
        <v>7/26-8/1</v>
      </c>
      <c r="P203" s="9" t="str">
        <f t="array" ref="P203">IFERROR(INDEX(dim_kpi!E:E,MATCH(D203,dim_kpi!C:C,0)),"")</f>
        <v>count</v>
      </c>
      <c r="Q203" s="9" t="str">
        <f t="array" ref="Q203">IFERROR(INDEX(dim_kpi!F:F,MATCH(D203,dim_kpi!C:C,0)),"")</f>
        <v>Y</v>
      </c>
    </row>
    <row r="204" ht="12.75" customHeight="1">
      <c r="A204" s="20" t="str">
        <f>fact_kpi_weekly!A204</f>
        <v>260802</v>
      </c>
      <c r="B204" s="21">
        <f>fact_kpi_weekly!B204</f>
        <v>46236</v>
      </c>
      <c r="C204" s="9" t="str">
        <f>fact_kpi_weekly!C204</f>
        <v>Contracted Lives</v>
      </c>
      <c r="D204" s="9" t="str">
        <f>fact_kpi_weekly!D204</f>
        <v>Eligible Forecast - New Store Cumulative</v>
      </c>
      <c r="E204" s="9" t="str">
        <f>fact_kpi_weekly!E204</f>
        <v>Forecast</v>
      </c>
      <c r="F204" s="9" t="str">
        <f>IF(fact_kpi_weekly!F204="","",fact_kpi_weekly!F204)</f>
        <v/>
      </c>
      <c r="G204" s="9" t="str">
        <f>fact_kpi_weekly!G204</f>
        <v>New Store</v>
      </c>
      <c r="H204" s="9" t="str">
        <f>fact_kpi_weekly!H204</f>
        <v>John / Sheila</v>
      </c>
      <c r="I204" s="9">
        <f>fact_kpi_weekly!I204</f>
        <v>78758</v>
      </c>
      <c r="J204" s="22">
        <f>fact_kpi_weekly!J204</f>
        <v>78758</v>
      </c>
      <c r="K204" s="20" t="str">
        <f t="array" ref="K204">IFERROR(INDEX(dim_date!H:H,MATCH(A204,dim_date!A:A,0)),"")</f>
        <v>Aug</v>
      </c>
      <c r="L204" s="20" t="str">
        <f t="array" ref="L204">IFERROR(INDEX(dim_date!G:G,MATCH(A204,dim_date!A:A,0)),"")</f>
        <v>08</v>
      </c>
      <c r="M204" s="9" t="str">
        <f t="array" ref="M204">IFERROR(INDEX(dim_date!I:I,MATCH(A204,dim_date!A:A,0)),"")</f>
        <v>Q3</v>
      </c>
      <c r="N204" s="20" t="str">
        <f t="array" ref="N204">IFERROR(INDEX(dim_date!K:K,MATCH(A204,dim_date!A:A,0)),"")</f>
        <v>32</v>
      </c>
      <c r="O204" s="9" t="str">
        <f t="array" ref="O204">IFERROR(INDEX(dim_date!F:F,MATCH(A204,dim_date!A:A,0)),"")</f>
        <v>8/2-8/8</v>
      </c>
      <c r="P204" s="9" t="str">
        <f t="array" ref="P204">IFERROR(INDEX(dim_kpi!E:E,MATCH(D204,dim_kpi!C:C,0)),"")</f>
        <v>count</v>
      </c>
      <c r="Q204" s="9" t="str">
        <f t="array" ref="Q204">IFERROR(INDEX(dim_kpi!F:F,MATCH(D204,dim_kpi!C:C,0)),"")</f>
        <v>Y</v>
      </c>
    </row>
    <row r="205" ht="12.75" customHeight="1">
      <c r="A205" s="20" t="str">
        <f>fact_kpi_weekly!A205</f>
        <v>260809</v>
      </c>
      <c r="B205" s="21">
        <f>fact_kpi_weekly!B205</f>
        <v>46243</v>
      </c>
      <c r="C205" s="9" t="str">
        <f>fact_kpi_weekly!C205</f>
        <v>Contracted Lives</v>
      </c>
      <c r="D205" s="9" t="str">
        <f>fact_kpi_weekly!D205</f>
        <v>Eligible Forecast - New Store Cumulative</v>
      </c>
      <c r="E205" s="9" t="str">
        <f>fact_kpi_weekly!E205</f>
        <v>Forecast</v>
      </c>
      <c r="F205" s="9" t="str">
        <f>IF(fact_kpi_weekly!F205="","",fact_kpi_weekly!F205)</f>
        <v/>
      </c>
      <c r="G205" s="9" t="str">
        <f>fact_kpi_weekly!G205</f>
        <v>New Store</v>
      </c>
      <c r="H205" s="9" t="str">
        <f>fact_kpi_weekly!H205</f>
        <v>John / Sheila</v>
      </c>
      <c r="I205" s="9">
        <f>fact_kpi_weekly!I205</f>
        <v>83758</v>
      </c>
      <c r="J205" s="22">
        <f>fact_kpi_weekly!J205</f>
        <v>83758</v>
      </c>
      <c r="K205" s="20" t="str">
        <f t="array" ref="K205">IFERROR(INDEX(dim_date!H:H,MATCH(A205,dim_date!A:A,0)),"")</f>
        <v>Aug</v>
      </c>
      <c r="L205" s="20" t="str">
        <f t="array" ref="L205">IFERROR(INDEX(dim_date!G:G,MATCH(A205,dim_date!A:A,0)),"")</f>
        <v>08</v>
      </c>
      <c r="M205" s="9" t="str">
        <f t="array" ref="M205">IFERROR(INDEX(dim_date!I:I,MATCH(A205,dim_date!A:A,0)),"")</f>
        <v>Q3</v>
      </c>
      <c r="N205" s="20" t="str">
        <f t="array" ref="N205">IFERROR(INDEX(dim_date!K:K,MATCH(A205,dim_date!A:A,0)),"")</f>
        <v>33</v>
      </c>
      <c r="O205" s="9" t="str">
        <f t="array" ref="O205">IFERROR(INDEX(dim_date!F:F,MATCH(A205,dim_date!A:A,0)),"")</f>
        <v>8/9-8/15</v>
      </c>
      <c r="P205" s="9" t="str">
        <f t="array" ref="P205">IFERROR(INDEX(dim_kpi!E:E,MATCH(D205,dim_kpi!C:C,0)),"")</f>
        <v>count</v>
      </c>
      <c r="Q205" s="9" t="str">
        <f t="array" ref="Q205">IFERROR(INDEX(dim_kpi!F:F,MATCH(D205,dim_kpi!C:C,0)),"")</f>
        <v>Y</v>
      </c>
    </row>
    <row r="206" ht="12.75" customHeight="1">
      <c r="A206" s="20" t="str">
        <f>fact_kpi_weekly!A206</f>
        <v>260816</v>
      </c>
      <c r="B206" s="21">
        <f>fact_kpi_weekly!B206</f>
        <v>46250</v>
      </c>
      <c r="C206" s="9" t="str">
        <f>fact_kpi_weekly!C206</f>
        <v>Contracted Lives</v>
      </c>
      <c r="D206" s="9" t="str">
        <f>fact_kpi_weekly!D206</f>
        <v>Eligible Forecast - New Store Cumulative</v>
      </c>
      <c r="E206" s="9" t="str">
        <f>fact_kpi_weekly!E206</f>
        <v>Forecast</v>
      </c>
      <c r="F206" s="9" t="str">
        <f>IF(fact_kpi_weekly!F206="","",fact_kpi_weekly!F206)</f>
        <v/>
      </c>
      <c r="G206" s="9" t="str">
        <f>fact_kpi_weekly!G206</f>
        <v>New Store</v>
      </c>
      <c r="H206" s="9" t="str">
        <f>fact_kpi_weekly!H206</f>
        <v>John / Sheila</v>
      </c>
      <c r="I206" s="9">
        <f>fact_kpi_weekly!I206</f>
        <v>83758</v>
      </c>
      <c r="J206" s="22">
        <f>fact_kpi_weekly!J206</f>
        <v>83758</v>
      </c>
      <c r="K206" s="20" t="str">
        <f t="array" ref="K206">IFERROR(INDEX(dim_date!H:H,MATCH(A206,dim_date!A:A,0)),"")</f>
        <v>Aug</v>
      </c>
      <c r="L206" s="20" t="str">
        <f t="array" ref="L206">IFERROR(INDEX(dim_date!G:G,MATCH(A206,dim_date!A:A,0)),"")</f>
        <v>08</v>
      </c>
      <c r="M206" s="9" t="str">
        <f t="array" ref="M206">IFERROR(INDEX(dim_date!I:I,MATCH(A206,dim_date!A:A,0)),"")</f>
        <v>Q3</v>
      </c>
      <c r="N206" s="20" t="str">
        <f t="array" ref="N206">IFERROR(INDEX(dim_date!K:K,MATCH(A206,dim_date!A:A,0)),"")</f>
        <v>34</v>
      </c>
      <c r="O206" s="9" t="str">
        <f t="array" ref="O206">IFERROR(INDEX(dim_date!F:F,MATCH(A206,dim_date!A:A,0)),"")</f>
        <v>8/16-8/22</v>
      </c>
      <c r="P206" s="9" t="str">
        <f t="array" ref="P206">IFERROR(INDEX(dim_kpi!E:E,MATCH(D206,dim_kpi!C:C,0)),"")</f>
        <v>count</v>
      </c>
      <c r="Q206" s="9" t="str">
        <f t="array" ref="Q206">IFERROR(INDEX(dim_kpi!F:F,MATCH(D206,dim_kpi!C:C,0)),"")</f>
        <v>Y</v>
      </c>
    </row>
    <row r="207" ht="12.75" customHeight="1">
      <c r="A207" s="20" t="str">
        <f>fact_kpi_weekly!A207</f>
        <v>260823</v>
      </c>
      <c r="B207" s="21">
        <f>fact_kpi_weekly!B207</f>
        <v>46257</v>
      </c>
      <c r="C207" s="9" t="str">
        <f>fact_kpi_weekly!C207</f>
        <v>Contracted Lives</v>
      </c>
      <c r="D207" s="9" t="str">
        <f>fact_kpi_weekly!D207</f>
        <v>Eligible Forecast - New Store Cumulative</v>
      </c>
      <c r="E207" s="9" t="str">
        <f>fact_kpi_weekly!E207</f>
        <v>Forecast</v>
      </c>
      <c r="F207" s="9" t="str">
        <f>IF(fact_kpi_weekly!F207="","",fact_kpi_weekly!F207)</f>
        <v/>
      </c>
      <c r="G207" s="9" t="str">
        <f>fact_kpi_weekly!G207</f>
        <v>New Store</v>
      </c>
      <c r="H207" s="9" t="str">
        <f>fact_kpi_weekly!H207</f>
        <v>John / Sheila</v>
      </c>
      <c r="I207" s="9">
        <f>fact_kpi_weekly!I207</f>
        <v>83758</v>
      </c>
      <c r="J207" s="22">
        <f>fact_kpi_weekly!J207</f>
        <v>83758</v>
      </c>
      <c r="K207" s="20" t="str">
        <f t="array" ref="K207">IFERROR(INDEX(dim_date!H:H,MATCH(A207,dim_date!A:A,0)),"")</f>
        <v>Aug</v>
      </c>
      <c r="L207" s="20" t="str">
        <f t="array" ref="L207">IFERROR(INDEX(dim_date!G:G,MATCH(A207,dim_date!A:A,0)),"")</f>
        <v>08</v>
      </c>
      <c r="M207" s="9" t="str">
        <f t="array" ref="M207">IFERROR(INDEX(dim_date!I:I,MATCH(A207,dim_date!A:A,0)),"")</f>
        <v>Q3</v>
      </c>
      <c r="N207" s="20" t="str">
        <f t="array" ref="N207">IFERROR(INDEX(dim_date!K:K,MATCH(A207,dim_date!A:A,0)),"")</f>
        <v>35</v>
      </c>
      <c r="O207" s="9" t="str">
        <f t="array" ref="O207">IFERROR(INDEX(dim_date!F:F,MATCH(A207,dim_date!A:A,0)),"")</f>
        <v>8/23-8/29</v>
      </c>
      <c r="P207" s="9" t="str">
        <f t="array" ref="P207">IFERROR(INDEX(dim_kpi!E:E,MATCH(D207,dim_kpi!C:C,0)),"")</f>
        <v>count</v>
      </c>
      <c r="Q207" s="9" t="str">
        <f t="array" ref="Q207">IFERROR(INDEX(dim_kpi!F:F,MATCH(D207,dim_kpi!C:C,0)),"")</f>
        <v>Y</v>
      </c>
    </row>
    <row r="208" ht="12.75" customHeight="1">
      <c r="A208" s="20" t="str">
        <f>fact_kpi_weekly!A208</f>
        <v>260830</v>
      </c>
      <c r="B208" s="21">
        <f>fact_kpi_weekly!B208</f>
        <v>46264</v>
      </c>
      <c r="C208" s="9" t="str">
        <f>fact_kpi_weekly!C208</f>
        <v>Contracted Lives</v>
      </c>
      <c r="D208" s="9" t="str">
        <f>fact_kpi_weekly!D208</f>
        <v>Eligible Forecast - New Store Cumulative</v>
      </c>
      <c r="E208" s="9" t="str">
        <f>fact_kpi_weekly!E208</f>
        <v>Forecast</v>
      </c>
      <c r="F208" s="9" t="str">
        <f>IF(fact_kpi_weekly!F208="","",fact_kpi_weekly!F208)</f>
        <v/>
      </c>
      <c r="G208" s="9" t="str">
        <f>fact_kpi_weekly!G208</f>
        <v>New Store</v>
      </c>
      <c r="H208" s="9" t="str">
        <f>fact_kpi_weekly!H208</f>
        <v>John / Sheila</v>
      </c>
      <c r="I208" s="9">
        <f>fact_kpi_weekly!I208</f>
        <v>83758</v>
      </c>
      <c r="J208" s="22">
        <f>fact_kpi_weekly!J208</f>
        <v>83758</v>
      </c>
      <c r="K208" s="20" t="str">
        <f t="array" ref="K208">IFERROR(INDEX(dim_date!H:H,MATCH(A208,dim_date!A:A,0)),"")</f>
        <v>Aug</v>
      </c>
      <c r="L208" s="20" t="str">
        <f t="array" ref="L208">IFERROR(INDEX(dim_date!G:G,MATCH(A208,dim_date!A:A,0)),"")</f>
        <v>08</v>
      </c>
      <c r="M208" s="9" t="str">
        <f t="array" ref="M208">IFERROR(INDEX(dim_date!I:I,MATCH(A208,dim_date!A:A,0)),"")</f>
        <v>Q3</v>
      </c>
      <c r="N208" s="20" t="str">
        <f t="array" ref="N208">IFERROR(INDEX(dim_date!K:K,MATCH(A208,dim_date!A:A,0)),"")</f>
        <v>36</v>
      </c>
      <c r="O208" s="9" t="str">
        <f t="array" ref="O208">IFERROR(INDEX(dim_date!F:F,MATCH(A208,dim_date!A:A,0)),"")</f>
        <v>8/30-9/5</v>
      </c>
      <c r="P208" s="9" t="str">
        <f t="array" ref="P208">IFERROR(INDEX(dim_kpi!E:E,MATCH(D208,dim_kpi!C:C,0)),"")</f>
        <v>count</v>
      </c>
      <c r="Q208" s="9" t="str">
        <f t="array" ref="Q208">IFERROR(INDEX(dim_kpi!F:F,MATCH(D208,dim_kpi!C:C,0)),"")</f>
        <v>Y</v>
      </c>
    </row>
    <row r="209" ht="12.75" customHeight="1">
      <c r="A209" s="20" t="str">
        <f>fact_kpi_weekly!A209</f>
        <v>260906</v>
      </c>
      <c r="B209" s="21">
        <f>fact_kpi_weekly!B209</f>
        <v>46271</v>
      </c>
      <c r="C209" s="9" t="str">
        <f>fact_kpi_weekly!C209</f>
        <v>Contracted Lives</v>
      </c>
      <c r="D209" s="9" t="str">
        <f>fact_kpi_weekly!D209</f>
        <v>Eligible Forecast - New Store Cumulative</v>
      </c>
      <c r="E209" s="9" t="str">
        <f>fact_kpi_weekly!E209</f>
        <v>Forecast</v>
      </c>
      <c r="F209" s="9" t="str">
        <f>IF(fact_kpi_weekly!F209="","",fact_kpi_weekly!F209)</f>
        <v/>
      </c>
      <c r="G209" s="9" t="str">
        <f>fact_kpi_weekly!G209</f>
        <v>New Store</v>
      </c>
      <c r="H209" s="9" t="str">
        <f>fact_kpi_weekly!H209</f>
        <v>John / Sheila</v>
      </c>
      <c r="I209" s="9">
        <f>fact_kpi_weekly!I209</f>
        <v>108758</v>
      </c>
      <c r="J209" s="22">
        <f>fact_kpi_weekly!J209</f>
        <v>108758</v>
      </c>
      <c r="K209" s="20" t="str">
        <f t="array" ref="K209">IFERROR(INDEX(dim_date!H:H,MATCH(A209,dim_date!A:A,0)),"")</f>
        <v>Sep</v>
      </c>
      <c r="L209" s="20" t="str">
        <f t="array" ref="L209">IFERROR(INDEX(dim_date!G:G,MATCH(A209,dim_date!A:A,0)),"")</f>
        <v>09</v>
      </c>
      <c r="M209" s="9" t="str">
        <f t="array" ref="M209">IFERROR(INDEX(dim_date!I:I,MATCH(A209,dim_date!A:A,0)),"")</f>
        <v>Q3</v>
      </c>
      <c r="N209" s="20" t="str">
        <f t="array" ref="N209">IFERROR(INDEX(dim_date!K:K,MATCH(A209,dim_date!A:A,0)),"")</f>
        <v>37</v>
      </c>
      <c r="O209" s="9" t="str">
        <f t="array" ref="O209">IFERROR(INDEX(dim_date!F:F,MATCH(A209,dim_date!A:A,0)),"")</f>
        <v>9/6-9/12</v>
      </c>
      <c r="P209" s="9" t="str">
        <f t="array" ref="P209">IFERROR(INDEX(dim_kpi!E:E,MATCH(D209,dim_kpi!C:C,0)),"")</f>
        <v>count</v>
      </c>
      <c r="Q209" s="9" t="str">
        <f t="array" ref="Q209">IFERROR(INDEX(dim_kpi!F:F,MATCH(D209,dim_kpi!C:C,0)),"")</f>
        <v>Y</v>
      </c>
    </row>
    <row r="210" ht="12.75" customHeight="1">
      <c r="A210" s="20" t="str">
        <f>fact_kpi_weekly!A210</f>
        <v>260913</v>
      </c>
      <c r="B210" s="21">
        <f>fact_kpi_weekly!B210</f>
        <v>46278</v>
      </c>
      <c r="C210" s="9" t="str">
        <f>fact_kpi_weekly!C210</f>
        <v>Contracted Lives</v>
      </c>
      <c r="D210" s="9" t="str">
        <f>fact_kpi_weekly!D210</f>
        <v>Eligible Forecast - New Store Cumulative</v>
      </c>
      <c r="E210" s="9" t="str">
        <f>fact_kpi_weekly!E210</f>
        <v>Forecast</v>
      </c>
      <c r="F210" s="9" t="str">
        <f>IF(fact_kpi_weekly!F210="","",fact_kpi_weekly!F210)</f>
        <v/>
      </c>
      <c r="G210" s="9" t="str">
        <f>fact_kpi_weekly!G210</f>
        <v>New Store</v>
      </c>
      <c r="H210" s="9" t="str">
        <f>fact_kpi_weekly!H210</f>
        <v>John / Sheila</v>
      </c>
      <c r="I210" s="9">
        <f>fact_kpi_weekly!I210</f>
        <v>108758</v>
      </c>
      <c r="J210" s="22">
        <f>fact_kpi_weekly!J210</f>
        <v>108758</v>
      </c>
      <c r="K210" s="20" t="str">
        <f t="array" ref="K210">IFERROR(INDEX(dim_date!H:H,MATCH(A210,dim_date!A:A,0)),"")</f>
        <v>Sep</v>
      </c>
      <c r="L210" s="20" t="str">
        <f t="array" ref="L210">IFERROR(INDEX(dim_date!G:G,MATCH(A210,dim_date!A:A,0)),"")</f>
        <v>09</v>
      </c>
      <c r="M210" s="9" t="str">
        <f t="array" ref="M210">IFERROR(INDEX(dim_date!I:I,MATCH(A210,dim_date!A:A,0)),"")</f>
        <v>Q3</v>
      </c>
      <c r="N210" s="20" t="str">
        <f t="array" ref="N210">IFERROR(INDEX(dim_date!K:K,MATCH(A210,dim_date!A:A,0)),"")</f>
        <v>38</v>
      </c>
      <c r="O210" s="9" t="str">
        <f t="array" ref="O210">IFERROR(INDEX(dim_date!F:F,MATCH(A210,dim_date!A:A,0)),"")</f>
        <v>9/13-9/19</v>
      </c>
      <c r="P210" s="9" t="str">
        <f t="array" ref="P210">IFERROR(INDEX(dim_kpi!E:E,MATCH(D210,dim_kpi!C:C,0)),"")</f>
        <v>count</v>
      </c>
      <c r="Q210" s="9" t="str">
        <f t="array" ref="Q210">IFERROR(INDEX(dim_kpi!F:F,MATCH(D210,dim_kpi!C:C,0)),"")</f>
        <v>Y</v>
      </c>
    </row>
    <row r="211" ht="12.75" customHeight="1">
      <c r="A211" s="20" t="str">
        <f>fact_kpi_weekly!A211</f>
        <v>260920</v>
      </c>
      <c r="B211" s="21">
        <f>fact_kpi_weekly!B211</f>
        <v>46285</v>
      </c>
      <c r="C211" s="9" t="str">
        <f>fact_kpi_weekly!C211</f>
        <v>Contracted Lives</v>
      </c>
      <c r="D211" s="9" t="str">
        <f>fact_kpi_weekly!D211</f>
        <v>Eligible Forecast - New Store Cumulative</v>
      </c>
      <c r="E211" s="9" t="str">
        <f>fact_kpi_weekly!E211</f>
        <v>Forecast</v>
      </c>
      <c r="F211" s="9" t="str">
        <f>IF(fact_kpi_weekly!F211="","",fact_kpi_weekly!F211)</f>
        <v/>
      </c>
      <c r="G211" s="9" t="str">
        <f>fact_kpi_weekly!G211</f>
        <v>New Store</v>
      </c>
      <c r="H211" s="9" t="str">
        <f>fact_kpi_weekly!H211</f>
        <v>John / Sheila</v>
      </c>
      <c r="I211" s="9">
        <f>fact_kpi_weekly!I211</f>
        <v>113758</v>
      </c>
      <c r="J211" s="22">
        <f>fact_kpi_weekly!J211</f>
        <v>113758</v>
      </c>
      <c r="K211" s="20" t="str">
        <f t="array" ref="K211">IFERROR(INDEX(dim_date!H:H,MATCH(A211,dim_date!A:A,0)),"")</f>
        <v>Sep</v>
      </c>
      <c r="L211" s="20" t="str">
        <f t="array" ref="L211">IFERROR(INDEX(dim_date!G:G,MATCH(A211,dim_date!A:A,0)),"")</f>
        <v>09</v>
      </c>
      <c r="M211" s="9" t="str">
        <f t="array" ref="M211">IFERROR(INDEX(dim_date!I:I,MATCH(A211,dim_date!A:A,0)),"")</f>
        <v>Q3</v>
      </c>
      <c r="N211" s="20" t="str">
        <f t="array" ref="N211">IFERROR(INDEX(dim_date!K:K,MATCH(A211,dim_date!A:A,0)),"")</f>
        <v>39</v>
      </c>
      <c r="O211" s="9" t="str">
        <f t="array" ref="O211">IFERROR(INDEX(dim_date!F:F,MATCH(A211,dim_date!A:A,0)),"")</f>
        <v>9/20-9/26</v>
      </c>
      <c r="P211" s="9" t="str">
        <f t="array" ref="P211">IFERROR(INDEX(dim_kpi!E:E,MATCH(D211,dim_kpi!C:C,0)),"")</f>
        <v>count</v>
      </c>
      <c r="Q211" s="9" t="str">
        <f t="array" ref="Q211">IFERROR(INDEX(dim_kpi!F:F,MATCH(D211,dim_kpi!C:C,0)),"")</f>
        <v>Y</v>
      </c>
    </row>
    <row r="212" ht="12.75" customHeight="1">
      <c r="A212" s="20" t="str">
        <f>fact_kpi_weekly!A212</f>
        <v>260927</v>
      </c>
      <c r="B212" s="21">
        <f>fact_kpi_weekly!B212</f>
        <v>46292</v>
      </c>
      <c r="C212" s="9" t="str">
        <f>fact_kpi_weekly!C212</f>
        <v>Contracted Lives</v>
      </c>
      <c r="D212" s="9" t="str">
        <f>fact_kpi_weekly!D212</f>
        <v>Eligible Forecast - New Store Cumulative</v>
      </c>
      <c r="E212" s="9" t="str">
        <f>fact_kpi_weekly!E212</f>
        <v>Forecast</v>
      </c>
      <c r="F212" s="9" t="str">
        <f>IF(fact_kpi_weekly!F212="","",fact_kpi_weekly!F212)</f>
        <v/>
      </c>
      <c r="G212" s="9" t="str">
        <f>fact_kpi_weekly!G212</f>
        <v>New Store</v>
      </c>
      <c r="H212" s="9" t="str">
        <f>fact_kpi_weekly!H212</f>
        <v>John / Sheila</v>
      </c>
      <c r="I212" s="9">
        <f>fact_kpi_weekly!I212</f>
        <v>113758</v>
      </c>
      <c r="J212" s="22">
        <f>fact_kpi_weekly!J212</f>
        <v>113758</v>
      </c>
      <c r="K212" s="20" t="str">
        <f t="array" ref="K212">IFERROR(INDEX(dim_date!H:H,MATCH(A212,dim_date!A:A,0)),"")</f>
        <v>Sep</v>
      </c>
      <c r="L212" s="20" t="str">
        <f t="array" ref="L212">IFERROR(INDEX(dim_date!G:G,MATCH(A212,dim_date!A:A,0)),"")</f>
        <v>09</v>
      </c>
      <c r="M212" s="9" t="str">
        <f t="array" ref="M212">IFERROR(INDEX(dim_date!I:I,MATCH(A212,dim_date!A:A,0)),"")</f>
        <v>Q3</v>
      </c>
      <c r="N212" s="20" t="str">
        <f t="array" ref="N212">IFERROR(INDEX(dim_date!K:K,MATCH(A212,dim_date!A:A,0)),"")</f>
        <v>40</v>
      </c>
      <c r="O212" s="9" t="str">
        <f t="array" ref="O212">IFERROR(INDEX(dim_date!F:F,MATCH(A212,dim_date!A:A,0)),"")</f>
        <v>9/27-10/3</v>
      </c>
      <c r="P212" s="9" t="str">
        <f t="array" ref="P212">IFERROR(INDEX(dim_kpi!E:E,MATCH(D212,dim_kpi!C:C,0)),"")</f>
        <v>count</v>
      </c>
      <c r="Q212" s="9" t="str">
        <f t="array" ref="Q212">IFERROR(INDEX(dim_kpi!F:F,MATCH(D212,dim_kpi!C:C,0)),"")</f>
        <v>Y</v>
      </c>
    </row>
    <row r="213" ht="12.75" customHeight="1">
      <c r="A213" s="20" t="str">
        <f>fact_kpi_weekly!A213</f>
        <v>261004</v>
      </c>
      <c r="B213" s="21">
        <f>fact_kpi_weekly!B213</f>
        <v>46299</v>
      </c>
      <c r="C213" s="9" t="str">
        <f>fact_kpi_weekly!C213</f>
        <v>Contracted Lives</v>
      </c>
      <c r="D213" s="9" t="str">
        <f>fact_kpi_weekly!D213</f>
        <v>Eligible Forecast - New Store Cumulative</v>
      </c>
      <c r="E213" s="9" t="str">
        <f>fact_kpi_weekly!E213</f>
        <v>Forecast</v>
      </c>
      <c r="F213" s="9" t="str">
        <f>IF(fact_kpi_weekly!F213="","",fact_kpi_weekly!F213)</f>
        <v/>
      </c>
      <c r="G213" s="9" t="str">
        <f>fact_kpi_weekly!G213</f>
        <v>New Store</v>
      </c>
      <c r="H213" s="9" t="str">
        <f>fact_kpi_weekly!H213</f>
        <v>John / Sheila</v>
      </c>
      <c r="I213" s="9">
        <f>fact_kpi_weekly!I213</f>
        <v>113758</v>
      </c>
      <c r="J213" s="22">
        <f>fact_kpi_weekly!J213</f>
        <v>113758</v>
      </c>
      <c r="K213" s="20" t="str">
        <f t="array" ref="K213">IFERROR(INDEX(dim_date!H:H,MATCH(A213,dim_date!A:A,0)),"")</f>
        <v>Oct</v>
      </c>
      <c r="L213" s="20" t="str">
        <f t="array" ref="L213">IFERROR(INDEX(dim_date!G:G,MATCH(A213,dim_date!A:A,0)),"")</f>
        <v>10</v>
      </c>
      <c r="M213" s="9" t="str">
        <f t="array" ref="M213">IFERROR(INDEX(dim_date!I:I,MATCH(A213,dim_date!A:A,0)),"")</f>
        <v>Q4</v>
      </c>
      <c r="N213" s="20" t="str">
        <f t="array" ref="N213">IFERROR(INDEX(dim_date!K:K,MATCH(A213,dim_date!A:A,0)),"")</f>
        <v>41</v>
      </c>
      <c r="O213" s="9" t="str">
        <f t="array" ref="O213">IFERROR(INDEX(dim_date!F:F,MATCH(A213,dim_date!A:A,0)),"")</f>
        <v>10/4-10/10</v>
      </c>
      <c r="P213" s="9" t="str">
        <f t="array" ref="P213">IFERROR(INDEX(dim_kpi!E:E,MATCH(D213,dim_kpi!C:C,0)),"")</f>
        <v>count</v>
      </c>
      <c r="Q213" s="9" t="str">
        <f t="array" ref="Q213">IFERROR(INDEX(dim_kpi!F:F,MATCH(D213,dim_kpi!C:C,0)),"")</f>
        <v>Y</v>
      </c>
    </row>
    <row r="214" ht="12.75" customHeight="1">
      <c r="A214" s="20" t="str">
        <f>fact_kpi_weekly!A214</f>
        <v>261011</v>
      </c>
      <c r="B214" s="21">
        <f>fact_kpi_weekly!B214</f>
        <v>46306</v>
      </c>
      <c r="C214" s="9" t="str">
        <f>fact_kpi_weekly!C214</f>
        <v>Contracted Lives</v>
      </c>
      <c r="D214" s="9" t="str">
        <f>fact_kpi_weekly!D214</f>
        <v>Eligible Forecast - New Store Cumulative</v>
      </c>
      <c r="E214" s="9" t="str">
        <f>fact_kpi_weekly!E214</f>
        <v>Forecast</v>
      </c>
      <c r="F214" s="9" t="str">
        <f>IF(fact_kpi_weekly!F214="","",fact_kpi_weekly!F214)</f>
        <v/>
      </c>
      <c r="G214" s="9" t="str">
        <f>fact_kpi_weekly!G214</f>
        <v>New Store</v>
      </c>
      <c r="H214" s="9" t="str">
        <f>fact_kpi_weekly!H214</f>
        <v>John / Sheila</v>
      </c>
      <c r="I214" s="9">
        <f>fact_kpi_weekly!I214</f>
        <v>133758</v>
      </c>
      <c r="J214" s="22">
        <f>fact_kpi_weekly!J214</f>
        <v>133758</v>
      </c>
      <c r="K214" s="20" t="str">
        <f t="array" ref="K214">IFERROR(INDEX(dim_date!H:H,MATCH(A214,dim_date!A:A,0)),"")</f>
        <v>Oct</v>
      </c>
      <c r="L214" s="20" t="str">
        <f t="array" ref="L214">IFERROR(INDEX(dim_date!G:G,MATCH(A214,dim_date!A:A,0)),"")</f>
        <v>10</v>
      </c>
      <c r="M214" s="9" t="str">
        <f t="array" ref="M214">IFERROR(INDEX(dim_date!I:I,MATCH(A214,dim_date!A:A,0)),"")</f>
        <v>Q4</v>
      </c>
      <c r="N214" s="20" t="str">
        <f t="array" ref="N214">IFERROR(INDEX(dim_date!K:K,MATCH(A214,dim_date!A:A,0)),"")</f>
        <v>42</v>
      </c>
      <c r="O214" s="9" t="str">
        <f t="array" ref="O214">IFERROR(INDEX(dim_date!F:F,MATCH(A214,dim_date!A:A,0)),"")</f>
        <v>10/11-10/17</v>
      </c>
      <c r="P214" s="9" t="str">
        <f t="array" ref="P214">IFERROR(INDEX(dim_kpi!E:E,MATCH(D214,dim_kpi!C:C,0)),"")</f>
        <v>count</v>
      </c>
      <c r="Q214" s="9" t="str">
        <f t="array" ref="Q214">IFERROR(INDEX(dim_kpi!F:F,MATCH(D214,dim_kpi!C:C,0)),"")</f>
        <v>Y</v>
      </c>
    </row>
    <row r="215" ht="12.75" customHeight="1">
      <c r="A215" s="20" t="str">
        <f>fact_kpi_weekly!A215</f>
        <v>261018</v>
      </c>
      <c r="B215" s="21">
        <f>fact_kpi_weekly!B215</f>
        <v>46313</v>
      </c>
      <c r="C215" s="9" t="str">
        <f>fact_kpi_weekly!C215</f>
        <v>Contracted Lives</v>
      </c>
      <c r="D215" s="9" t="str">
        <f>fact_kpi_weekly!D215</f>
        <v>Eligible Forecast - New Store Cumulative</v>
      </c>
      <c r="E215" s="9" t="str">
        <f>fact_kpi_weekly!E215</f>
        <v>Forecast</v>
      </c>
      <c r="F215" s="9" t="str">
        <f>IF(fact_kpi_weekly!F215="","",fact_kpi_weekly!F215)</f>
        <v/>
      </c>
      <c r="G215" s="9" t="str">
        <f>fact_kpi_weekly!G215</f>
        <v>New Store</v>
      </c>
      <c r="H215" s="9" t="str">
        <f>fact_kpi_weekly!H215</f>
        <v>John / Sheila</v>
      </c>
      <c r="I215" s="9">
        <f>fact_kpi_weekly!I215</f>
        <v>138758</v>
      </c>
      <c r="J215" s="22">
        <f>fact_kpi_weekly!J215</f>
        <v>138758</v>
      </c>
      <c r="K215" s="20" t="str">
        <f t="array" ref="K215">IFERROR(INDEX(dim_date!H:H,MATCH(A215,dim_date!A:A,0)),"")</f>
        <v>Oct</v>
      </c>
      <c r="L215" s="20" t="str">
        <f t="array" ref="L215">IFERROR(INDEX(dim_date!G:G,MATCH(A215,dim_date!A:A,0)),"")</f>
        <v>10</v>
      </c>
      <c r="M215" s="9" t="str">
        <f t="array" ref="M215">IFERROR(INDEX(dim_date!I:I,MATCH(A215,dim_date!A:A,0)),"")</f>
        <v>Q4</v>
      </c>
      <c r="N215" s="20" t="str">
        <f t="array" ref="N215">IFERROR(INDEX(dim_date!K:K,MATCH(A215,dim_date!A:A,0)),"")</f>
        <v>43</v>
      </c>
      <c r="O215" s="9" t="str">
        <f t="array" ref="O215">IFERROR(INDEX(dim_date!F:F,MATCH(A215,dim_date!A:A,0)),"")</f>
        <v>10/18-10/24</v>
      </c>
      <c r="P215" s="9" t="str">
        <f t="array" ref="P215">IFERROR(INDEX(dim_kpi!E:E,MATCH(D215,dim_kpi!C:C,0)),"")</f>
        <v>count</v>
      </c>
      <c r="Q215" s="9" t="str">
        <f t="array" ref="Q215">IFERROR(INDEX(dim_kpi!F:F,MATCH(D215,dim_kpi!C:C,0)),"")</f>
        <v>Y</v>
      </c>
    </row>
    <row r="216" ht="12.75" customHeight="1">
      <c r="A216" s="20" t="str">
        <f>fact_kpi_weekly!A216</f>
        <v>261025</v>
      </c>
      <c r="B216" s="21">
        <f>fact_kpi_weekly!B216</f>
        <v>46320</v>
      </c>
      <c r="C216" s="9" t="str">
        <f>fact_kpi_weekly!C216</f>
        <v>Contracted Lives</v>
      </c>
      <c r="D216" s="9" t="str">
        <f>fact_kpi_weekly!D216</f>
        <v>Eligible Forecast - New Store Cumulative</v>
      </c>
      <c r="E216" s="9" t="str">
        <f>fact_kpi_weekly!E216</f>
        <v>Forecast</v>
      </c>
      <c r="F216" s="9" t="str">
        <f>IF(fact_kpi_weekly!F216="","",fact_kpi_weekly!F216)</f>
        <v/>
      </c>
      <c r="G216" s="9" t="str">
        <f>fact_kpi_weekly!G216</f>
        <v>New Store</v>
      </c>
      <c r="H216" s="9" t="str">
        <f>fact_kpi_weekly!H216</f>
        <v>John / Sheila</v>
      </c>
      <c r="I216" s="9">
        <f>fact_kpi_weekly!I216</f>
        <v>138758</v>
      </c>
      <c r="J216" s="22">
        <f>fact_kpi_weekly!J216</f>
        <v>138758</v>
      </c>
      <c r="K216" s="20" t="str">
        <f t="array" ref="K216">IFERROR(INDEX(dim_date!H:H,MATCH(A216,dim_date!A:A,0)),"")</f>
        <v>Oct</v>
      </c>
      <c r="L216" s="20" t="str">
        <f t="array" ref="L216">IFERROR(INDEX(dim_date!G:G,MATCH(A216,dim_date!A:A,0)),"")</f>
        <v>10</v>
      </c>
      <c r="M216" s="9" t="str">
        <f t="array" ref="M216">IFERROR(INDEX(dim_date!I:I,MATCH(A216,dim_date!A:A,0)),"")</f>
        <v>Q4</v>
      </c>
      <c r="N216" s="20" t="str">
        <f t="array" ref="N216">IFERROR(INDEX(dim_date!K:K,MATCH(A216,dim_date!A:A,0)),"")</f>
        <v>44</v>
      </c>
      <c r="O216" s="9" t="str">
        <f t="array" ref="O216">IFERROR(INDEX(dim_date!F:F,MATCH(A216,dim_date!A:A,0)),"")</f>
        <v>10/25-10/31</v>
      </c>
      <c r="P216" s="9" t="str">
        <f t="array" ref="P216">IFERROR(INDEX(dim_kpi!E:E,MATCH(D216,dim_kpi!C:C,0)),"")</f>
        <v>count</v>
      </c>
      <c r="Q216" s="9" t="str">
        <f t="array" ref="Q216">IFERROR(INDEX(dim_kpi!F:F,MATCH(D216,dim_kpi!C:C,0)),"")</f>
        <v>Y</v>
      </c>
    </row>
    <row r="217" ht="12.75" customHeight="1">
      <c r="A217" s="20" t="str">
        <f>fact_kpi_weekly!A217</f>
        <v>261101</v>
      </c>
      <c r="B217" s="21">
        <f>fact_kpi_weekly!B217</f>
        <v>46327</v>
      </c>
      <c r="C217" s="9" t="str">
        <f>fact_kpi_weekly!C217</f>
        <v>Contracted Lives</v>
      </c>
      <c r="D217" s="9" t="str">
        <f>fact_kpi_weekly!D217</f>
        <v>Eligible Forecast - New Store Cumulative</v>
      </c>
      <c r="E217" s="9" t="str">
        <f>fact_kpi_weekly!E217</f>
        <v>Forecast</v>
      </c>
      <c r="F217" s="9" t="str">
        <f>IF(fact_kpi_weekly!F217="","",fact_kpi_weekly!F217)</f>
        <v/>
      </c>
      <c r="G217" s="9" t="str">
        <f>fact_kpi_weekly!G217</f>
        <v>New Store</v>
      </c>
      <c r="H217" s="9" t="str">
        <f>fact_kpi_weekly!H217</f>
        <v>John / Sheila</v>
      </c>
      <c r="I217" s="9">
        <f>fact_kpi_weekly!I217</f>
        <v>138758</v>
      </c>
      <c r="J217" s="22">
        <f>fact_kpi_weekly!J217</f>
        <v>138758</v>
      </c>
      <c r="K217" s="20" t="str">
        <f t="array" ref="K217">IFERROR(INDEX(dim_date!H:H,MATCH(A217,dim_date!A:A,0)),"")</f>
        <v>Nov</v>
      </c>
      <c r="L217" s="20" t="str">
        <f t="array" ref="L217">IFERROR(INDEX(dim_date!G:G,MATCH(A217,dim_date!A:A,0)),"")</f>
        <v>11</v>
      </c>
      <c r="M217" s="9" t="str">
        <f t="array" ref="M217">IFERROR(INDEX(dim_date!I:I,MATCH(A217,dim_date!A:A,0)),"")</f>
        <v>Q4</v>
      </c>
      <c r="N217" s="20" t="str">
        <f t="array" ref="N217">IFERROR(INDEX(dim_date!K:K,MATCH(A217,dim_date!A:A,0)),"")</f>
        <v>45</v>
      </c>
      <c r="O217" s="9" t="str">
        <f t="array" ref="O217">IFERROR(INDEX(dim_date!F:F,MATCH(A217,dim_date!A:A,0)),"")</f>
        <v>11/1-11/7</v>
      </c>
      <c r="P217" s="9" t="str">
        <f t="array" ref="P217">IFERROR(INDEX(dim_kpi!E:E,MATCH(D217,dim_kpi!C:C,0)),"")</f>
        <v>count</v>
      </c>
      <c r="Q217" s="9" t="str">
        <f t="array" ref="Q217">IFERROR(INDEX(dim_kpi!F:F,MATCH(D217,dim_kpi!C:C,0)),"")</f>
        <v>Y</v>
      </c>
    </row>
    <row r="218" ht="12.75" customHeight="1">
      <c r="A218" s="20" t="str">
        <f>fact_kpi_weekly!A218</f>
        <v>261108</v>
      </c>
      <c r="B218" s="21">
        <f>fact_kpi_weekly!B218</f>
        <v>46334</v>
      </c>
      <c r="C218" s="9" t="str">
        <f>fact_kpi_weekly!C218</f>
        <v>Contracted Lives</v>
      </c>
      <c r="D218" s="9" t="str">
        <f>fact_kpi_weekly!D218</f>
        <v>Eligible Forecast - New Store Cumulative</v>
      </c>
      <c r="E218" s="9" t="str">
        <f>fact_kpi_weekly!E218</f>
        <v>Forecast</v>
      </c>
      <c r="F218" s="9" t="str">
        <f>IF(fact_kpi_weekly!F218="","",fact_kpi_weekly!F218)</f>
        <v/>
      </c>
      <c r="G218" s="9" t="str">
        <f>fact_kpi_weekly!G218</f>
        <v>New Store</v>
      </c>
      <c r="H218" s="9" t="str">
        <f>fact_kpi_weekly!H218</f>
        <v>John / Sheila</v>
      </c>
      <c r="I218" s="9">
        <f>fact_kpi_weekly!I218</f>
        <v>143758</v>
      </c>
      <c r="J218" s="22">
        <f>fact_kpi_weekly!J218</f>
        <v>143758</v>
      </c>
      <c r="K218" s="20" t="str">
        <f t="array" ref="K218">IFERROR(INDEX(dim_date!H:H,MATCH(A218,dim_date!A:A,0)),"")</f>
        <v>Nov</v>
      </c>
      <c r="L218" s="20" t="str">
        <f t="array" ref="L218">IFERROR(INDEX(dim_date!G:G,MATCH(A218,dim_date!A:A,0)),"")</f>
        <v>11</v>
      </c>
      <c r="M218" s="9" t="str">
        <f t="array" ref="M218">IFERROR(INDEX(dim_date!I:I,MATCH(A218,dim_date!A:A,0)),"")</f>
        <v>Q4</v>
      </c>
      <c r="N218" s="20" t="str">
        <f t="array" ref="N218">IFERROR(INDEX(dim_date!K:K,MATCH(A218,dim_date!A:A,0)),"")</f>
        <v>46</v>
      </c>
      <c r="O218" s="9" t="str">
        <f t="array" ref="O218">IFERROR(INDEX(dim_date!F:F,MATCH(A218,dim_date!A:A,0)),"")</f>
        <v>11/8-11/14</v>
      </c>
      <c r="P218" s="9" t="str">
        <f t="array" ref="P218">IFERROR(INDEX(dim_kpi!E:E,MATCH(D218,dim_kpi!C:C,0)),"")</f>
        <v>count</v>
      </c>
      <c r="Q218" s="9" t="str">
        <f t="array" ref="Q218">IFERROR(INDEX(dim_kpi!F:F,MATCH(D218,dim_kpi!C:C,0)),"")</f>
        <v>Y</v>
      </c>
    </row>
    <row r="219" ht="12.75" customHeight="1">
      <c r="A219" s="20" t="str">
        <f>fact_kpi_weekly!A219</f>
        <v>261115</v>
      </c>
      <c r="B219" s="21">
        <f>fact_kpi_weekly!B219</f>
        <v>46341</v>
      </c>
      <c r="C219" s="9" t="str">
        <f>fact_kpi_weekly!C219</f>
        <v>Contracted Lives</v>
      </c>
      <c r="D219" s="9" t="str">
        <f>fact_kpi_weekly!D219</f>
        <v>Eligible Forecast - New Store Cumulative</v>
      </c>
      <c r="E219" s="9" t="str">
        <f>fact_kpi_weekly!E219</f>
        <v>Forecast</v>
      </c>
      <c r="F219" s="9" t="str">
        <f>IF(fact_kpi_weekly!F219="","",fact_kpi_weekly!F219)</f>
        <v/>
      </c>
      <c r="G219" s="9" t="str">
        <f>fact_kpi_weekly!G219</f>
        <v>New Store</v>
      </c>
      <c r="H219" s="9" t="str">
        <f>fact_kpi_weekly!H219</f>
        <v>John / Sheila</v>
      </c>
      <c r="I219" s="9">
        <f>fact_kpi_weekly!I219</f>
        <v>158758</v>
      </c>
      <c r="J219" s="22">
        <f>fact_kpi_weekly!J219</f>
        <v>158758</v>
      </c>
      <c r="K219" s="20" t="str">
        <f t="array" ref="K219">IFERROR(INDEX(dim_date!H:H,MATCH(A219,dim_date!A:A,0)),"")</f>
        <v>Nov</v>
      </c>
      <c r="L219" s="20" t="str">
        <f t="array" ref="L219">IFERROR(INDEX(dim_date!G:G,MATCH(A219,dim_date!A:A,0)),"")</f>
        <v>11</v>
      </c>
      <c r="M219" s="9" t="str">
        <f t="array" ref="M219">IFERROR(INDEX(dim_date!I:I,MATCH(A219,dim_date!A:A,0)),"")</f>
        <v>Q4</v>
      </c>
      <c r="N219" s="20" t="str">
        <f t="array" ref="N219">IFERROR(INDEX(dim_date!K:K,MATCH(A219,dim_date!A:A,0)),"")</f>
        <v>47</v>
      </c>
      <c r="O219" s="9" t="str">
        <f t="array" ref="O219">IFERROR(INDEX(dim_date!F:F,MATCH(A219,dim_date!A:A,0)),"")</f>
        <v>11/15-11/21</v>
      </c>
      <c r="P219" s="9" t="str">
        <f t="array" ref="P219">IFERROR(INDEX(dim_kpi!E:E,MATCH(D219,dim_kpi!C:C,0)),"")</f>
        <v>count</v>
      </c>
      <c r="Q219" s="9" t="str">
        <f t="array" ref="Q219">IFERROR(INDEX(dim_kpi!F:F,MATCH(D219,dim_kpi!C:C,0)),"")</f>
        <v>Y</v>
      </c>
    </row>
    <row r="220" ht="12.75" customHeight="1">
      <c r="A220" s="20" t="str">
        <f>fact_kpi_weekly!A220</f>
        <v>261122</v>
      </c>
      <c r="B220" s="21">
        <f>fact_kpi_weekly!B220</f>
        <v>46348</v>
      </c>
      <c r="C220" s="9" t="str">
        <f>fact_kpi_weekly!C220</f>
        <v>Contracted Lives</v>
      </c>
      <c r="D220" s="9" t="str">
        <f>fact_kpi_weekly!D220</f>
        <v>Eligible Forecast - New Store Cumulative</v>
      </c>
      <c r="E220" s="9" t="str">
        <f>fact_kpi_weekly!E220</f>
        <v>Forecast</v>
      </c>
      <c r="F220" s="9" t="str">
        <f>IF(fact_kpi_weekly!F220="","",fact_kpi_weekly!F220)</f>
        <v/>
      </c>
      <c r="G220" s="9" t="str">
        <f>fact_kpi_weekly!G220</f>
        <v>New Store</v>
      </c>
      <c r="H220" s="9" t="str">
        <f>fact_kpi_weekly!H220</f>
        <v>John / Sheila</v>
      </c>
      <c r="I220" s="9">
        <f>fact_kpi_weekly!I220</f>
        <v>158758</v>
      </c>
      <c r="J220" s="22">
        <f>fact_kpi_weekly!J220</f>
        <v>158758</v>
      </c>
      <c r="K220" s="20" t="str">
        <f t="array" ref="K220">IFERROR(INDEX(dim_date!H:H,MATCH(A220,dim_date!A:A,0)),"")</f>
        <v>Nov</v>
      </c>
      <c r="L220" s="20" t="str">
        <f t="array" ref="L220">IFERROR(INDEX(dim_date!G:G,MATCH(A220,dim_date!A:A,0)),"")</f>
        <v>11</v>
      </c>
      <c r="M220" s="9" t="str">
        <f t="array" ref="M220">IFERROR(INDEX(dim_date!I:I,MATCH(A220,dim_date!A:A,0)),"")</f>
        <v>Q4</v>
      </c>
      <c r="N220" s="20" t="str">
        <f t="array" ref="N220">IFERROR(INDEX(dim_date!K:K,MATCH(A220,dim_date!A:A,0)),"")</f>
        <v>48</v>
      </c>
      <c r="O220" s="9" t="str">
        <f t="array" ref="O220">IFERROR(INDEX(dim_date!F:F,MATCH(A220,dim_date!A:A,0)),"")</f>
        <v>11/22-11/28</v>
      </c>
      <c r="P220" s="9" t="str">
        <f t="array" ref="P220">IFERROR(INDEX(dim_kpi!E:E,MATCH(D220,dim_kpi!C:C,0)),"")</f>
        <v>count</v>
      </c>
      <c r="Q220" s="9" t="str">
        <f t="array" ref="Q220">IFERROR(INDEX(dim_kpi!F:F,MATCH(D220,dim_kpi!C:C,0)),"")</f>
        <v>Y</v>
      </c>
    </row>
    <row r="221" ht="12.75" customHeight="1">
      <c r="A221" s="20" t="str">
        <f>fact_kpi_weekly!A221</f>
        <v>261129</v>
      </c>
      <c r="B221" s="21">
        <f>fact_kpi_weekly!B221</f>
        <v>46355</v>
      </c>
      <c r="C221" s="9" t="str">
        <f>fact_kpi_weekly!C221</f>
        <v>Contracted Lives</v>
      </c>
      <c r="D221" s="9" t="str">
        <f>fact_kpi_weekly!D221</f>
        <v>Eligible Forecast - New Store Cumulative</v>
      </c>
      <c r="E221" s="9" t="str">
        <f>fact_kpi_weekly!E221</f>
        <v>Forecast</v>
      </c>
      <c r="F221" s="9" t="str">
        <f>IF(fact_kpi_weekly!F221="","",fact_kpi_weekly!F221)</f>
        <v/>
      </c>
      <c r="G221" s="9" t="str">
        <f>fact_kpi_weekly!G221</f>
        <v>New Store</v>
      </c>
      <c r="H221" s="9" t="str">
        <f>fact_kpi_weekly!H221</f>
        <v>John / Sheila</v>
      </c>
      <c r="I221" s="9">
        <f>fact_kpi_weekly!I221</f>
        <v>158758</v>
      </c>
      <c r="J221" s="22">
        <f>fact_kpi_weekly!J221</f>
        <v>158758</v>
      </c>
      <c r="K221" s="20" t="str">
        <f t="array" ref="K221">IFERROR(INDEX(dim_date!H:H,MATCH(A221,dim_date!A:A,0)),"")</f>
        <v>Nov</v>
      </c>
      <c r="L221" s="20" t="str">
        <f t="array" ref="L221">IFERROR(INDEX(dim_date!G:G,MATCH(A221,dim_date!A:A,0)),"")</f>
        <v>11</v>
      </c>
      <c r="M221" s="9" t="str">
        <f t="array" ref="M221">IFERROR(INDEX(dim_date!I:I,MATCH(A221,dim_date!A:A,0)),"")</f>
        <v>Q4</v>
      </c>
      <c r="N221" s="20" t="str">
        <f t="array" ref="N221">IFERROR(INDEX(dim_date!K:K,MATCH(A221,dim_date!A:A,0)),"")</f>
        <v>49</v>
      </c>
      <c r="O221" s="9" t="str">
        <f t="array" ref="O221">IFERROR(INDEX(dim_date!F:F,MATCH(A221,dim_date!A:A,0)),"")</f>
        <v>11/29-12/5</v>
      </c>
      <c r="P221" s="9" t="str">
        <f t="array" ref="P221">IFERROR(INDEX(dim_kpi!E:E,MATCH(D221,dim_kpi!C:C,0)),"")</f>
        <v>count</v>
      </c>
      <c r="Q221" s="9" t="str">
        <f t="array" ref="Q221">IFERROR(INDEX(dim_kpi!F:F,MATCH(D221,dim_kpi!C:C,0)),"")</f>
        <v>Y</v>
      </c>
    </row>
    <row r="222" ht="12.75" customHeight="1">
      <c r="A222" s="20" t="str">
        <f>fact_kpi_weekly!A222</f>
        <v>261206</v>
      </c>
      <c r="B222" s="21">
        <f>fact_kpi_weekly!B222</f>
        <v>46362</v>
      </c>
      <c r="C222" s="9" t="str">
        <f>fact_kpi_weekly!C222</f>
        <v>Contracted Lives</v>
      </c>
      <c r="D222" s="9" t="str">
        <f>fact_kpi_weekly!D222</f>
        <v>Eligible Forecast - New Store Cumulative</v>
      </c>
      <c r="E222" s="9" t="str">
        <f>fact_kpi_weekly!E222</f>
        <v>Forecast</v>
      </c>
      <c r="F222" s="9" t="str">
        <f>IF(fact_kpi_weekly!F222="","",fact_kpi_weekly!F222)</f>
        <v/>
      </c>
      <c r="G222" s="9" t="str">
        <f>fact_kpi_weekly!G222</f>
        <v>New Store</v>
      </c>
      <c r="H222" s="9" t="str">
        <f>fact_kpi_weekly!H222</f>
        <v>John / Sheila</v>
      </c>
      <c r="I222" s="9">
        <f>fact_kpi_weekly!I222</f>
        <v>158758</v>
      </c>
      <c r="J222" s="22">
        <f>fact_kpi_weekly!J222</f>
        <v>158758</v>
      </c>
      <c r="K222" s="20" t="str">
        <f t="array" ref="K222">IFERROR(INDEX(dim_date!H:H,MATCH(A222,dim_date!A:A,0)),"")</f>
        <v>Dec</v>
      </c>
      <c r="L222" s="20" t="str">
        <f t="array" ref="L222">IFERROR(INDEX(dim_date!G:G,MATCH(A222,dim_date!A:A,0)),"")</f>
        <v>12</v>
      </c>
      <c r="M222" s="9" t="str">
        <f t="array" ref="M222">IFERROR(INDEX(dim_date!I:I,MATCH(A222,dim_date!A:A,0)),"")</f>
        <v>Q4</v>
      </c>
      <c r="N222" s="20" t="str">
        <f t="array" ref="N222">IFERROR(INDEX(dim_date!K:K,MATCH(A222,dim_date!A:A,0)),"")</f>
        <v>50</v>
      </c>
      <c r="O222" s="9" t="str">
        <f t="array" ref="O222">IFERROR(INDEX(dim_date!F:F,MATCH(A222,dim_date!A:A,0)),"")</f>
        <v>12/6-12/12</v>
      </c>
      <c r="P222" s="9" t="str">
        <f t="array" ref="P222">IFERROR(INDEX(dim_kpi!E:E,MATCH(D222,dim_kpi!C:C,0)),"")</f>
        <v>count</v>
      </c>
      <c r="Q222" s="9" t="str">
        <f t="array" ref="Q222">IFERROR(INDEX(dim_kpi!F:F,MATCH(D222,dim_kpi!C:C,0)),"")</f>
        <v>Y</v>
      </c>
    </row>
    <row r="223" ht="12.75" customHeight="1">
      <c r="A223" s="20" t="str">
        <f>fact_kpi_weekly!A223</f>
        <v>261213</v>
      </c>
      <c r="B223" s="21">
        <f>fact_kpi_weekly!B223</f>
        <v>46369</v>
      </c>
      <c r="C223" s="9" t="str">
        <f>fact_kpi_weekly!C223</f>
        <v>Contracted Lives</v>
      </c>
      <c r="D223" s="9" t="str">
        <f>fact_kpi_weekly!D223</f>
        <v>Eligible Forecast - New Store Cumulative</v>
      </c>
      <c r="E223" s="9" t="str">
        <f>fact_kpi_weekly!E223</f>
        <v>Forecast</v>
      </c>
      <c r="F223" s="9" t="str">
        <f>IF(fact_kpi_weekly!F223="","",fact_kpi_weekly!F223)</f>
        <v/>
      </c>
      <c r="G223" s="9" t="str">
        <f>fact_kpi_weekly!G223</f>
        <v>New Store</v>
      </c>
      <c r="H223" s="9" t="str">
        <f>fact_kpi_weekly!H223</f>
        <v>John / Sheila</v>
      </c>
      <c r="I223" s="9">
        <f>fact_kpi_weekly!I223</f>
        <v>158758</v>
      </c>
      <c r="J223" s="22">
        <f>fact_kpi_weekly!J223</f>
        <v>158758</v>
      </c>
      <c r="K223" s="20" t="str">
        <f t="array" ref="K223">IFERROR(INDEX(dim_date!H:H,MATCH(A223,dim_date!A:A,0)),"")</f>
        <v>Dec</v>
      </c>
      <c r="L223" s="20" t="str">
        <f t="array" ref="L223">IFERROR(INDEX(dim_date!G:G,MATCH(A223,dim_date!A:A,0)),"")</f>
        <v>12</v>
      </c>
      <c r="M223" s="9" t="str">
        <f t="array" ref="M223">IFERROR(INDEX(dim_date!I:I,MATCH(A223,dim_date!A:A,0)),"")</f>
        <v>Q4</v>
      </c>
      <c r="N223" s="20" t="str">
        <f t="array" ref="N223">IFERROR(INDEX(dim_date!K:K,MATCH(A223,dim_date!A:A,0)),"")</f>
        <v>51</v>
      </c>
      <c r="O223" s="9" t="str">
        <f t="array" ref="O223">IFERROR(INDEX(dim_date!F:F,MATCH(A223,dim_date!A:A,0)),"")</f>
        <v>12/13-12/19</v>
      </c>
      <c r="P223" s="9" t="str">
        <f t="array" ref="P223">IFERROR(INDEX(dim_kpi!E:E,MATCH(D223,dim_kpi!C:C,0)),"")</f>
        <v>count</v>
      </c>
      <c r="Q223" s="9" t="str">
        <f t="array" ref="Q223">IFERROR(INDEX(dim_kpi!F:F,MATCH(D223,dim_kpi!C:C,0)),"")</f>
        <v>Y</v>
      </c>
    </row>
    <row r="224" ht="12.75" customHeight="1">
      <c r="A224" s="20" t="str">
        <f>fact_kpi_weekly!A224</f>
        <v>261220</v>
      </c>
      <c r="B224" s="21">
        <f>fact_kpi_weekly!B224</f>
        <v>46376</v>
      </c>
      <c r="C224" s="9" t="str">
        <f>fact_kpi_weekly!C224</f>
        <v>Contracted Lives</v>
      </c>
      <c r="D224" s="9" t="str">
        <f>fact_kpi_weekly!D224</f>
        <v>Eligible Forecast - New Store Cumulative</v>
      </c>
      <c r="E224" s="9" t="str">
        <f>fact_kpi_weekly!E224</f>
        <v>Forecast</v>
      </c>
      <c r="F224" s="9" t="str">
        <f>IF(fact_kpi_weekly!F224="","",fact_kpi_weekly!F224)</f>
        <v/>
      </c>
      <c r="G224" s="9" t="str">
        <f>fact_kpi_weekly!G224</f>
        <v>New Store</v>
      </c>
      <c r="H224" s="9" t="str">
        <f>fact_kpi_weekly!H224</f>
        <v>John / Sheila</v>
      </c>
      <c r="I224" s="9">
        <f>fact_kpi_weekly!I224</f>
        <v>158758</v>
      </c>
      <c r="J224" s="22">
        <f>fact_kpi_weekly!J224</f>
        <v>158758</v>
      </c>
      <c r="K224" s="20" t="str">
        <f t="array" ref="K224">IFERROR(INDEX(dim_date!H:H,MATCH(A224,dim_date!A:A,0)),"")</f>
        <v>Dec</v>
      </c>
      <c r="L224" s="20" t="str">
        <f t="array" ref="L224">IFERROR(INDEX(dim_date!G:G,MATCH(A224,dim_date!A:A,0)),"")</f>
        <v>12</v>
      </c>
      <c r="M224" s="9" t="str">
        <f t="array" ref="M224">IFERROR(INDEX(dim_date!I:I,MATCH(A224,dim_date!A:A,0)),"")</f>
        <v>Q4</v>
      </c>
      <c r="N224" s="20" t="str">
        <f t="array" ref="N224">IFERROR(INDEX(dim_date!K:K,MATCH(A224,dim_date!A:A,0)),"")</f>
        <v>52</v>
      </c>
      <c r="O224" s="9" t="str">
        <f t="array" ref="O224">IFERROR(INDEX(dim_date!F:F,MATCH(A224,dim_date!A:A,0)),"")</f>
        <v>12/20-12/26</v>
      </c>
      <c r="P224" s="9" t="str">
        <f t="array" ref="P224">IFERROR(INDEX(dim_kpi!E:E,MATCH(D224,dim_kpi!C:C,0)),"")</f>
        <v>count</v>
      </c>
      <c r="Q224" s="9" t="str">
        <f t="array" ref="Q224">IFERROR(INDEX(dim_kpi!F:F,MATCH(D224,dim_kpi!C:C,0)),"")</f>
        <v>Y</v>
      </c>
    </row>
    <row r="225" ht="12.75" customHeight="1">
      <c r="A225" s="20" t="str">
        <f>fact_kpi_weekly!A225</f>
        <v>261227</v>
      </c>
      <c r="B225" s="21">
        <f>fact_kpi_weekly!B225</f>
        <v>46383</v>
      </c>
      <c r="C225" s="9" t="str">
        <f>fact_kpi_weekly!C225</f>
        <v>Contracted Lives</v>
      </c>
      <c r="D225" s="9" t="str">
        <f>fact_kpi_weekly!D225</f>
        <v>Eligible Forecast - New Store Cumulative</v>
      </c>
      <c r="E225" s="9" t="str">
        <f>fact_kpi_weekly!E225</f>
        <v>Forecast</v>
      </c>
      <c r="F225" s="9" t="str">
        <f>IF(fact_kpi_weekly!F225="","",fact_kpi_weekly!F225)</f>
        <v/>
      </c>
      <c r="G225" s="9" t="str">
        <f>fact_kpi_weekly!G225</f>
        <v>New Store</v>
      </c>
      <c r="H225" s="9" t="str">
        <f>fact_kpi_weekly!H225</f>
        <v>John / Sheila</v>
      </c>
      <c r="I225" s="9">
        <f>fact_kpi_weekly!I225</f>
        <v>158758</v>
      </c>
      <c r="J225" s="22">
        <f>fact_kpi_weekly!J225</f>
        <v>158758</v>
      </c>
      <c r="K225" s="20" t="str">
        <f t="array" ref="K225">IFERROR(INDEX(dim_date!H:H,MATCH(A225,dim_date!A:A,0)),"")</f>
        <v>Dec</v>
      </c>
      <c r="L225" s="20" t="str">
        <f t="array" ref="L225">IFERROR(INDEX(dim_date!G:G,MATCH(A225,dim_date!A:A,0)),"")</f>
        <v>12</v>
      </c>
      <c r="M225" s="9" t="str">
        <f t="array" ref="M225">IFERROR(INDEX(dim_date!I:I,MATCH(A225,dim_date!A:A,0)),"")</f>
        <v>Q4</v>
      </c>
      <c r="N225" s="20" t="str">
        <f t="array" ref="N225">IFERROR(INDEX(dim_date!K:K,MATCH(A225,dim_date!A:A,0)),"")</f>
        <v>53</v>
      </c>
      <c r="O225" s="9" t="str">
        <f t="array" ref="O225">IFERROR(INDEX(dim_date!F:F,MATCH(A225,dim_date!A:A,0)),"")</f>
        <v>12/27-1/2</v>
      </c>
      <c r="P225" s="9" t="str">
        <f t="array" ref="P225">IFERROR(INDEX(dim_kpi!E:E,MATCH(D225,dim_kpi!C:C,0)),"")</f>
        <v>count</v>
      </c>
      <c r="Q225" s="9" t="str">
        <f t="array" ref="Q225">IFERROR(INDEX(dim_kpi!F:F,MATCH(D225,dim_kpi!C:C,0)),"")</f>
        <v>Y</v>
      </c>
    </row>
    <row r="226" ht="12.75" customHeight="1">
      <c r="A226" s="20" t="str">
        <f>fact_kpi_weekly!A226</f>
        <v>260301</v>
      </c>
      <c r="B226" s="21">
        <f>fact_kpi_weekly!B226</f>
        <v>46082</v>
      </c>
      <c r="C226" s="9" t="str">
        <f>fact_kpi_weekly!C226</f>
        <v>Contracted Lives</v>
      </c>
      <c r="D226" s="9" t="str">
        <f>fact_kpi_weekly!D226</f>
        <v>Eligible Forecast - Same Store Cumulative</v>
      </c>
      <c r="E226" s="9" t="str">
        <f>fact_kpi_weekly!E226</f>
        <v>Forecast</v>
      </c>
      <c r="F226" s="9" t="str">
        <f>IF(fact_kpi_weekly!F226="","",fact_kpi_weekly!F226)</f>
        <v/>
      </c>
      <c r="G226" s="9" t="str">
        <f>fact_kpi_weekly!G226</f>
        <v>Same Store</v>
      </c>
      <c r="H226" s="9" t="str">
        <f>fact_kpi_weekly!H226</f>
        <v>John / Sheila</v>
      </c>
      <c r="I226" s="9">
        <f>fact_kpi_weekly!I226</f>
        <v>1569</v>
      </c>
      <c r="J226" s="22">
        <f>fact_kpi_weekly!J226</f>
        <v>1569</v>
      </c>
      <c r="K226" s="20" t="str">
        <f t="array" ref="K226">IFERROR(INDEX(dim_date!H:H,MATCH(A226,dim_date!A:A,0)),"")</f>
        <v>Mar</v>
      </c>
      <c r="L226" s="20" t="str">
        <f t="array" ref="L226">IFERROR(INDEX(dim_date!G:G,MATCH(A226,dim_date!A:A,0)),"")</f>
        <v>03</v>
      </c>
      <c r="M226" s="9" t="str">
        <f t="array" ref="M226">IFERROR(INDEX(dim_date!I:I,MATCH(A226,dim_date!A:A,0)),"")</f>
        <v>Q1</v>
      </c>
      <c r="N226" s="20" t="str">
        <f t="array" ref="N226">IFERROR(INDEX(dim_date!K:K,MATCH(A226,dim_date!A:A,0)),"")</f>
        <v>10</v>
      </c>
      <c r="O226" s="9" t="str">
        <f t="array" ref="O226">IFERROR(INDEX(dim_date!F:F,MATCH(A226,dim_date!A:A,0)),"")</f>
        <v>3/1-3/7</v>
      </c>
      <c r="P226" s="9" t="str">
        <f t="array" ref="P226">IFERROR(INDEX(dim_kpi!E:E,MATCH(D226,dim_kpi!C:C,0)),"")</f>
        <v>count</v>
      </c>
      <c r="Q226" s="9" t="str">
        <f t="array" ref="Q226">IFERROR(INDEX(dim_kpi!F:F,MATCH(D226,dim_kpi!C:C,0)),"")</f>
        <v>Y</v>
      </c>
    </row>
    <row r="227" ht="12.75" customHeight="1">
      <c r="A227" s="20" t="str">
        <f>fact_kpi_weekly!A227</f>
        <v>260308</v>
      </c>
      <c r="B227" s="21">
        <f>fact_kpi_weekly!B227</f>
        <v>46089</v>
      </c>
      <c r="C227" s="9" t="str">
        <f>fact_kpi_weekly!C227</f>
        <v>Contracted Lives</v>
      </c>
      <c r="D227" s="9" t="str">
        <f>fact_kpi_weekly!D227</f>
        <v>Eligible Forecast - Same Store Cumulative</v>
      </c>
      <c r="E227" s="9" t="str">
        <f>fact_kpi_weekly!E227</f>
        <v>Forecast</v>
      </c>
      <c r="F227" s="9" t="str">
        <f>IF(fact_kpi_weekly!F227="","",fact_kpi_weekly!F227)</f>
        <v/>
      </c>
      <c r="G227" s="9" t="str">
        <f>fact_kpi_weekly!G227</f>
        <v>Same Store</v>
      </c>
      <c r="H227" s="9" t="str">
        <f>fact_kpi_weekly!H227</f>
        <v>John / Sheila</v>
      </c>
      <c r="I227" s="9">
        <f>fact_kpi_weekly!I227</f>
        <v>3069</v>
      </c>
      <c r="J227" s="22">
        <f>fact_kpi_weekly!J227</f>
        <v>3069</v>
      </c>
      <c r="K227" s="20" t="str">
        <f t="array" ref="K227">IFERROR(INDEX(dim_date!H:H,MATCH(A227,dim_date!A:A,0)),"")</f>
        <v>Mar</v>
      </c>
      <c r="L227" s="20" t="str">
        <f t="array" ref="L227">IFERROR(INDEX(dim_date!G:G,MATCH(A227,dim_date!A:A,0)),"")</f>
        <v>03</v>
      </c>
      <c r="M227" s="9" t="str">
        <f t="array" ref="M227">IFERROR(INDEX(dim_date!I:I,MATCH(A227,dim_date!A:A,0)),"")</f>
        <v>Q1</v>
      </c>
      <c r="N227" s="20" t="str">
        <f t="array" ref="N227">IFERROR(INDEX(dim_date!K:K,MATCH(A227,dim_date!A:A,0)),"")</f>
        <v>11</v>
      </c>
      <c r="O227" s="9" t="str">
        <f t="array" ref="O227">IFERROR(INDEX(dim_date!F:F,MATCH(A227,dim_date!A:A,0)),"")</f>
        <v>3/8-3/14</v>
      </c>
      <c r="P227" s="9" t="str">
        <f t="array" ref="P227">IFERROR(INDEX(dim_kpi!E:E,MATCH(D227,dim_kpi!C:C,0)),"")</f>
        <v>count</v>
      </c>
      <c r="Q227" s="9" t="str">
        <f t="array" ref="Q227">IFERROR(INDEX(dim_kpi!F:F,MATCH(D227,dim_kpi!C:C,0)),"")</f>
        <v>Y</v>
      </c>
    </row>
    <row r="228" ht="12.75" customHeight="1">
      <c r="A228" s="20" t="str">
        <f>fact_kpi_weekly!A228</f>
        <v>260315</v>
      </c>
      <c r="B228" s="21">
        <f>fact_kpi_weekly!B228</f>
        <v>46096</v>
      </c>
      <c r="C228" s="9" t="str">
        <f>fact_kpi_weekly!C228</f>
        <v>Contracted Lives</v>
      </c>
      <c r="D228" s="9" t="str">
        <f>fact_kpi_weekly!D228</f>
        <v>Eligible Forecast - Same Store Cumulative</v>
      </c>
      <c r="E228" s="9" t="str">
        <f>fact_kpi_weekly!E228</f>
        <v>Forecast</v>
      </c>
      <c r="F228" s="9" t="str">
        <f>IF(fact_kpi_weekly!F228="","",fact_kpi_weekly!F228)</f>
        <v/>
      </c>
      <c r="G228" s="9" t="str">
        <f>fact_kpi_weekly!G228</f>
        <v>Same Store</v>
      </c>
      <c r="H228" s="9" t="str">
        <f>fact_kpi_weekly!H228</f>
        <v>John / Sheila</v>
      </c>
      <c r="I228" s="9">
        <f>fact_kpi_weekly!I228</f>
        <v>4569</v>
      </c>
      <c r="J228" s="22">
        <f>fact_kpi_weekly!J228</f>
        <v>4569</v>
      </c>
      <c r="K228" s="20" t="str">
        <f t="array" ref="K228">IFERROR(INDEX(dim_date!H:H,MATCH(A228,dim_date!A:A,0)),"")</f>
        <v>Mar</v>
      </c>
      <c r="L228" s="20" t="str">
        <f t="array" ref="L228">IFERROR(INDEX(dim_date!G:G,MATCH(A228,dim_date!A:A,0)),"")</f>
        <v>03</v>
      </c>
      <c r="M228" s="9" t="str">
        <f t="array" ref="M228">IFERROR(INDEX(dim_date!I:I,MATCH(A228,dim_date!A:A,0)),"")</f>
        <v>Q1</v>
      </c>
      <c r="N228" s="20" t="str">
        <f t="array" ref="N228">IFERROR(INDEX(dim_date!K:K,MATCH(A228,dim_date!A:A,0)),"")</f>
        <v>12</v>
      </c>
      <c r="O228" s="9" t="str">
        <f t="array" ref="O228">IFERROR(INDEX(dim_date!F:F,MATCH(A228,dim_date!A:A,0)),"")</f>
        <v>3/15-3/21</v>
      </c>
      <c r="P228" s="9" t="str">
        <f t="array" ref="P228">IFERROR(INDEX(dim_kpi!E:E,MATCH(D228,dim_kpi!C:C,0)),"")</f>
        <v>count</v>
      </c>
      <c r="Q228" s="9" t="str">
        <f t="array" ref="Q228">IFERROR(INDEX(dim_kpi!F:F,MATCH(D228,dim_kpi!C:C,0)),"")</f>
        <v>Y</v>
      </c>
    </row>
    <row r="229" ht="12.75" customHeight="1">
      <c r="A229" s="20" t="str">
        <f>fact_kpi_weekly!A229</f>
        <v>260322</v>
      </c>
      <c r="B229" s="21">
        <f>fact_kpi_weekly!B229</f>
        <v>46103</v>
      </c>
      <c r="C229" s="9" t="str">
        <f>fact_kpi_weekly!C229</f>
        <v>Contracted Lives</v>
      </c>
      <c r="D229" s="9" t="str">
        <f>fact_kpi_weekly!D229</f>
        <v>Eligible Forecast - Same Store Cumulative</v>
      </c>
      <c r="E229" s="9" t="str">
        <f>fact_kpi_weekly!E229</f>
        <v>Forecast</v>
      </c>
      <c r="F229" s="9" t="str">
        <f>IF(fact_kpi_weekly!F229="","",fact_kpi_weekly!F229)</f>
        <v/>
      </c>
      <c r="G229" s="9" t="str">
        <f>fact_kpi_weekly!G229</f>
        <v>Same Store</v>
      </c>
      <c r="H229" s="9" t="str">
        <f>fact_kpi_weekly!H229</f>
        <v>John / Sheila</v>
      </c>
      <c r="I229" s="9">
        <f>fact_kpi_weekly!I229</f>
        <v>6069</v>
      </c>
      <c r="J229" s="22">
        <f>fact_kpi_weekly!J229</f>
        <v>6069</v>
      </c>
      <c r="K229" s="20" t="str">
        <f t="array" ref="K229">IFERROR(INDEX(dim_date!H:H,MATCH(A229,dim_date!A:A,0)),"")</f>
        <v>Mar</v>
      </c>
      <c r="L229" s="20" t="str">
        <f t="array" ref="L229">IFERROR(INDEX(dim_date!G:G,MATCH(A229,dim_date!A:A,0)),"")</f>
        <v>03</v>
      </c>
      <c r="M229" s="9" t="str">
        <f t="array" ref="M229">IFERROR(INDEX(dim_date!I:I,MATCH(A229,dim_date!A:A,0)),"")</f>
        <v>Q1</v>
      </c>
      <c r="N229" s="20" t="str">
        <f t="array" ref="N229">IFERROR(INDEX(dim_date!K:K,MATCH(A229,dim_date!A:A,0)),"")</f>
        <v>13</v>
      </c>
      <c r="O229" s="9" t="str">
        <f t="array" ref="O229">IFERROR(INDEX(dim_date!F:F,MATCH(A229,dim_date!A:A,0)),"")</f>
        <v>3/22-3/28</v>
      </c>
      <c r="P229" s="9" t="str">
        <f t="array" ref="P229">IFERROR(INDEX(dim_kpi!E:E,MATCH(D229,dim_kpi!C:C,0)),"")</f>
        <v>count</v>
      </c>
      <c r="Q229" s="9" t="str">
        <f t="array" ref="Q229">IFERROR(INDEX(dim_kpi!F:F,MATCH(D229,dim_kpi!C:C,0)),"")</f>
        <v>Y</v>
      </c>
    </row>
    <row r="230" ht="12.75" customHeight="1">
      <c r="A230" s="20" t="str">
        <f>fact_kpi_weekly!A230</f>
        <v>260329</v>
      </c>
      <c r="B230" s="21">
        <f>fact_kpi_weekly!B230</f>
        <v>46110</v>
      </c>
      <c r="C230" s="9" t="str">
        <f>fact_kpi_weekly!C230</f>
        <v>Contracted Lives</v>
      </c>
      <c r="D230" s="9" t="str">
        <f>fact_kpi_weekly!D230</f>
        <v>Eligible Forecast - Same Store Cumulative</v>
      </c>
      <c r="E230" s="9" t="str">
        <f>fact_kpi_weekly!E230</f>
        <v>Forecast</v>
      </c>
      <c r="F230" s="9" t="str">
        <f>IF(fact_kpi_weekly!F230="","",fact_kpi_weekly!F230)</f>
        <v/>
      </c>
      <c r="G230" s="9" t="str">
        <f>fact_kpi_weekly!G230</f>
        <v>Same Store</v>
      </c>
      <c r="H230" s="9" t="str">
        <f>fact_kpi_weekly!H230</f>
        <v>John / Sheila</v>
      </c>
      <c r="I230" s="9">
        <f>fact_kpi_weekly!I230</f>
        <v>11069</v>
      </c>
      <c r="J230" s="22">
        <f>fact_kpi_weekly!J230</f>
        <v>11069</v>
      </c>
      <c r="K230" s="20" t="str">
        <f t="array" ref="K230">IFERROR(INDEX(dim_date!H:H,MATCH(A230,dim_date!A:A,0)),"")</f>
        <v>Mar</v>
      </c>
      <c r="L230" s="20" t="str">
        <f t="array" ref="L230">IFERROR(INDEX(dim_date!G:G,MATCH(A230,dim_date!A:A,0)),"")</f>
        <v>03</v>
      </c>
      <c r="M230" s="9" t="str">
        <f t="array" ref="M230">IFERROR(INDEX(dim_date!I:I,MATCH(A230,dim_date!A:A,0)),"")</f>
        <v>Q1</v>
      </c>
      <c r="N230" s="20" t="str">
        <f t="array" ref="N230">IFERROR(INDEX(dim_date!K:K,MATCH(A230,dim_date!A:A,0)),"")</f>
        <v>14</v>
      </c>
      <c r="O230" s="9" t="str">
        <f t="array" ref="O230">IFERROR(INDEX(dim_date!F:F,MATCH(A230,dim_date!A:A,0)),"")</f>
        <v>3/29-4/4</v>
      </c>
      <c r="P230" s="9" t="str">
        <f t="array" ref="P230">IFERROR(INDEX(dim_kpi!E:E,MATCH(D230,dim_kpi!C:C,0)),"")</f>
        <v>count</v>
      </c>
      <c r="Q230" s="9" t="str">
        <f t="array" ref="Q230">IFERROR(INDEX(dim_kpi!F:F,MATCH(D230,dim_kpi!C:C,0)),"")</f>
        <v>Y</v>
      </c>
    </row>
    <row r="231" ht="12.75" customHeight="1">
      <c r="A231" s="20" t="str">
        <f>fact_kpi_weekly!A231</f>
        <v>260405</v>
      </c>
      <c r="B231" s="21">
        <f>fact_kpi_weekly!B231</f>
        <v>46117</v>
      </c>
      <c r="C231" s="9" t="str">
        <f>fact_kpi_weekly!C231</f>
        <v>Contracted Lives</v>
      </c>
      <c r="D231" s="9" t="str">
        <f>fact_kpi_weekly!D231</f>
        <v>Eligible Forecast - Same Store Cumulative</v>
      </c>
      <c r="E231" s="9" t="str">
        <f>fact_kpi_weekly!E231</f>
        <v>Forecast</v>
      </c>
      <c r="F231" s="9" t="str">
        <f>IF(fact_kpi_weekly!F231="","",fact_kpi_weekly!F231)</f>
        <v/>
      </c>
      <c r="G231" s="9" t="str">
        <f>fact_kpi_weekly!G231</f>
        <v>Same Store</v>
      </c>
      <c r="H231" s="9" t="str">
        <f>fact_kpi_weekly!H231</f>
        <v>John / Sheila</v>
      </c>
      <c r="I231" s="9">
        <f>fact_kpi_weekly!I231</f>
        <v>12569</v>
      </c>
      <c r="J231" s="22">
        <f>fact_kpi_weekly!J231</f>
        <v>12569</v>
      </c>
      <c r="K231" s="20" t="str">
        <f t="array" ref="K231">IFERROR(INDEX(dim_date!H:H,MATCH(A231,dim_date!A:A,0)),"")</f>
        <v>Apr</v>
      </c>
      <c r="L231" s="20" t="str">
        <f t="array" ref="L231">IFERROR(INDEX(dim_date!G:G,MATCH(A231,dim_date!A:A,0)),"")</f>
        <v>04</v>
      </c>
      <c r="M231" s="9" t="str">
        <f t="array" ref="M231">IFERROR(INDEX(dim_date!I:I,MATCH(A231,dim_date!A:A,0)),"")</f>
        <v>Q2</v>
      </c>
      <c r="N231" s="20" t="str">
        <f t="array" ref="N231">IFERROR(INDEX(dim_date!K:K,MATCH(A231,dim_date!A:A,0)),"")</f>
        <v>15</v>
      </c>
      <c r="O231" s="9" t="str">
        <f t="array" ref="O231">IFERROR(INDEX(dim_date!F:F,MATCH(A231,dim_date!A:A,0)),"")</f>
        <v>4/5-4/11</v>
      </c>
      <c r="P231" s="9" t="str">
        <f t="array" ref="P231">IFERROR(INDEX(dim_kpi!E:E,MATCH(D231,dim_kpi!C:C,0)),"")</f>
        <v>count</v>
      </c>
      <c r="Q231" s="9" t="str">
        <f t="array" ref="Q231">IFERROR(INDEX(dim_kpi!F:F,MATCH(D231,dim_kpi!C:C,0)),"")</f>
        <v>Y</v>
      </c>
    </row>
    <row r="232" ht="12.75" customHeight="1">
      <c r="A232" s="20" t="str">
        <f>fact_kpi_weekly!A232</f>
        <v>260412</v>
      </c>
      <c r="B232" s="21">
        <f>fact_kpi_weekly!B232</f>
        <v>46124</v>
      </c>
      <c r="C232" s="9" t="str">
        <f>fact_kpi_weekly!C232</f>
        <v>Contracted Lives</v>
      </c>
      <c r="D232" s="9" t="str">
        <f>fact_kpi_weekly!D232</f>
        <v>Eligible Forecast - Same Store Cumulative</v>
      </c>
      <c r="E232" s="9" t="str">
        <f>fact_kpi_weekly!E232</f>
        <v>Forecast</v>
      </c>
      <c r="F232" s="9" t="str">
        <f>IF(fact_kpi_weekly!F232="","",fact_kpi_weekly!F232)</f>
        <v/>
      </c>
      <c r="G232" s="9" t="str">
        <f>fact_kpi_weekly!G232</f>
        <v>Same Store</v>
      </c>
      <c r="H232" s="9" t="str">
        <f>fact_kpi_weekly!H232</f>
        <v>John / Sheila</v>
      </c>
      <c r="I232" s="9">
        <f>fact_kpi_weekly!I232</f>
        <v>14069</v>
      </c>
      <c r="J232" s="22">
        <f>fact_kpi_weekly!J232</f>
        <v>14069</v>
      </c>
      <c r="K232" s="20" t="str">
        <f t="array" ref="K232">IFERROR(INDEX(dim_date!H:H,MATCH(A232,dim_date!A:A,0)),"")</f>
        <v>Apr</v>
      </c>
      <c r="L232" s="20" t="str">
        <f t="array" ref="L232">IFERROR(INDEX(dim_date!G:G,MATCH(A232,dim_date!A:A,0)),"")</f>
        <v>04</v>
      </c>
      <c r="M232" s="9" t="str">
        <f t="array" ref="M232">IFERROR(INDEX(dim_date!I:I,MATCH(A232,dim_date!A:A,0)),"")</f>
        <v>Q2</v>
      </c>
      <c r="N232" s="20" t="str">
        <f t="array" ref="N232">IFERROR(INDEX(dim_date!K:K,MATCH(A232,dim_date!A:A,0)),"")</f>
        <v>16</v>
      </c>
      <c r="O232" s="9" t="str">
        <f t="array" ref="O232">IFERROR(INDEX(dim_date!F:F,MATCH(A232,dim_date!A:A,0)),"")</f>
        <v>4/12-4/18</v>
      </c>
      <c r="P232" s="9" t="str">
        <f t="array" ref="P232">IFERROR(INDEX(dim_kpi!E:E,MATCH(D232,dim_kpi!C:C,0)),"")</f>
        <v>count</v>
      </c>
      <c r="Q232" s="9" t="str">
        <f t="array" ref="Q232">IFERROR(INDEX(dim_kpi!F:F,MATCH(D232,dim_kpi!C:C,0)),"")</f>
        <v>Y</v>
      </c>
    </row>
    <row r="233" ht="12.75" customHeight="1">
      <c r="A233" s="20" t="str">
        <f>fact_kpi_weekly!A233</f>
        <v>260419</v>
      </c>
      <c r="B233" s="21">
        <f>fact_kpi_weekly!B233</f>
        <v>46131</v>
      </c>
      <c r="C233" s="9" t="str">
        <f>fact_kpi_weekly!C233</f>
        <v>Contracted Lives</v>
      </c>
      <c r="D233" s="9" t="str">
        <f>fact_kpi_weekly!D233</f>
        <v>Eligible Forecast - Same Store Cumulative</v>
      </c>
      <c r="E233" s="9" t="str">
        <f>fact_kpi_weekly!E233</f>
        <v>Forecast</v>
      </c>
      <c r="F233" s="9" t="str">
        <f>IF(fact_kpi_weekly!F233="","",fact_kpi_weekly!F233)</f>
        <v/>
      </c>
      <c r="G233" s="9" t="str">
        <f>fact_kpi_weekly!G233</f>
        <v>Same Store</v>
      </c>
      <c r="H233" s="9" t="str">
        <f>fact_kpi_weekly!H233</f>
        <v>John / Sheila</v>
      </c>
      <c r="I233" s="9">
        <f>fact_kpi_weekly!I233</f>
        <v>15569</v>
      </c>
      <c r="J233" s="22">
        <f>fact_kpi_weekly!J233</f>
        <v>15569</v>
      </c>
      <c r="K233" s="20" t="str">
        <f t="array" ref="K233">IFERROR(INDEX(dim_date!H:H,MATCH(A233,dim_date!A:A,0)),"")</f>
        <v>Apr</v>
      </c>
      <c r="L233" s="20" t="str">
        <f t="array" ref="L233">IFERROR(INDEX(dim_date!G:G,MATCH(A233,dim_date!A:A,0)),"")</f>
        <v>04</v>
      </c>
      <c r="M233" s="9" t="str">
        <f t="array" ref="M233">IFERROR(INDEX(dim_date!I:I,MATCH(A233,dim_date!A:A,0)),"")</f>
        <v>Q2</v>
      </c>
      <c r="N233" s="20" t="str">
        <f t="array" ref="N233">IFERROR(INDEX(dim_date!K:K,MATCH(A233,dim_date!A:A,0)),"")</f>
        <v>17</v>
      </c>
      <c r="O233" s="9" t="str">
        <f t="array" ref="O233">IFERROR(INDEX(dim_date!F:F,MATCH(A233,dim_date!A:A,0)),"")</f>
        <v>4/19-4/25</v>
      </c>
      <c r="P233" s="9" t="str">
        <f t="array" ref="P233">IFERROR(INDEX(dim_kpi!E:E,MATCH(D233,dim_kpi!C:C,0)),"")</f>
        <v>count</v>
      </c>
      <c r="Q233" s="9" t="str">
        <f t="array" ref="Q233">IFERROR(INDEX(dim_kpi!F:F,MATCH(D233,dim_kpi!C:C,0)),"")</f>
        <v>Y</v>
      </c>
    </row>
    <row r="234" ht="12.75" customHeight="1">
      <c r="A234" s="20" t="str">
        <f>fact_kpi_weekly!A234</f>
        <v>260426</v>
      </c>
      <c r="B234" s="21">
        <f>fact_kpi_weekly!B234</f>
        <v>46138</v>
      </c>
      <c r="C234" s="9" t="str">
        <f>fact_kpi_weekly!C234</f>
        <v>Contracted Lives</v>
      </c>
      <c r="D234" s="9" t="str">
        <f>fact_kpi_weekly!D234</f>
        <v>Eligible Forecast - Same Store Cumulative</v>
      </c>
      <c r="E234" s="9" t="str">
        <f>fact_kpi_weekly!E234</f>
        <v>Forecast</v>
      </c>
      <c r="F234" s="9" t="str">
        <f>IF(fact_kpi_weekly!F234="","",fact_kpi_weekly!F234)</f>
        <v/>
      </c>
      <c r="G234" s="9" t="str">
        <f>fact_kpi_weekly!G234</f>
        <v>Same Store</v>
      </c>
      <c r="H234" s="9" t="str">
        <f>fact_kpi_weekly!H234</f>
        <v>John / Sheila</v>
      </c>
      <c r="I234" s="9">
        <f>fact_kpi_weekly!I234</f>
        <v>17069</v>
      </c>
      <c r="J234" s="22">
        <f>fact_kpi_weekly!J234</f>
        <v>17069</v>
      </c>
      <c r="K234" s="20" t="str">
        <f t="array" ref="K234">IFERROR(INDEX(dim_date!H:H,MATCH(A234,dim_date!A:A,0)),"")</f>
        <v>Apr</v>
      </c>
      <c r="L234" s="20" t="str">
        <f t="array" ref="L234">IFERROR(INDEX(dim_date!G:G,MATCH(A234,dim_date!A:A,0)),"")</f>
        <v>04</v>
      </c>
      <c r="M234" s="9" t="str">
        <f t="array" ref="M234">IFERROR(INDEX(dim_date!I:I,MATCH(A234,dim_date!A:A,0)),"")</f>
        <v>Q2</v>
      </c>
      <c r="N234" s="20" t="str">
        <f t="array" ref="N234">IFERROR(INDEX(dim_date!K:K,MATCH(A234,dim_date!A:A,0)),"")</f>
        <v>18</v>
      </c>
      <c r="O234" s="9" t="str">
        <f t="array" ref="O234">IFERROR(INDEX(dim_date!F:F,MATCH(A234,dim_date!A:A,0)),"")</f>
        <v>4/26-5/2</v>
      </c>
      <c r="P234" s="9" t="str">
        <f t="array" ref="P234">IFERROR(INDEX(dim_kpi!E:E,MATCH(D234,dim_kpi!C:C,0)),"")</f>
        <v>count</v>
      </c>
      <c r="Q234" s="9" t="str">
        <f t="array" ref="Q234">IFERROR(INDEX(dim_kpi!F:F,MATCH(D234,dim_kpi!C:C,0)),"")</f>
        <v>Y</v>
      </c>
    </row>
    <row r="235" ht="12.75" customHeight="1">
      <c r="A235" s="20" t="str">
        <f>fact_kpi_weekly!A235</f>
        <v>260503</v>
      </c>
      <c r="B235" s="21">
        <f>fact_kpi_weekly!B235</f>
        <v>46145</v>
      </c>
      <c r="C235" s="9" t="str">
        <f>fact_kpi_weekly!C235</f>
        <v>Contracted Lives</v>
      </c>
      <c r="D235" s="9" t="str">
        <f>fact_kpi_weekly!D235</f>
        <v>Eligible Forecast - Same Store Cumulative</v>
      </c>
      <c r="E235" s="9" t="str">
        <f>fact_kpi_weekly!E235</f>
        <v>Forecast</v>
      </c>
      <c r="F235" s="9" t="str">
        <f>IF(fact_kpi_weekly!F235="","",fact_kpi_weekly!F235)</f>
        <v/>
      </c>
      <c r="G235" s="9" t="str">
        <f>fact_kpi_weekly!G235</f>
        <v>Same Store</v>
      </c>
      <c r="H235" s="9" t="str">
        <f>fact_kpi_weekly!H235</f>
        <v>John / Sheila</v>
      </c>
      <c r="I235" s="9">
        <f>fact_kpi_weekly!I235</f>
        <v>18569</v>
      </c>
      <c r="J235" s="22">
        <f>fact_kpi_weekly!J235</f>
        <v>18569</v>
      </c>
      <c r="K235" s="20" t="str">
        <f t="array" ref="K235">IFERROR(INDEX(dim_date!H:H,MATCH(A235,dim_date!A:A,0)),"")</f>
        <v>May</v>
      </c>
      <c r="L235" s="20" t="str">
        <f t="array" ref="L235">IFERROR(INDEX(dim_date!G:G,MATCH(A235,dim_date!A:A,0)),"")</f>
        <v>05</v>
      </c>
      <c r="M235" s="9" t="str">
        <f t="array" ref="M235">IFERROR(INDEX(dim_date!I:I,MATCH(A235,dim_date!A:A,0)),"")</f>
        <v>Q2</v>
      </c>
      <c r="N235" s="20" t="str">
        <f t="array" ref="N235">IFERROR(INDEX(dim_date!K:K,MATCH(A235,dim_date!A:A,0)),"")</f>
        <v>19</v>
      </c>
      <c r="O235" s="9" t="str">
        <f t="array" ref="O235">IFERROR(INDEX(dim_date!F:F,MATCH(A235,dim_date!A:A,0)),"")</f>
        <v>5/3-5/9</v>
      </c>
      <c r="P235" s="9" t="str">
        <f t="array" ref="P235">IFERROR(INDEX(dim_kpi!E:E,MATCH(D235,dim_kpi!C:C,0)),"")</f>
        <v>count</v>
      </c>
      <c r="Q235" s="9" t="str">
        <f t="array" ref="Q235">IFERROR(INDEX(dim_kpi!F:F,MATCH(D235,dim_kpi!C:C,0)),"")</f>
        <v>Y</v>
      </c>
    </row>
    <row r="236" ht="12.75" customHeight="1">
      <c r="A236" s="20" t="str">
        <f>fact_kpi_weekly!A236</f>
        <v>260510</v>
      </c>
      <c r="B236" s="21">
        <f>fact_kpi_weekly!B236</f>
        <v>46152</v>
      </c>
      <c r="C236" s="9" t="str">
        <f>fact_kpi_weekly!C236</f>
        <v>Contracted Lives</v>
      </c>
      <c r="D236" s="9" t="str">
        <f>fact_kpi_weekly!D236</f>
        <v>Eligible Forecast - Same Store Cumulative</v>
      </c>
      <c r="E236" s="9" t="str">
        <f>fact_kpi_weekly!E236</f>
        <v>Forecast</v>
      </c>
      <c r="F236" s="9" t="str">
        <f>IF(fact_kpi_weekly!F236="","",fact_kpi_weekly!F236)</f>
        <v/>
      </c>
      <c r="G236" s="9" t="str">
        <f>fact_kpi_weekly!G236</f>
        <v>Same Store</v>
      </c>
      <c r="H236" s="9" t="str">
        <f>fact_kpi_weekly!H236</f>
        <v>John / Sheila</v>
      </c>
      <c r="I236" s="9">
        <f>fact_kpi_weekly!I236</f>
        <v>20069</v>
      </c>
      <c r="J236" s="22">
        <f>fact_kpi_weekly!J236</f>
        <v>20069</v>
      </c>
      <c r="K236" s="20" t="str">
        <f t="array" ref="K236">IFERROR(INDEX(dim_date!H:H,MATCH(A236,dim_date!A:A,0)),"")</f>
        <v>May</v>
      </c>
      <c r="L236" s="20" t="str">
        <f t="array" ref="L236">IFERROR(INDEX(dim_date!G:G,MATCH(A236,dim_date!A:A,0)),"")</f>
        <v>05</v>
      </c>
      <c r="M236" s="9" t="str">
        <f t="array" ref="M236">IFERROR(INDEX(dim_date!I:I,MATCH(A236,dim_date!A:A,0)),"")</f>
        <v>Q2</v>
      </c>
      <c r="N236" s="20" t="str">
        <f t="array" ref="N236">IFERROR(INDEX(dim_date!K:K,MATCH(A236,dim_date!A:A,0)),"")</f>
        <v>20</v>
      </c>
      <c r="O236" s="9" t="str">
        <f t="array" ref="O236">IFERROR(INDEX(dim_date!F:F,MATCH(A236,dim_date!A:A,0)),"")</f>
        <v>5/10-5/16</v>
      </c>
      <c r="P236" s="9" t="str">
        <f t="array" ref="P236">IFERROR(INDEX(dim_kpi!E:E,MATCH(D236,dim_kpi!C:C,0)),"")</f>
        <v>count</v>
      </c>
      <c r="Q236" s="9" t="str">
        <f t="array" ref="Q236">IFERROR(INDEX(dim_kpi!F:F,MATCH(D236,dim_kpi!C:C,0)),"")</f>
        <v>Y</v>
      </c>
    </row>
    <row r="237" ht="12.75" customHeight="1">
      <c r="A237" s="20" t="str">
        <f>fact_kpi_weekly!A237</f>
        <v>260517</v>
      </c>
      <c r="B237" s="21">
        <f>fact_kpi_weekly!B237</f>
        <v>46159</v>
      </c>
      <c r="C237" s="9" t="str">
        <f>fact_kpi_weekly!C237</f>
        <v>Contracted Lives</v>
      </c>
      <c r="D237" s="9" t="str">
        <f>fact_kpi_weekly!D237</f>
        <v>Eligible Forecast - Same Store Cumulative</v>
      </c>
      <c r="E237" s="9" t="str">
        <f>fact_kpi_weekly!E237</f>
        <v>Forecast</v>
      </c>
      <c r="F237" s="9" t="str">
        <f>IF(fact_kpi_weekly!F237="","",fact_kpi_weekly!F237)</f>
        <v/>
      </c>
      <c r="G237" s="9" t="str">
        <f>fact_kpi_weekly!G237</f>
        <v>Same Store</v>
      </c>
      <c r="H237" s="9" t="str">
        <f>fact_kpi_weekly!H237</f>
        <v>John / Sheila</v>
      </c>
      <c r="I237" s="9">
        <f>fact_kpi_weekly!I237</f>
        <v>21569</v>
      </c>
      <c r="J237" s="22">
        <f>fact_kpi_weekly!J237</f>
        <v>21569</v>
      </c>
      <c r="K237" s="20" t="str">
        <f t="array" ref="K237">IFERROR(INDEX(dim_date!H:H,MATCH(A237,dim_date!A:A,0)),"")</f>
        <v>May</v>
      </c>
      <c r="L237" s="20" t="str">
        <f t="array" ref="L237">IFERROR(INDEX(dim_date!G:G,MATCH(A237,dim_date!A:A,0)),"")</f>
        <v>05</v>
      </c>
      <c r="M237" s="9" t="str">
        <f t="array" ref="M237">IFERROR(INDEX(dim_date!I:I,MATCH(A237,dim_date!A:A,0)),"")</f>
        <v>Q2</v>
      </c>
      <c r="N237" s="20" t="str">
        <f t="array" ref="N237">IFERROR(INDEX(dim_date!K:K,MATCH(A237,dim_date!A:A,0)),"")</f>
        <v>21</v>
      </c>
      <c r="O237" s="9" t="str">
        <f t="array" ref="O237">IFERROR(INDEX(dim_date!F:F,MATCH(A237,dim_date!A:A,0)),"")</f>
        <v>5/17-5/23</v>
      </c>
      <c r="P237" s="9" t="str">
        <f t="array" ref="P237">IFERROR(INDEX(dim_kpi!E:E,MATCH(D237,dim_kpi!C:C,0)),"")</f>
        <v>count</v>
      </c>
      <c r="Q237" s="9" t="str">
        <f t="array" ref="Q237">IFERROR(INDEX(dim_kpi!F:F,MATCH(D237,dim_kpi!C:C,0)),"")</f>
        <v>Y</v>
      </c>
    </row>
    <row r="238" ht="12.75" customHeight="1">
      <c r="A238" s="20" t="str">
        <f>fact_kpi_weekly!A238</f>
        <v>260524</v>
      </c>
      <c r="B238" s="21">
        <f>fact_kpi_weekly!B238</f>
        <v>46166</v>
      </c>
      <c r="C238" s="9" t="str">
        <f>fact_kpi_weekly!C238</f>
        <v>Contracted Lives</v>
      </c>
      <c r="D238" s="9" t="str">
        <f>fact_kpi_weekly!D238</f>
        <v>Eligible Forecast - Same Store Cumulative</v>
      </c>
      <c r="E238" s="9" t="str">
        <f>fact_kpi_weekly!E238</f>
        <v>Forecast</v>
      </c>
      <c r="F238" s="9" t="str">
        <f>IF(fact_kpi_weekly!F238="","",fact_kpi_weekly!F238)</f>
        <v/>
      </c>
      <c r="G238" s="9" t="str">
        <f>fact_kpi_weekly!G238</f>
        <v>Same Store</v>
      </c>
      <c r="H238" s="9" t="str">
        <f>fact_kpi_weekly!H238</f>
        <v>John / Sheila</v>
      </c>
      <c r="I238" s="9">
        <f>fact_kpi_weekly!I238</f>
        <v>23069</v>
      </c>
      <c r="J238" s="22">
        <f>fact_kpi_weekly!J238</f>
        <v>23069</v>
      </c>
      <c r="K238" s="20" t="str">
        <f t="array" ref="K238">IFERROR(INDEX(dim_date!H:H,MATCH(A238,dim_date!A:A,0)),"")</f>
        <v>May</v>
      </c>
      <c r="L238" s="20" t="str">
        <f t="array" ref="L238">IFERROR(INDEX(dim_date!G:G,MATCH(A238,dim_date!A:A,0)),"")</f>
        <v>05</v>
      </c>
      <c r="M238" s="9" t="str">
        <f t="array" ref="M238">IFERROR(INDEX(dim_date!I:I,MATCH(A238,dim_date!A:A,0)),"")</f>
        <v>Q2</v>
      </c>
      <c r="N238" s="20" t="str">
        <f t="array" ref="N238">IFERROR(INDEX(dim_date!K:K,MATCH(A238,dim_date!A:A,0)),"")</f>
        <v>22</v>
      </c>
      <c r="O238" s="9" t="str">
        <f t="array" ref="O238">IFERROR(INDEX(dim_date!F:F,MATCH(A238,dim_date!A:A,0)),"")</f>
        <v>5/24-5/30</v>
      </c>
      <c r="P238" s="9" t="str">
        <f t="array" ref="P238">IFERROR(INDEX(dim_kpi!E:E,MATCH(D238,dim_kpi!C:C,0)),"")</f>
        <v>count</v>
      </c>
      <c r="Q238" s="9" t="str">
        <f t="array" ref="Q238">IFERROR(INDEX(dim_kpi!F:F,MATCH(D238,dim_kpi!C:C,0)),"")</f>
        <v>Y</v>
      </c>
    </row>
    <row r="239" ht="12.75" customHeight="1">
      <c r="A239" s="20" t="str">
        <f>fact_kpi_weekly!A239</f>
        <v>260601</v>
      </c>
      <c r="B239" s="21">
        <f>fact_kpi_weekly!B239</f>
        <v>46174</v>
      </c>
      <c r="C239" s="9" t="str">
        <f>fact_kpi_weekly!C239</f>
        <v>Contracted Lives</v>
      </c>
      <c r="D239" s="9" t="str">
        <f>fact_kpi_weekly!D239</f>
        <v>Eligible Forecast - Same Store Cumulative</v>
      </c>
      <c r="E239" s="9" t="str">
        <f>fact_kpi_weekly!E239</f>
        <v>Forecast</v>
      </c>
      <c r="F239" s="9" t="str">
        <f>IF(fact_kpi_weekly!F239="","",fact_kpi_weekly!F239)</f>
        <v/>
      </c>
      <c r="G239" s="9" t="str">
        <f>fact_kpi_weekly!G239</f>
        <v>Same Store</v>
      </c>
      <c r="H239" s="9" t="str">
        <f>fact_kpi_weekly!H239</f>
        <v>John / Sheila</v>
      </c>
      <c r="I239" s="9">
        <f>fact_kpi_weekly!I239</f>
        <v>24569</v>
      </c>
      <c r="J239" s="22">
        <f>fact_kpi_weekly!J239</f>
        <v>24569</v>
      </c>
      <c r="K239" s="20" t="str">
        <f t="array" ref="K239">IFERROR(INDEX(dim_date!H:H,MATCH(A239,dim_date!A:A,0)),"")</f>
        <v>Jun</v>
      </c>
      <c r="L239" s="20" t="str">
        <f t="array" ref="L239">IFERROR(INDEX(dim_date!G:G,MATCH(A239,dim_date!A:A,0)),"")</f>
        <v>06</v>
      </c>
      <c r="M239" s="9" t="str">
        <f t="array" ref="M239">IFERROR(INDEX(dim_date!I:I,MATCH(A239,dim_date!A:A,0)),"")</f>
        <v>Q2</v>
      </c>
      <c r="N239" s="20" t="str">
        <f t="array" ref="N239">IFERROR(INDEX(dim_date!K:K,MATCH(A239,dim_date!A:A,0)),"")</f>
        <v>23</v>
      </c>
      <c r="O239" s="9" t="str">
        <f t="array" ref="O239">IFERROR(INDEX(dim_date!F:F,MATCH(A239,dim_date!A:A,0)),"")</f>
        <v>5/31-6/6</v>
      </c>
      <c r="P239" s="9" t="str">
        <f t="array" ref="P239">IFERROR(INDEX(dim_kpi!E:E,MATCH(D239,dim_kpi!C:C,0)),"")</f>
        <v>count</v>
      </c>
      <c r="Q239" s="9" t="str">
        <f t="array" ref="Q239">IFERROR(INDEX(dim_kpi!F:F,MATCH(D239,dim_kpi!C:C,0)),"")</f>
        <v>Y</v>
      </c>
    </row>
    <row r="240" ht="12.75" customHeight="1">
      <c r="A240" s="20" t="str">
        <f>fact_kpi_weekly!A240</f>
        <v>260607</v>
      </c>
      <c r="B240" s="21">
        <f>fact_kpi_weekly!B240</f>
        <v>46180</v>
      </c>
      <c r="C240" s="9" t="str">
        <f>fact_kpi_weekly!C240</f>
        <v>Contracted Lives</v>
      </c>
      <c r="D240" s="9" t="str">
        <f>fact_kpi_weekly!D240</f>
        <v>Eligible Forecast - Same Store Cumulative</v>
      </c>
      <c r="E240" s="9" t="str">
        <f>fact_kpi_weekly!E240</f>
        <v>Forecast</v>
      </c>
      <c r="F240" s="9" t="str">
        <f>IF(fact_kpi_weekly!F240="","",fact_kpi_weekly!F240)</f>
        <v/>
      </c>
      <c r="G240" s="9" t="str">
        <f>fact_kpi_weekly!G240</f>
        <v>Same Store</v>
      </c>
      <c r="H240" s="9" t="str">
        <f>fact_kpi_weekly!H240</f>
        <v>John / Sheila</v>
      </c>
      <c r="I240" s="9">
        <f>fact_kpi_weekly!I240</f>
        <v>26069</v>
      </c>
      <c r="J240" s="22">
        <f>fact_kpi_weekly!J240</f>
        <v>26069</v>
      </c>
      <c r="K240" s="20" t="str">
        <f t="array" ref="K240">IFERROR(INDEX(dim_date!H:H,MATCH(A240,dim_date!A:A,0)),"")</f>
        <v>Jun</v>
      </c>
      <c r="L240" s="20" t="str">
        <f t="array" ref="L240">IFERROR(INDEX(dim_date!G:G,MATCH(A240,dim_date!A:A,0)),"")</f>
        <v>06</v>
      </c>
      <c r="M240" s="9" t="str">
        <f t="array" ref="M240">IFERROR(INDEX(dim_date!I:I,MATCH(A240,dim_date!A:A,0)),"")</f>
        <v>Q2</v>
      </c>
      <c r="N240" s="20" t="str">
        <f t="array" ref="N240">IFERROR(INDEX(dim_date!K:K,MATCH(A240,dim_date!A:A,0)),"")</f>
        <v>24</v>
      </c>
      <c r="O240" s="9" t="str">
        <f t="array" ref="O240">IFERROR(INDEX(dim_date!F:F,MATCH(A240,dim_date!A:A,0)),"")</f>
        <v>6/7-6/13</v>
      </c>
      <c r="P240" s="9" t="str">
        <f t="array" ref="P240">IFERROR(INDEX(dim_kpi!E:E,MATCH(D240,dim_kpi!C:C,0)),"")</f>
        <v>count</v>
      </c>
      <c r="Q240" s="9" t="str">
        <f t="array" ref="Q240">IFERROR(INDEX(dim_kpi!F:F,MATCH(D240,dim_kpi!C:C,0)),"")</f>
        <v>Y</v>
      </c>
    </row>
    <row r="241" ht="12.75" customHeight="1">
      <c r="A241" s="20" t="str">
        <f>fact_kpi_weekly!A241</f>
        <v>260614</v>
      </c>
      <c r="B241" s="21">
        <f>fact_kpi_weekly!B241</f>
        <v>46187</v>
      </c>
      <c r="C241" s="9" t="str">
        <f>fact_kpi_weekly!C241</f>
        <v>Contracted Lives</v>
      </c>
      <c r="D241" s="9" t="str">
        <f>fact_kpi_weekly!D241</f>
        <v>Eligible Forecast - Same Store Cumulative</v>
      </c>
      <c r="E241" s="9" t="str">
        <f>fact_kpi_weekly!E241</f>
        <v>Forecast</v>
      </c>
      <c r="F241" s="9" t="str">
        <f>IF(fact_kpi_weekly!F241="","",fact_kpi_weekly!F241)</f>
        <v/>
      </c>
      <c r="G241" s="9" t="str">
        <f>fact_kpi_weekly!G241</f>
        <v>Same Store</v>
      </c>
      <c r="H241" s="9" t="str">
        <f>fact_kpi_weekly!H241</f>
        <v>John / Sheila</v>
      </c>
      <c r="I241" s="9">
        <f>fact_kpi_weekly!I241</f>
        <v>27569</v>
      </c>
      <c r="J241" s="22">
        <f>fact_kpi_weekly!J241</f>
        <v>27569</v>
      </c>
      <c r="K241" s="20" t="str">
        <f t="array" ref="K241">IFERROR(INDEX(dim_date!H:H,MATCH(A241,dim_date!A:A,0)),"")</f>
        <v>Jun</v>
      </c>
      <c r="L241" s="20" t="str">
        <f t="array" ref="L241">IFERROR(INDEX(dim_date!G:G,MATCH(A241,dim_date!A:A,0)),"")</f>
        <v>06</v>
      </c>
      <c r="M241" s="9" t="str">
        <f t="array" ref="M241">IFERROR(INDEX(dim_date!I:I,MATCH(A241,dim_date!A:A,0)),"")</f>
        <v>Q2</v>
      </c>
      <c r="N241" s="20" t="str">
        <f t="array" ref="N241">IFERROR(INDEX(dim_date!K:K,MATCH(A241,dim_date!A:A,0)),"")</f>
        <v>25</v>
      </c>
      <c r="O241" s="9" t="str">
        <f t="array" ref="O241">IFERROR(INDEX(dim_date!F:F,MATCH(A241,dim_date!A:A,0)),"")</f>
        <v>6/14-6/20</v>
      </c>
      <c r="P241" s="9" t="str">
        <f t="array" ref="P241">IFERROR(INDEX(dim_kpi!E:E,MATCH(D241,dim_kpi!C:C,0)),"")</f>
        <v>count</v>
      </c>
      <c r="Q241" s="9" t="str">
        <f t="array" ref="Q241">IFERROR(INDEX(dim_kpi!F:F,MATCH(D241,dim_kpi!C:C,0)),"")</f>
        <v>Y</v>
      </c>
    </row>
    <row r="242" ht="12.75" customHeight="1">
      <c r="A242" s="20" t="str">
        <f>fact_kpi_weekly!A242</f>
        <v>260621</v>
      </c>
      <c r="B242" s="21">
        <f>fact_kpi_weekly!B242</f>
        <v>46194</v>
      </c>
      <c r="C242" s="9" t="str">
        <f>fact_kpi_weekly!C242</f>
        <v>Contracted Lives</v>
      </c>
      <c r="D242" s="9" t="str">
        <f>fact_kpi_weekly!D242</f>
        <v>Eligible Forecast - Same Store Cumulative</v>
      </c>
      <c r="E242" s="9" t="str">
        <f>fact_kpi_weekly!E242</f>
        <v>Forecast</v>
      </c>
      <c r="F242" s="9" t="str">
        <f>IF(fact_kpi_weekly!F242="","",fact_kpi_weekly!F242)</f>
        <v/>
      </c>
      <c r="G242" s="9" t="str">
        <f>fact_kpi_weekly!G242</f>
        <v>Same Store</v>
      </c>
      <c r="H242" s="9" t="str">
        <f>fact_kpi_weekly!H242</f>
        <v>John / Sheila</v>
      </c>
      <c r="I242" s="9">
        <f>fact_kpi_weekly!I242</f>
        <v>29069</v>
      </c>
      <c r="J242" s="22">
        <f>fact_kpi_weekly!J242</f>
        <v>29069</v>
      </c>
      <c r="K242" s="20" t="str">
        <f t="array" ref="K242">IFERROR(INDEX(dim_date!H:H,MATCH(A242,dim_date!A:A,0)),"")</f>
        <v>Jun</v>
      </c>
      <c r="L242" s="20" t="str">
        <f t="array" ref="L242">IFERROR(INDEX(dim_date!G:G,MATCH(A242,dim_date!A:A,0)),"")</f>
        <v>06</v>
      </c>
      <c r="M242" s="9" t="str">
        <f t="array" ref="M242">IFERROR(INDEX(dim_date!I:I,MATCH(A242,dim_date!A:A,0)),"")</f>
        <v>Q2</v>
      </c>
      <c r="N242" s="20" t="str">
        <f t="array" ref="N242">IFERROR(INDEX(dim_date!K:K,MATCH(A242,dim_date!A:A,0)),"")</f>
        <v>26</v>
      </c>
      <c r="O242" s="9" t="str">
        <f t="array" ref="O242">IFERROR(INDEX(dim_date!F:F,MATCH(A242,dim_date!A:A,0)),"")</f>
        <v>6/21-6/27</v>
      </c>
      <c r="P242" s="9" t="str">
        <f t="array" ref="P242">IFERROR(INDEX(dim_kpi!E:E,MATCH(D242,dim_kpi!C:C,0)),"")</f>
        <v>count</v>
      </c>
      <c r="Q242" s="9" t="str">
        <f t="array" ref="Q242">IFERROR(INDEX(dim_kpi!F:F,MATCH(D242,dim_kpi!C:C,0)),"")</f>
        <v>Y</v>
      </c>
    </row>
    <row r="243" ht="12.75" customHeight="1">
      <c r="A243" s="20" t="str">
        <f>fact_kpi_weekly!A243</f>
        <v>260628</v>
      </c>
      <c r="B243" s="21">
        <f>fact_kpi_weekly!B243</f>
        <v>46201</v>
      </c>
      <c r="C243" s="9" t="str">
        <f>fact_kpi_weekly!C243</f>
        <v>Contracted Lives</v>
      </c>
      <c r="D243" s="9" t="str">
        <f>fact_kpi_weekly!D243</f>
        <v>Eligible Forecast - Same Store Cumulative</v>
      </c>
      <c r="E243" s="9" t="str">
        <f>fact_kpi_weekly!E243</f>
        <v>Forecast</v>
      </c>
      <c r="F243" s="9" t="str">
        <f>IF(fact_kpi_weekly!F243="","",fact_kpi_weekly!F243)</f>
        <v/>
      </c>
      <c r="G243" s="9" t="str">
        <f>fact_kpi_weekly!G243</f>
        <v>Same Store</v>
      </c>
      <c r="H243" s="9" t="str">
        <f>fact_kpi_weekly!H243</f>
        <v>John / Sheila</v>
      </c>
      <c r="I243" s="9">
        <f>fact_kpi_weekly!I243</f>
        <v>30819</v>
      </c>
      <c r="J243" s="22">
        <f>fact_kpi_weekly!J243</f>
        <v>30819</v>
      </c>
      <c r="K243" s="20" t="str">
        <f t="array" ref="K243">IFERROR(INDEX(dim_date!H:H,MATCH(A243,dim_date!A:A,0)),"")</f>
        <v>Jun</v>
      </c>
      <c r="L243" s="20" t="str">
        <f t="array" ref="L243">IFERROR(INDEX(dim_date!G:G,MATCH(A243,dim_date!A:A,0)),"")</f>
        <v>06</v>
      </c>
      <c r="M243" s="9" t="str">
        <f t="array" ref="M243">IFERROR(INDEX(dim_date!I:I,MATCH(A243,dim_date!A:A,0)),"")</f>
        <v>Q2</v>
      </c>
      <c r="N243" s="20" t="str">
        <f t="array" ref="N243">IFERROR(INDEX(dim_date!K:K,MATCH(A243,dim_date!A:A,0)),"")</f>
        <v>27</v>
      </c>
      <c r="O243" s="9" t="str">
        <f t="array" ref="O243">IFERROR(INDEX(dim_date!F:F,MATCH(A243,dim_date!A:A,0)),"")</f>
        <v>6/28-7/4</v>
      </c>
      <c r="P243" s="9" t="str">
        <f t="array" ref="P243">IFERROR(INDEX(dim_kpi!E:E,MATCH(D243,dim_kpi!C:C,0)),"")</f>
        <v>count</v>
      </c>
      <c r="Q243" s="9" t="str">
        <f t="array" ref="Q243">IFERROR(INDEX(dim_kpi!F:F,MATCH(D243,dim_kpi!C:C,0)),"")</f>
        <v>Y</v>
      </c>
    </row>
    <row r="244" ht="12.75" customHeight="1">
      <c r="A244" s="20" t="str">
        <f>fact_kpi_weekly!A244</f>
        <v>260705</v>
      </c>
      <c r="B244" s="21">
        <f>fact_kpi_weekly!B244</f>
        <v>46208</v>
      </c>
      <c r="C244" s="9" t="str">
        <f>fact_kpi_weekly!C244</f>
        <v>Contracted Lives</v>
      </c>
      <c r="D244" s="9" t="str">
        <f>fact_kpi_weekly!D244</f>
        <v>Eligible Forecast - Same Store Cumulative</v>
      </c>
      <c r="E244" s="9" t="str">
        <f>fact_kpi_weekly!E244</f>
        <v>Forecast</v>
      </c>
      <c r="F244" s="9" t="str">
        <f>IF(fact_kpi_weekly!F244="","",fact_kpi_weekly!F244)</f>
        <v/>
      </c>
      <c r="G244" s="9" t="str">
        <f>fact_kpi_weekly!G244</f>
        <v>Same Store</v>
      </c>
      <c r="H244" s="9" t="str">
        <f>fact_kpi_weekly!H244</f>
        <v>John / Sheila</v>
      </c>
      <c r="I244" s="9">
        <f>fact_kpi_weekly!I244</f>
        <v>32569</v>
      </c>
      <c r="J244" s="22">
        <f>fact_kpi_weekly!J244</f>
        <v>32569</v>
      </c>
      <c r="K244" s="20" t="str">
        <f t="array" ref="K244">IFERROR(INDEX(dim_date!H:H,MATCH(A244,dim_date!A:A,0)),"")</f>
        <v>Jul</v>
      </c>
      <c r="L244" s="20" t="str">
        <f t="array" ref="L244">IFERROR(INDEX(dim_date!G:G,MATCH(A244,dim_date!A:A,0)),"")</f>
        <v>07</v>
      </c>
      <c r="M244" s="9" t="str">
        <f t="array" ref="M244">IFERROR(INDEX(dim_date!I:I,MATCH(A244,dim_date!A:A,0)),"")</f>
        <v>Q3</v>
      </c>
      <c r="N244" s="20" t="str">
        <f t="array" ref="N244">IFERROR(INDEX(dim_date!K:K,MATCH(A244,dim_date!A:A,0)),"")</f>
        <v>28</v>
      </c>
      <c r="O244" s="9" t="str">
        <f t="array" ref="O244">IFERROR(INDEX(dim_date!F:F,MATCH(A244,dim_date!A:A,0)),"")</f>
        <v>7/5-7/11</v>
      </c>
      <c r="P244" s="9" t="str">
        <f t="array" ref="P244">IFERROR(INDEX(dim_kpi!E:E,MATCH(D244,dim_kpi!C:C,0)),"")</f>
        <v>count</v>
      </c>
      <c r="Q244" s="9" t="str">
        <f t="array" ref="Q244">IFERROR(INDEX(dim_kpi!F:F,MATCH(D244,dim_kpi!C:C,0)),"")</f>
        <v>Y</v>
      </c>
    </row>
    <row r="245" ht="12.75" customHeight="1">
      <c r="A245" s="20" t="str">
        <f>fact_kpi_weekly!A245</f>
        <v>260712</v>
      </c>
      <c r="B245" s="21">
        <f>fact_kpi_weekly!B245</f>
        <v>46215</v>
      </c>
      <c r="C245" s="9" t="str">
        <f>fact_kpi_weekly!C245</f>
        <v>Contracted Lives</v>
      </c>
      <c r="D245" s="9" t="str">
        <f>fact_kpi_weekly!D245</f>
        <v>Eligible Forecast - Same Store Cumulative</v>
      </c>
      <c r="E245" s="9" t="str">
        <f>fact_kpi_weekly!E245</f>
        <v>Forecast</v>
      </c>
      <c r="F245" s="9" t="str">
        <f>IF(fact_kpi_weekly!F245="","",fact_kpi_weekly!F245)</f>
        <v/>
      </c>
      <c r="G245" s="9" t="str">
        <f>fact_kpi_weekly!G245</f>
        <v>Same Store</v>
      </c>
      <c r="H245" s="9" t="str">
        <f>fact_kpi_weekly!H245</f>
        <v>John / Sheila</v>
      </c>
      <c r="I245" s="9">
        <f>fact_kpi_weekly!I245</f>
        <v>34319</v>
      </c>
      <c r="J245" s="22">
        <f>fact_kpi_weekly!J245</f>
        <v>34319</v>
      </c>
      <c r="K245" s="20" t="str">
        <f t="array" ref="K245">IFERROR(INDEX(dim_date!H:H,MATCH(A245,dim_date!A:A,0)),"")</f>
        <v>Jul</v>
      </c>
      <c r="L245" s="20" t="str">
        <f t="array" ref="L245">IFERROR(INDEX(dim_date!G:G,MATCH(A245,dim_date!A:A,0)),"")</f>
        <v>07</v>
      </c>
      <c r="M245" s="9" t="str">
        <f t="array" ref="M245">IFERROR(INDEX(dim_date!I:I,MATCH(A245,dim_date!A:A,0)),"")</f>
        <v>Q3</v>
      </c>
      <c r="N245" s="20" t="str">
        <f t="array" ref="N245">IFERROR(INDEX(dim_date!K:K,MATCH(A245,dim_date!A:A,0)),"")</f>
        <v>29</v>
      </c>
      <c r="O245" s="9" t="str">
        <f t="array" ref="O245">IFERROR(INDEX(dim_date!F:F,MATCH(A245,dim_date!A:A,0)),"")</f>
        <v>7/12-7/18</v>
      </c>
      <c r="P245" s="9" t="str">
        <f t="array" ref="P245">IFERROR(INDEX(dim_kpi!E:E,MATCH(D245,dim_kpi!C:C,0)),"")</f>
        <v>count</v>
      </c>
      <c r="Q245" s="9" t="str">
        <f t="array" ref="Q245">IFERROR(INDEX(dim_kpi!F:F,MATCH(D245,dim_kpi!C:C,0)),"")</f>
        <v>Y</v>
      </c>
    </row>
    <row r="246" ht="12.75" customHeight="1">
      <c r="A246" s="20" t="str">
        <f>fact_kpi_weekly!A246</f>
        <v>260719</v>
      </c>
      <c r="B246" s="21">
        <f>fact_kpi_weekly!B246</f>
        <v>46222</v>
      </c>
      <c r="C246" s="9" t="str">
        <f>fact_kpi_weekly!C246</f>
        <v>Contracted Lives</v>
      </c>
      <c r="D246" s="9" t="str">
        <f>fact_kpi_weekly!D246</f>
        <v>Eligible Forecast - Same Store Cumulative</v>
      </c>
      <c r="E246" s="9" t="str">
        <f>fact_kpi_weekly!E246</f>
        <v>Forecast</v>
      </c>
      <c r="F246" s="9" t="str">
        <f>IF(fact_kpi_weekly!F246="","",fact_kpi_weekly!F246)</f>
        <v/>
      </c>
      <c r="G246" s="9" t="str">
        <f>fact_kpi_weekly!G246</f>
        <v>Same Store</v>
      </c>
      <c r="H246" s="9" t="str">
        <f>fact_kpi_weekly!H246</f>
        <v>John / Sheila</v>
      </c>
      <c r="I246" s="9">
        <f>fact_kpi_weekly!I246</f>
        <v>36069</v>
      </c>
      <c r="J246" s="22">
        <f>fact_kpi_weekly!J246</f>
        <v>36069</v>
      </c>
      <c r="K246" s="20" t="str">
        <f t="array" ref="K246">IFERROR(INDEX(dim_date!H:H,MATCH(A246,dim_date!A:A,0)),"")</f>
        <v>Jul</v>
      </c>
      <c r="L246" s="20" t="str">
        <f t="array" ref="L246">IFERROR(INDEX(dim_date!G:G,MATCH(A246,dim_date!A:A,0)),"")</f>
        <v>07</v>
      </c>
      <c r="M246" s="9" t="str">
        <f t="array" ref="M246">IFERROR(INDEX(dim_date!I:I,MATCH(A246,dim_date!A:A,0)),"")</f>
        <v>Q3</v>
      </c>
      <c r="N246" s="20" t="str">
        <f t="array" ref="N246">IFERROR(INDEX(dim_date!K:K,MATCH(A246,dim_date!A:A,0)),"")</f>
        <v>30</v>
      </c>
      <c r="O246" s="9" t="str">
        <f t="array" ref="O246">IFERROR(INDEX(dim_date!F:F,MATCH(A246,dim_date!A:A,0)),"")</f>
        <v>7/19-7/25</v>
      </c>
      <c r="P246" s="9" t="str">
        <f t="array" ref="P246">IFERROR(INDEX(dim_kpi!E:E,MATCH(D246,dim_kpi!C:C,0)),"")</f>
        <v>count</v>
      </c>
      <c r="Q246" s="9" t="str">
        <f t="array" ref="Q246">IFERROR(INDEX(dim_kpi!F:F,MATCH(D246,dim_kpi!C:C,0)),"")</f>
        <v>Y</v>
      </c>
    </row>
    <row r="247" ht="12.75" customHeight="1">
      <c r="A247" s="20" t="str">
        <f>fact_kpi_weekly!A247</f>
        <v>260726</v>
      </c>
      <c r="B247" s="21">
        <f>fact_kpi_weekly!B247</f>
        <v>46229</v>
      </c>
      <c r="C247" s="9" t="str">
        <f>fact_kpi_weekly!C247</f>
        <v>Contracted Lives</v>
      </c>
      <c r="D247" s="9" t="str">
        <f>fact_kpi_weekly!D247</f>
        <v>Eligible Forecast - Same Store Cumulative</v>
      </c>
      <c r="E247" s="9" t="str">
        <f>fact_kpi_weekly!E247</f>
        <v>Forecast</v>
      </c>
      <c r="F247" s="9" t="str">
        <f>IF(fact_kpi_weekly!F247="","",fact_kpi_weekly!F247)</f>
        <v/>
      </c>
      <c r="G247" s="9" t="str">
        <f>fact_kpi_weekly!G247</f>
        <v>Same Store</v>
      </c>
      <c r="H247" s="9" t="str">
        <f>fact_kpi_weekly!H247</f>
        <v>John / Sheila</v>
      </c>
      <c r="I247" s="9">
        <f>fact_kpi_weekly!I247</f>
        <v>37819</v>
      </c>
      <c r="J247" s="22">
        <f>fact_kpi_weekly!J247</f>
        <v>37819</v>
      </c>
      <c r="K247" s="20" t="str">
        <f t="array" ref="K247">IFERROR(INDEX(dim_date!H:H,MATCH(A247,dim_date!A:A,0)),"")</f>
        <v>Jul</v>
      </c>
      <c r="L247" s="20" t="str">
        <f t="array" ref="L247">IFERROR(INDEX(dim_date!G:G,MATCH(A247,dim_date!A:A,0)),"")</f>
        <v>07</v>
      </c>
      <c r="M247" s="9" t="str">
        <f t="array" ref="M247">IFERROR(INDEX(dim_date!I:I,MATCH(A247,dim_date!A:A,0)),"")</f>
        <v>Q3</v>
      </c>
      <c r="N247" s="20" t="str">
        <f t="array" ref="N247">IFERROR(INDEX(dim_date!K:K,MATCH(A247,dim_date!A:A,0)),"")</f>
        <v>31</v>
      </c>
      <c r="O247" s="9" t="str">
        <f t="array" ref="O247">IFERROR(INDEX(dim_date!F:F,MATCH(A247,dim_date!A:A,0)),"")</f>
        <v>7/26-8/1</v>
      </c>
      <c r="P247" s="9" t="str">
        <f t="array" ref="P247">IFERROR(INDEX(dim_kpi!E:E,MATCH(D247,dim_kpi!C:C,0)),"")</f>
        <v>count</v>
      </c>
      <c r="Q247" s="9" t="str">
        <f t="array" ref="Q247">IFERROR(INDEX(dim_kpi!F:F,MATCH(D247,dim_kpi!C:C,0)),"")</f>
        <v>Y</v>
      </c>
    </row>
    <row r="248" ht="12.75" customHeight="1">
      <c r="A248" s="20" t="str">
        <f>fact_kpi_weekly!A248</f>
        <v>260802</v>
      </c>
      <c r="B248" s="21">
        <f>fact_kpi_weekly!B248</f>
        <v>46236</v>
      </c>
      <c r="C248" s="9" t="str">
        <f>fact_kpi_weekly!C248</f>
        <v>Contracted Lives</v>
      </c>
      <c r="D248" s="9" t="str">
        <f>fact_kpi_weekly!D248</f>
        <v>Eligible Forecast - Same Store Cumulative</v>
      </c>
      <c r="E248" s="9" t="str">
        <f>fact_kpi_weekly!E248</f>
        <v>Forecast</v>
      </c>
      <c r="F248" s="9" t="str">
        <f>IF(fact_kpi_weekly!F248="","",fact_kpi_weekly!F248)</f>
        <v/>
      </c>
      <c r="G248" s="9" t="str">
        <f>fact_kpi_weekly!G248</f>
        <v>Same Store</v>
      </c>
      <c r="H248" s="9" t="str">
        <f>fact_kpi_weekly!H248</f>
        <v>John / Sheila</v>
      </c>
      <c r="I248" s="9">
        <f>fact_kpi_weekly!I248</f>
        <v>39569</v>
      </c>
      <c r="J248" s="22">
        <f>fact_kpi_weekly!J248</f>
        <v>39569</v>
      </c>
      <c r="K248" s="20" t="str">
        <f t="array" ref="K248">IFERROR(INDEX(dim_date!H:H,MATCH(A248,dim_date!A:A,0)),"")</f>
        <v>Aug</v>
      </c>
      <c r="L248" s="20" t="str">
        <f t="array" ref="L248">IFERROR(INDEX(dim_date!G:G,MATCH(A248,dim_date!A:A,0)),"")</f>
        <v>08</v>
      </c>
      <c r="M248" s="9" t="str">
        <f t="array" ref="M248">IFERROR(INDEX(dim_date!I:I,MATCH(A248,dim_date!A:A,0)),"")</f>
        <v>Q3</v>
      </c>
      <c r="N248" s="20" t="str">
        <f t="array" ref="N248">IFERROR(INDEX(dim_date!K:K,MATCH(A248,dim_date!A:A,0)),"")</f>
        <v>32</v>
      </c>
      <c r="O248" s="9" t="str">
        <f t="array" ref="O248">IFERROR(INDEX(dim_date!F:F,MATCH(A248,dim_date!A:A,0)),"")</f>
        <v>8/2-8/8</v>
      </c>
      <c r="P248" s="9" t="str">
        <f t="array" ref="P248">IFERROR(INDEX(dim_kpi!E:E,MATCH(D248,dim_kpi!C:C,0)),"")</f>
        <v>count</v>
      </c>
      <c r="Q248" s="9" t="str">
        <f t="array" ref="Q248">IFERROR(INDEX(dim_kpi!F:F,MATCH(D248,dim_kpi!C:C,0)),"")</f>
        <v>Y</v>
      </c>
    </row>
    <row r="249" ht="12.75" customHeight="1">
      <c r="A249" s="20" t="str">
        <f>fact_kpi_weekly!A249</f>
        <v>260809</v>
      </c>
      <c r="B249" s="21">
        <f>fact_kpi_weekly!B249</f>
        <v>46243</v>
      </c>
      <c r="C249" s="9" t="str">
        <f>fact_kpi_weekly!C249</f>
        <v>Contracted Lives</v>
      </c>
      <c r="D249" s="9" t="str">
        <f>fact_kpi_weekly!D249</f>
        <v>Eligible Forecast - Same Store Cumulative</v>
      </c>
      <c r="E249" s="9" t="str">
        <f>fact_kpi_weekly!E249</f>
        <v>Forecast</v>
      </c>
      <c r="F249" s="9" t="str">
        <f>IF(fact_kpi_weekly!F249="","",fact_kpi_weekly!F249)</f>
        <v/>
      </c>
      <c r="G249" s="9" t="str">
        <f>fact_kpi_weekly!G249</f>
        <v>Same Store</v>
      </c>
      <c r="H249" s="9" t="str">
        <f>fact_kpi_weekly!H249</f>
        <v>John / Sheila</v>
      </c>
      <c r="I249" s="9">
        <f>fact_kpi_weekly!I249</f>
        <v>41319</v>
      </c>
      <c r="J249" s="22">
        <f>fact_kpi_weekly!J249</f>
        <v>41319</v>
      </c>
      <c r="K249" s="20" t="str">
        <f t="array" ref="K249">IFERROR(INDEX(dim_date!H:H,MATCH(A249,dim_date!A:A,0)),"")</f>
        <v>Aug</v>
      </c>
      <c r="L249" s="20" t="str">
        <f t="array" ref="L249">IFERROR(INDEX(dim_date!G:G,MATCH(A249,dim_date!A:A,0)),"")</f>
        <v>08</v>
      </c>
      <c r="M249" s="9" t="str">
        <f t="array" ref="M249">IFERROR(INDEX(dim_date!I:I,MATCH(A249,dim_date!A:A,0)),"")</f>
        <v>Q3</v>
      </c>
      <c r="N249" s="20" t="str">
        <f t="array" ref="N249">IFERROR(INDEX(dim_date!K:K,MATCH(A249,dim_date!A:A,0)),"")</f>
        <v>33</v>
      </c>
      <c r="O249" s="9" t="str">
        <f t="array" ref="O249">IFERROR(INDEX(dim_date!F:F,MATCH(A249,dim_date!A:A,0)),"")</f>
        <v>8/9-8/15</v>
      </c>
      <c r="P249" s="9" t="str">
        <f t="array" ref="P249">IFERROR(INDEX(dim_kpi!E:E,MATCH(D249,dim_kpi!C:C,0)),"")</f>
        <v>count</v>
      </c>
      <c r="Q249" s="9" t="str">
        <f t="array" ref="Q249">IFERROR(INDEX(dim_kpi!F:F,MATCH(D249,dim_kpi!C:C,0)),"")</f>
        <v>Y</v>
      </c>
    </row>
    <row r="250" ht="12.75" customHeight="1">
      <c r="A250" s="20" t="str">
        <f>fact_kpi_weekly!A250</f>
        <v>260816</v>
      </c>
      <c r="B250" s="21">
        <f>fact_kpi_weekly!B250</f>
        <v>46250</v>
      </c>
      <c r="C250" s="9" t="str">
        <f>fact_kpi_weekly!C250</f>
        <v>Contracted Lives</v>
      </c>
      <c r="D250" s="9" t="str">
        <f>fact_kpi_weekly!D250</f>
        <v>Eligible Forecast - Same Store Cumulative</v>
      </c>
      <c r="E250" s="9" t="str">
        <f>fact_kpi_weekly!E250</f>
        <v>Forecast</v>
      </c>
      <c r="F250" s="9" t="str">
        <f>IF(fact_kpi_weekly!F250="","",fact_kpi_weekly!F250)</f>
        <v/>
      </c>
      <c r="G250" s="9" t="str">
        <f>fact_kpi_weekly!G250</f>
        <v>Same Store</v>
      </c>
      <c r="H250" s="9" t="str">
        <f>fact_kpi_weekly!H250</f>
        <v>John / Sheila</v>
      </c>
      <c r="I250" s="9">
        <f>fact_kpi_weekly!I250</f>
        <v>43069</v>
      </c>
      <c r="J250" s="22">
        <f>fact_kpi_weekly!J250</f>
        <v>43069</v>
      </c>
      <c r="K250" s="20" t="str">
        <f t="array" ref="K250">IFERROR(INDEX(dim_date!H:H,MATCH(A250,dim_date!A:A,0)),"")</f>
        <v>Aug</v>
      </c>
      <c r="L250" s="20" t="str">
        <f t="array" ref="L250">IFERROR(INDEX(dim_date!G:G,MATCH(A250,dim_date!A:A,0)),"")</f>
        <v>08</v>
      </c>
      <c r="M250" s="9" t="str">
        <f t="array" ref="M250">IFERROR(INDEX(dim_date!I:I,MATCH(A250,dim_date!A:A,0)),"")</f>
        <v>Q3</v>
      </c>
      <c r="N250" s="20" t="str">
        <f t="array" ref="N250">IFERROR(INDEX(dim_date!K:K,MATCH(A250,dim_date!A:A,0)),"")</f>
        <v>34</v>
      </c>
      <c r="O250" s="9" t="str">
        <f t="array" ref="O250">IFERROR(INDEX(dim_date!F:F,MATCH(A250,dim_date!A:A,0)),"")</f>
        <v>8/16-8/22</v>
      </c>
      <c r="P250" s="9" t="str">
        <f t="array" ref="P250">IFERROR(INDEX(dim_kpi!E:E,MATCH(D250,dim_kpi!C:C,0)),"")</f>
        <v>count</v>
      </c>
      <c r="Q250" s="9" t="str">
        <f t="array" ref="Q250">IFERROR(INDEX(dim_kpi!F:F,MATCH(D250,dim_kpi!C:C,0)),"")</f>
        <v>Y</v>
      </c>
    </row>
    <row r="251" ht="12.75" customHeight="1">
      <c r="A251" s="20" t="str">
        <f>fact_kpi_weekly!A251</f>
        <v>260823</v>
      </c>
      <c r="B251" s="21">
        <f>fact_kpi_weekly!B251</f>
        <v>46257</v>
      </c>
      <c r="C251" s="9" t="str">
        <f>fact_kpi_weekly!C251</f>
        <v>Contracted Lives</v>
      </c>
      <c r="D251" s="9" t="str">
        <f>fact_kpi_weekly!D251</f>
        <v>Eligible Forecast - Same Store Cumulative</v>
      </c>
      <c r="E251" s="9" t="str">
        <f>fact_kpi_weekly!E251</f>
        <v>Forecast</v>
      </c>
      <c r="F251" s="9" t="str">
        <f>IF(fact_kpi_weekly!F251="","",fact_kpi_weekly!F251)</f>
        <v/>
      </c>
      <c r="G251" s="9" t="str">
        <f>fact_kpi_weekly!G251</f>
        <v>Same Store</v>
      </c>
      <c r="H251" s="9" t="str">
        <f>fact_kpi_weekly!H251</f>
        <v>John / Sheila</v>
      </c>
      <c r="I251" s="9">
        <f>fact_kpi_weekly!I251</f>
        <v>44819</v>
      </c>
      <c r="J251" s="22">
        <f>fact_kpi_weekly!J251</f>
        <v>44819</v>
      </c>
      <c r="K251" s="20" t="str">
        <f t="array" ref="K251">IFERROR(INDEX(dim_date!H:H,MATCH(A251,dim_date!A:A,0)),"")</f>
        <v>Aug</v>
      </c>
      <c r="L251" s="20" t="str">
        <f t="array" ref="L251">IFERROR(INDEX(dim_date!G:G,MATCH(A251,dim_date!A:A,0)),"")</f>
        <v>08</v>
      </c>
      <c r="M251" s="9" t="str">
        <f t="array" ref="M251">IFERROR(INDEX(dim_date!I:I,MATCH(A251,dim_date!A:A,0)),"")</f>
        <v>Q3</v>
      </c>
      <c r="N251" s="20" t="str">
        <f t="array" ref="N251">IFERROR(INDEX(dim_date!K:K,MATCH(A251,dim_date!A:A,0)),"")</f>
        <v>35</v>
      </c>
      <c r="O251" s="9" t="str">
        <f t="array" ref="O251">IFERROR(INDEX(dim_date!F:F,MATCH(A251,dim_date!A:A,0)),"")</f>
        <v>8/23-8/29</v>
      </c>
      <c r="P251" s="9" t="str">
        <f t="array" ref="P251">IFERROR(INDEX(dim_kpi!E:E,MATCH(D251,dim_kpi!C:C,0)),"")</f>
        <v>count</v>
      </c>
      <c r="Q251" s="9" t="str">
        <f t="array" ref="Q251">IFERROR(INDEX(dim_kpi!F:F,MATCH(D251,dim_kpi!C:C,0)),"")</f>
        <v>Y</v>
      </c>
    </row>
    <row r="252" ht="12.75" customHeight="1">
      <c r="A252" s="20" t="str">
        <f>fact_kpi_weekly!A252</f>
        <v>260830</v>
      </c>
      <c r="B252" s="21">
        <f>fact_kpi_weekly!B252</f>
        <v>46264</v>
      </c>
      <c r="C252" s="9" t="str">
        <f>fact_kpi_weekly!C252</f>
        <v>Contracted Lives</v>
      </c>
      <c r="D252" s="9" t="str">
        <f>fact_kpi_weekly!D252</f>
        <v>Eligible Forecast - Same Store Cumulative</v>
      </c>
      <c r="E252" s="9" t="str">
        <f>fact_kpi_weekly!E252</f>
        <v>Forecast</v>
      </c>
      <c r="F252" s="9" t="str">
        <f>IF(fact_kpi_weekly!F252="","",fact_kpi_weekly!F252)</f>
        <v/>
      </c>
      <c r="G252" s="9" t="str">
        <f>fact_kpi_weekly!G252</f>
        <v>Same Store</v>
      </c>
      <c r="H252" s="9" t="str">
        <f>fact_kpi_weekly!H252</f>
        <v>John / Sheila</v>
      </c>
      <c r="I252" s="9">
        <f>fact_kpi_weekly!I252</f>
        <v>47319</v>
      </c>
      <c r="J252" s="22">
        <f>fact_kpi_weekly!J252</f>
        <v>47319</v>
      </c>
      <c r="K252" s="20" t="str">
        <f t="array" ref="K252">IFERROR(INDEX(dim_date!H:H,MATCH(A252,dim_date!A:A,0)),"")</f>
        <v>Aug</v>
      </c>
      <c r="L252" s="20" t="str">
        <f t="array" ref="L252">IFERROR(INDEX(dim_date!G:G,MATCH(A252,dim_date!A:A,0)),"")</f>
        <v>08</v>
      </c>
      <c r="M252" s="9" t="str">
        <f t="array" ref="M252">IFERROR(INDEX(dim_date!I:I,MATCH(A252,dim_date!A:A,0)),"")</f>
        <v>Q3</v>
      </c>
      <c r="N252" s="20" t="str">
        <f t="array" ref="N252">IFERROR(INDEX(dim_date!K:K,MATCH(A252,dim_date!A:A,0)),"")</f>
        <v>36</v>
      </c>
      <c r="O252" s="9" t="str">
        <f t="array" ref="O252">IFERROR(INDEX(dim_date!F:F,MATCH(A252,dim_date!A:A,0)),"")</f>
        <v>8/30-9/5</v>
      </c>
      <c r="P252" s="9" t="str">
        <f t="array" ref="P252">IFERROR(INDEX(dim_kpi!E:E,MATCH(D252,dim_kpi!C:C,0)),"")</f>
        <v>count</v>
      </c>
      <c r="Q252" s="9" t="str">
        <f t="array" ref="Q252">IFERROR(INDEX(dim_kpi!F:F,MATCH(D252,dim_kpi!C:C,0)),"")</f>
        <v>Y</v>
      </c>
    </row>
    <row r="253" ht="12.75" customHeight="1">
      <c r="A253" s="20" t="str">
        <f>fact_kpi_weekly!A253</f>
        <v>260906</v>
      </c>
      <c r="B253" s="21">
        <f>fact_kpi_weekly!B253</f>
        <v>46271</v>
      </c>
      <c r="C253" s="9" t="str">
        <f>fact_kpi_weekly!C253</f>
        <v>Contracted Lives</v>
      </c>
      <c r="D253" s="9" t="str">
        <f>fact_kpi_weekly!D253</f>
        <v>Eligible Forecast - Same Store Cumulative</v>
      </c>
      <c r="E253" s="9" t="str">
        <f>fact_kpi_weekly!E253</f>
        <v>Forecast</v>
      </c>
      <c r="F253" s="9" t="str">
        <f>IF(fact_kpi_weekly!F253="","",fact_kpi_weekly!F253)</f>
        <v/>
      </c>
      <c r="G253" s="9" t="str">
        <f>fact_kpi_weekly!G253</f>
        <v>Same Store</v>
      </c>
      <c r="H253" s="9" t="str">
        <f>fact_kpi_weekly!H253</f>
        <v>John / Sheila</v>
      </c>
      <c r="I253" s="9">
        <f>fact_kpi_weekly!I253</f>
        <v>49819</v>
      </c>
      <c r="J253" s="22">
        <f>fact_kpi_weekly!J253</f>
        <v>49819</v>
      </c>
      <c r="K253" s="20" t="str">
        <f t="array" ref="K253">IFERROR(INDEX(dim_date!H:H,MATCH(A253,dim_date!A:A,0)),"")</f>
        <v>Sep</v>
      </c>
      <c r="L253" s="20" t="str">
        <f t="array" ref="L253">IFERROR(INDEX(dim_date!G:G,MATCH(A253,dim_date!A:A,0)),"")</f>
        <v>09</v>
      </c>
      <c r="M253" s="9" t="str">
        <f t="array" ref="M253">IFERROR(INDEX(dim_date!I:I,MATCH(A253,dim_date!A:A,0)),"")</f>
        <v>Q3</v>
      </c>
      <c r="N253" s="20" t="str">
        <f t="array" ref="N253">IFERROR(INDEX(dim_date!K:K,MATCH(A253,dim_date!A:A,0)),"")</f>
        <v>37</v>
      </c>
      <c r="O253" s="9" t="str">
        <f t="array" ref="O253">IFERROR(INDEX(dim_date!F:F,MATCH(A253,dim_date!A:A,0)),"")</f>
        <v>9/6-9/12</v>
      </c>
      <c r="P253" s="9" t="str">
        <f t="array" ref="P253">IFERROR(INDEX(dim_kpi!E:E,MATCH(D253,dim_kpi!C:C,0)),"")</f>
        <v>count</v>
      </c>
      <c r="Q253" s="9" t="str">
        <f t="array" ref="Q253">IFERROR(INDEX(dim_kpi!F:F,MATCH(D253,dim_kpi!C:C,0)),"")</f>
        <v>Y</v>
      </c>
    </row>
    <row r="254" ht="12.75" customHeight="1">
      <c r="A254" s="20" t="str">
        <f>fact_kpi_weekly!A254</f>
        <v>260913</v>
      </c>
      <c r="B254" s="21">
        <f>fact_kpi_weekly!B254</f>
        <v>46278</v>
      </c>
      <c r="C254" s="9" t="str">
        <f>fact_kpi_weekly!C254</f>
        <v>Contracted Lives</v>
      </c>
      <c r="D254" s="9" t="str">
        <f>fact_kpi_weekly!D254</f>
        <v>Eligible Forecast - Same Store Cumulative</v>
      </c>
      <c r="E254" s="9" t="str">
        <f>fact_kpi_weekly!E254</f>
        <v>Forecast</v>
      </c>
      <c r="F254" s="9" t="str">
        <f>IF(fact_kpi_weekly!F254="","",fact_kpi_weekly!F254)</f>
        <v/>
      </c>
      <c r="G254" s="9" t="str">
        <f>fact_kpi_weekly!G254</f>
        <v>Same Store</v>
      </c>
      <c r="H254" s="9" t="str">
        <f>fact_kpi_weekly!H254</f>
        <v>John / Sheila</v>
      </c>
      <c r="I254" s="9">
        <f>fact_kpi_weekly!I254</f>
        <v>52319</v>
      </c>
      <c r="J254" s="22">
        <f>fact_kpi_weekly!J254</f>
        <v>52319</v>
      </c>
      <c r="K254" s="20" t="str">
        <f t="array" ref="K254">IFERROR(INDEX(dim_date!H:H,MATCH(A254,dim_date!A:A,0)),"")</f>
        <v>Sep</v>
      </c>
      <c r="L254" s="20" t="str">
        <f t="array" ref="L254">IFERROR(INDEX(dim_date!G:G,MATCH(A254,dim_date!A:A,0)),"")</f>
        <v>09</v>
      </c>
      <c r="M254" s="9" t="str">
        <f t="array" ref="M254">IFERROR(INDEX(dim_date!I:I,MATCH(A254,dim_date!A:A,0)),"")</f>
        <v>Q3</v>
      </c>
      <c r="N254" s="20" t="str">
        <f t="array" ref="N254">IFERROR(INDEX(dim_date!K:K,MATCH(A254,dim_date!A:A,0)),"")</f>
        <v>38</v>
      </c>
      <c r="O254" s="9" t="str">
        <f t="array" ref="O254">IFERROR(INDEX(dim_date!F:F,MATCH(A254,dim_date!A:A,0)),"")</f>
        <v>9/13-9/19</v>
      </c>
      <c r="P254" s="9" t="str">
        <f t="array" ref="P254">IFERROR(INDEX(dim_kpi!E:E,MATCH(D254,dim_kpi!C:C,0)),"")</f>
        <v>count</v>
      </c>
      <c r="Q254" s="9" t="str">
        <f t="array" ref="Q254">IFERROR(INDEX(dim_kpi!F:F,MATCH(D254,dim_kpi!C:C,0)),"")</f>
        <v>Y</v>
      </c>
    </row>
    <row r="255" ht="12.75" customHeight="1">
      <c r="A255" s="20" t="str">
        <f>fact_kpi_weekly!A255</f>
        <v>260920</v>
      </c>
      <c r="B255" s="21">
        <f>fact_kpi_weekly!B255</f>
        <v>46285</v>
      </c>
      <c r="C255" s="9" t="str">
        <f>fact_kpi_weekly!C255</f>
        <v>Contracted Lives</v>
      </c>
      <c r="D255" s="9" t="str">
        <f>fact_kpi_weekly!D255</f>
        <v>Eligible Forecast - Same Store Cumulative</v>
      </c>
      <c r="E255" s="9" t="str">
        <f>fact_kpi_weekly!E255</f>
        <v>Forecast</v>
      </c>
      <c r="F255" s="9" t="str">
        <f>IF(fact_kpi_weekly!F255="","",fact_kpi_weekly!F255)</f>
        <v/>
      </c>
      <c r="G255" s="9" t="str">
        <f>fact_kpi_weekly!G255</f>
        <v>Same Store</v>
      </c>
      <c r="H255" s="9" t="str">
        <f>fact_kpi_weekly!H255</f>
        <v>John / Sheila</v>
      </c>
      <c r="I255" s="9">
        <f>fact_kpi_weekly!I255</f>
        <v>54819</v>
      </c>
      <c r="J255" s="22">
        <f>fact_kpi_weekly!J255</f>
        <v>54819</v>
      </c>
      <c r="K255" s="20" t="str">
        <f t="array" ref="K255">IFERROR(INDEX(dim_date!H:H,MATCH(A255,dim_date!A:A,0)),"")</f>
        <v>Sep</v>
      </c>
      <c r="L255" s="20" t="str">
        <f t="array" ref="L255">IFERROR(INDEX(dim_date!G:G,MATCH(A255,dim_date!A:A,0)),"")</f>
        <v>09</v>
      </c>
      <c r="M255" s="9" t="str">
        <f t="array" ref="M255">IFERROR(INDEX(dim_date!I:I,MATCH(A255,dim_date!A:A,0)),"")</f>
        <v>Q3</v>
      </c>
      <c r="N255" s="20" t="str">
        <f t="array" ref="N255">IFERROR(INDEX(dim_date!K:K,MATCH(A255,dim_date!A:A,0)),"")</f>
        <v>39</v>
      </c>
      <c r="O255" s="9" t="str">
        <f t="array" ref="O255">IFERROR(INDEX(dim_date!F:F,MATCH(A255,dim_date!A:A,0)),"")</f>
        <v>9/20-9/26</v>
      </c>
      <c r="P255" s="9" t="str">
        <f t="array" ref="P255">IFERROR(INDEX(dim_kpi!E:E,MATCH(D255,dim_kpi!C:C,0)),"")</f>
        <v>count</v>
      </c>
      <c r="Q255" s="9" t="str">
        <f t="array" ref="Q255">IFERROR(INDEX(dim_kpi!F:F,MATCH(D255,dim_kpi!C:C,0)),"")</f>
        <v>Y</v>
      </c>
    </row>
    <row r="256" ht="12.75" customHeight="1">
      <c r="A256" s="20" t="str">
        <f>fact_kpi_weekly!A256</f>
        <v>260927</v>
      </c>
      <c r="B256" s="21">
        <f>fact_kpi_weekly!B256</f>
        <v>46292</v>
      </c>
      <c r="C256" s="9" t="str">
        <f>fact_kpi_weekly!C256</f>
        <v>Contracted Lives</v>
      </c>
      <c r="D256" s="9" t="str">
        <f>fact_kpi_weekly!D256</f>
        <v>Eligible Forecast - Same Store Cumulative</v>
      </c>
      <c r="E256" s="9" t="str">
        <f>fact_kpi_weekly!E256</f>
        <v>Forecast</v>
      </c>
      <c r="F256" s="9" t="str">
        <f>IF(fact_kpi_weekly!F256="","",fact_kpi_weekly!F256)</f>
        <v/>
      </c>
      <c r="G256" s="9" t="str">
        <f>fact_kpi_weekly!G256</f>
        <v>Same Store</v>
      </c>
      <c r="H256" s="9" t="str">
        <f>fact_kpi_weekly!H256</f>
        <v>John / Sheila</v>
      </c>
      <c r="I256" s="9">
        <f>fact_kpi_weekly!I256</f>
        <v>57319</v>
      </c>
      <c r="J256" s="22">
        <f>fact_kpi_weekly!J256</f>
        <v>57319</v>
      </c>
      <c r="K256" s="20" t="str">
        <f t="array" ref="K256">IFERROR(INDEX(dim_date!H:H,MATCH(A256,dim_date!A:A,0)),"")</f>
        <v>Sep</v>
      </c>
      <c r="L256" s="20" t="str">
        <f t="array" ref="L256">IFERROR(INDEX(dim_date!G:G,MATCH(A256,dim_date!A:A,0)),"")</f>
        <v>09</v>
      </c>
      <c r="M256" s="9" t="str">
        <f t="array" ref="M256">IFERROR(INDEX(dim_date!I:I,MATCH(A256,dim_date!A:A,0)),"")</f>
        <v>Q3</v>
      </c>
      <c r="N256" s="20" t="str">
        <f t="array" ref="N256">IFERROR(INDEX(dim_date!K:K,MATCH(A256,dim_date!A:A,0)),"")</f>
        <v>40</v>
      </c>
      <c r="O256" s="9" t="str">
        <f t="array" ref="O256">IFERROR(INDEX(dim_date!F:F,MATCH(A256,dim_date!A:A,0)),"")</f>
        <v>9/27-10/3</v>
      </c>
      <c r="P256" s="9" t="str">
        <f t="array" ref="P256">IFERROR(INDEX(dim_kpi!E:E,MATCH(D256,dim_kpi!C:C,0)),"")</f>
        <v>count</v>
      </c>
      <c r="Q256" s="9" t="str">
        <f t="array" ref="Q256">IFERROR(INDEX(dim_kpi!F:F,MATCH(D256,dim_kpi!C:C,0)),"")</f>
        <v>Y</v>
      </c>
    </row>
    <row r="257" ht="12.75" customHeight="1">
      <c r="A257" s="20" t="str">
        <f>fact_kpi_weekly!A257</f>
        <v>261004</v>
      </c>
      <c r="B257" s="21">
        <f>fact_kpi_weekly!B257</f>
        <v>46299</v>
      </c>
      <c r="C257" s="9" t="str">
        <f>fact_kpi_weekly!C257</f>
        <v>Contracted Lives</v>
      </c>
      <c r="D257" s="9" t="str">
        <f>fact_kpi_weekly!D257</f>
        <v>Eligible Forecast - Same Store Cumulative</v>
      </c>
      <c r="E257" s="9" t="str">
        <f>fact_kpi_weekly!E257</f>
        <v>Forecast</v>
      </c>
      <c r="F257" s="9" t="str">
        <f>IF(fact_kpi_weekly!F257="","",fact_kpi_weekly!F257)</f>
        <v/>
      </c>
      <c r="G257" s="9" t="str">
        <f>fact_kpi_weekly!G257</f>
        <v>Same Store</v>
      </c>
      <c r="H257" s="9" t="str">
        <f>fact_kpi_weekly!H257</f>
        <v>John / Sheila</v>
      </c>
      <c r="I257" s="9">
        <f>fact_kpi_weekly!I257</f>
        <v>59819</v>
      </c>
      <c r="J257" s="22">
        <f>fact_kpi_weekly!J257</f>
        <v>59819</v>
      </c>
      <c r="K257" s="20" t="str">
        <f t="array" ref="K257">IFERROR(INDEX(dim_date!H:H,MATCH(A257,dim_date!A:A,0)),"")</f>
        <v>Oct</v>
      </c>
      <c r="L257" s="20" t="str">
        <f t="array" ref="L257">IFERROR(INDEX(dim_date!G:G,MATCH(A257,dim_date!A:A,0)),"")</f>
        <v>10</v>
      </c>
      <c r="M257" s="9" t="str">
        <f t="array" ref="M257">IFERROR(INDEX(dim_date!I:I,MATCH(A257,dim_date!A:A,0)),"")</f>
        <v>Q4</v>
      </c>
      <c r="N257" s="20" t="str">
        <f t="array" ref="N257">IFERROR(INDEX(dim_date!K:K,MATCH(A257,dim_date!A:A,0)),"")</f>
        <v>41</v>
      </c>
      <c r="O257" s="9" t="str">
        <f t="array" ref="O257">IFERROR(INDEX(dim_date!F:F,MATCH(A257,dim_date!A:A,0)),"")</f>
        <v>10/4-10/10</v>
      </c>
      <c r="P257" s="9" t="str">
        <f t="array" ref="P257">IFERROR(INDEX(dim_kpi!E:E,MATCH(D257,dim_kpi!C:C,0)),"")</f>
        <v>count</v>
      </c>
      <c r="Q257" s="9" t="str">
        <f t="array" ref="Q257">IFERROR(INDEX(dim_kpi!F:F,MATCH(D257,dim_kpi!C:C,0)),"")</f>
        <v>Y</v>
      </c>
    </row>
    <row r="258" ht="12.75" customHeight="1">
      <c r="A258" s="20" t="str">
        <f>fact_kpi_weekly!A258</f>
        <v>261011</v>
      </c>
      <c r="B258" s="21">
        <f>fact_kpi_weekly!B258</f>
        <v>46306</v>
      </c>
      <c r="C258" s="9" t="str">
        <f>fact_kpi_weekly!C258</f>
        <v>Contracted Lives</v>
      </c>
      <c r="D258" s="9" t="str">
        <f>fact_kpi_weekly!D258</f>
        <v>Eligible Forecast - Same Store Cumulative</v>
      </c>
      <c r="E258" s="9" t="str">
        <f>fact_kpi_weekly!E258</f>
        <v>Forecast</v>
      </c>
      <c r="F258" s="9" t="str">
        <f>IF(fact_kpi_weekly!F258="","",fact_kpi_weekly!F258)</f>
        <v/>
      </c>
      <c r="G258" s="9" t="str">
        <f>fact_kpi_weekly!G258</f>
        <v>Same Store</v>
      </c>
      <c r="H258" s="9" t="str">
        <f>fact_kpi_weekly!H258</f>
        <v>John / Sheila</v>
      </c>
      <c r="I258" s="9">
        <f>fact_kpi_weekly!I258</f>
        <v>62319</v>
      </c>
      <c r="J258" s="22">
        <f>fact_kpi_weekly!J258</f>
        <v>62319</v>
      </c>
      <c r="K258" s="20" t="str">
        <f t="array" ref="K258">IFERROR(INDEX(dim_date!H:H,MATCH(A258,dim_date!A:A,0)),"")</f>
        <v>Oct</v>
      </c>
      <c r="L258" s="20" t="str">
        <f t="array" ref="L258">IFERROR(INDEX(dim_date!G:G,MATCH(A258,dim_date!A:A,0)),"")</f>
        <v>10</v>
      </c>
      <c r="M258" s="9" t="str">
        <f t="array" ref="M258">IFERROR(INDEX(dim_date!I:I,MATCH(A258,dim_date!A:A,0)),"")</f>
        <v>Q4</v>
      </c>
      <c r="N258" s="20" t="str">
        <f t="array" ref="N258">IFERROR(INDEX(dim_date!K:K,MATCH(A258,dim_date!A:A,0)),"")</f>
        <v>42</v>
      </c>
      <c r="O258" s="9" t="str">
        <f t="array" ref="O258">IFERROR(INDEX(dim_date!F:F,MATCH(A258,dim_date!A:A,0)),"")</f>
        <v>10/11-10/17</v>
      </c>
      <c r="P258" s="9" t="str">
        <f t="array" ref="P258">IFERROR(INDEX(dim_kpi!E:E,MATCH(D258,dim_kpi!C:C,0)),"")</f>
        <v>count</v>
      </c>
      <c r="Q258" s="9" t="str">
        <f t="array" ref="Q258">IFERROR(INDEX(dim_kpi!F:F,MATCH(D258,dim_kpi!C:C,0)),"")</f>
        <v>Y</v>
      </c>
    </row>
    <row r="259" ht="12.75" customHeight="1">
      <c r="A259" s="20" t="str">
        <f>fact_kpi_weekly!A259</f>
        <v>261018</v>
      </c>
      <c r="B259" s="21">
        <f>fact_kpi_weekly!B259</f>
        <v>46313</v>
      </c>
      <c r="C259" s="9" t="str">
        <f>fact_kpi_weekly!C259</f>
        <v>Contracted Lives</v>
      </c>
      <c r="D259" s="9" t="str">
        <f>fact_kpi_weekly!D259</f>
        <v>Eligible Forecast - Same Store Cumulative</v>
      </c>
      <c r="E259" s="9" t="str">
        <f>fact_kpi_weekly!E259</f>
        <v>Forecast</v>
      </c>
      <c r="F259" s="9" t="str">
        <f>IF(fact_kpi_weekly!F259="","",fact_kpi_weekly!F259)</f>
        <v/>
      </c>
      <c r="G259" s="9" t="str">
        <f>fact_kpi_weekly!G259</f>
        <v>Same Store</v>
      </c>
      <c r="H259" s="9" t="str">
        <f>fact_kpi_weekly!H259</f>
        <v>John / Sheila</v>
      </c>
      <c r="I259" s="9">
        <f>fact_kpi_weekly!I259</f>
        <v>64819</v>
      </c>
      <c r="J259" s="22">
        <f>fact_kpi_weekly!J259</f>
        <v>64819</v>
      </c>
      <c r="K259" s="20" t="str">
        <f t="array" ref="K259">IFERROR(INDEX(dim_date!H:H,MATCH(A259,dim_date!A:A,0)),"")</f>
        <v>Oct</v>
      </c>
      <c r="L259" s="20" t="str">
        <f t="array" ref="L259">IFERROR(INDEX(dim_date!G:G,MATCH(A259,dim_date!A:A,0)),"")</f>
        <v>10</v>
      </c>
      <c r="M259" s="9" t="str">
        <f t="array" ref="M259">IFERROR(INDEX(dim_date!I:I,MATCH(A259,dim_date!A:A,0)),"")</f>
        <v>Q4</v>
      </c>
      <c r="N259" s="20" t="str">
        <f t="array" ref="N259">IFERROR(INDEX(dim_date!K:K,MATCH(A259,dim_date!A:A,0)),"")</f>
        <v>43</v>
      </c>
      <c r="O259" s="9" t="str">
        <f t="array" ref="O259">IFERROR(INDEX(dim_date!F:F,MATCH(A259,dim_date!A:A,0)),"")</f>
        <v>10/18-10/24</v>
      </c>
      <c r="P259" s="9" t="str">
        <f t="array" ref="P259">IFERROR(INDEX(dim_kpi!E:E,MATCH(D259,dim_kpi!C:C,0)),"")</f>
        <v>count</v>
      </c>
      <c r="Q259" s="9" t="str">
        <f t="array" ref="Q259">IFERROR(INDEX(dim_kpi!F:F,MATCH(D259,dim_kpi!C:C,0)),"")</f>
        <v>Y</v>
      </c>
    </row>
    <row r="260" ht="12.75" customHeight="1">
      <c r="A260" s="20" t="str">
        <f>fact_kpi_weekly!A260</f>
        <v>261025</v>
      </c>
      <c r="B260" s="21">
        <f>fact_kpi_weekly!B260</f>
        <v>46320</v>
      </c>
      <c r="C260" s="9" t="str">
        <f>fact_kpi_weekly!C260</f>
        <v>Contracted Lives</v>
      </c>
      <c r="D260" s="9" t="str">
        <f>fact_kpi_weekly!D260</f>
        <v>Eligible Forecast - Same Store Cumulative</v>
      </c>
      <c r="E260" s="9" t="str">
        <f>fact_kpi_weekly!E260</f>
        <v>Forecast</v>
      </c>
      <c r="F260" s="9" t="str">
        <f>IF(fact_kpi_weekly!F260="","",fact_kpi_weekly!F260)</f>
        <v/>
      </c>
      <c r="G260" s="9" t="str">
        <f>fact_kpi_weekly!G260</f>
        <v>Same Store</v>
      </c>
      <c r="H260" s="9" t="str">
        <f>fact_kpi_weekly!H260</f>
        <v>John / Sheila</v>
      </c>
      <c r="I260" s="9">
        <f>fact_kpi_weekly!I260</f>
        <v>67319</v>
      </c>
      <c r="J260" s="22">
        <f>fact_kpi_weekly!J260</f>
        <v>67319</v>
      </c>
      <c r="K260" s="20" t="str">
        <f t="array" ref="K260">IFERROR(INDEX(dim_date!H:H,MATCH(A260,dim_date!A:A,0)),"")</f>
        <v>Oct</v>
      </c>
      <c r="L260" s="20" t="str">
        <f t="array" ref="L260">IFERROR(INDEX(dim_date!G:G,MATCH(A260,dim_date!A:A,0)),"")</f>
        <v>10</v>
      </c>
      <c r="M260" s="9" t="str">
        <f t="array" ref="M260">IFERROR(INDEX(dim_date!I:I,MATCH(A260,dim_date!A:A,0)),"")</f>
        <v>Q4</v>
      </c>
      <c r="N260" s="20" t="str">
        <f t="array" ref="N260">IFERROR(INDEX(dim_date!K:K,MATCH(A260,dim_date!A:A,0)),"")</f>
        <v>44</v>
      </c>
      <c r="O260" s="9" t="str">
        <f t="array" ref="O260">IFERROR(INDEX(dim_date!F:F,MATCH(A260,dim_date!A:A,0)),"")</f>
        <v>10/25-10/31</v>
      </c>
      <c r="P260" s="9" t="str">
        <f t="array" ref="P260">IFERROR(INDEX(dim_kpi!E:E,MATCH(D260,dim_kpi!C:C,0)),"")</f>
        <v>count</v>
      </c>
      <c r="Q260" s="9" t="str">
        <f t="array" ref="Q260">IFERROR(INDEX(dim_kpi!F:F,MATCH(D260,dim_kpi!C:C,0)),"")</f>
        <v>Y</v>
      </c>
    </row>
    <row r="261" ht="12.75" customHeight="1">
      <c r="A261" s="20" t="str">
        <f>fact_kpi_weekly!A261</f>
        <v>261101</v>
      </c>
      <c r="B261" s="21">
        <f>fact_kpi_weekly!B261</f>
        <v>46327</v>
      </c>
      <c r="C261" s="9" t="str">
        <f>fact_kpi_weekly!C261</f>
        <v>Contracted Lives</v>
      </c>
      <c r="D261" s="9" t="str">
        <f>fact_kpi_weekly!D261</f>
        <v>Eligible Forecast - Same Store Cumulative</v>
      </c>
      <c r="E261" s="9" t="str">
        <f>fact_kpi_weekly!E261</f>
        <v>Forecast</v>
      </c>
      <c r="F261" s="9" t="str">
        <f>IF(fact_kpi_weekly!F261="","",fact_kpi_weekly!F261)</f>
        <v/>
      </c>
      <c r="G261" s="9" t="str">
        <f>fact_kpi_weekly!G261</f>
        <v>Same Store</v>
      </c>
      <c r="H261" s="9" t="str">
        <f>fact_kpi_weekly!H261</f>
        <v>John / Sheila</v>
      </c>
      <c r="I261" s="9">
        <f>fact_kpi_weekly!I261</f>
        <v>69819</v>
      </c>
      <c r="J261" s="22">
        <f>fact_kpi_weekly!J261</f>
        <v>69819</v>
      </c>
      <c r="K261" s="20" t="str">
        <f t="array" ref="K261">IFERROR(INDEX(dim_date!H:H,MATCH(A261,dim_date!A:A,0)),"")</f>
        <v>Nov</v>
      </c>
      <c r="L261" s="20" t="str">
        <f t="array" ref="L261">IFERROR(INDEX(dim_date!G:G,MATCH(A261,dim_date!A:A,0)),"")</f>
        <v>11</v>
      </c>
      <c r="M261" s="9" t="str">
        <f t="array" ref="M261">IFERROR(INDEX(dim_date!I:I,MATCH(A261,dim_date!A:A,0)),"")</f>
        <v>Q4</v>
      </c>
      <c r="N261" s="20" t="str">
        <f t="array" ref="N261">IFERROR(INDEX(dim_date!K:K,MATCH(A261,dim_date!A:A,0)),"")</f>
        <v>45</v>
      </c>
      <c r="O261" s="9" t="str">
        <f t="array" ref="O261">IFERROR(INDEX(dim_date!F:F,MATCH(A261,dim_date!A:A,0)),"")</f>
        <v>11/1-11/7</v>
      </c>
      <c r="P261" s="9" t="str">
        <f t="array" ref="P261">IFERROR(INDEX(dim_kpi!E:E,MATCH(D261,dim_kpi!C:C,0)),"")</f>
        <v>count</v>
      </c>
      <c r="Q261" s="9" t="str">
        <f t="array" ref="Q261">IFERROR(INDEX(dim_kpi!F:F,MATCH(D261,dim_kpi!C:C,0)),"")</f>
        <v>Y</v>
      </c>
    </row>
    <row r="262" ht="12.75" customHeight="1">
      <c r="A262" s="20" t="str">
        <f>fact_kpi_weekly!A262</f>
        <v>261108</v>
      </c>
      <c r="B262" s="21">
        <f>fact_kpi_weekly!B262</f>
        <v>46334</v>
      </c>
      <c r="C262" s="9" t="str">
        <f>fact_kpi_weekly!C262</f>
        <v>Contracted Lives</v>
      </c>
      <c r="D262" s="9" t="str">
        <f>fact_kpi_weekly!D262</f>
        <v>Eligible Forecast - Same Store Cumulative</v>
      </c>
      <c r="E262" s="9" t="str">
        <f>fact_kpi_weekly!E262</f>
        <v>Forecast</v>
      </c>
      <c r="F262" s="9" t="str">
        <f>IF(fact_kpi_weekly!F262="","",fact_kpi_weekly!F262)</f>
        <v/>
      </c>
      <c r="G262" s="9" t="str">
        <f>fact_kpi_weekly!G262</f>
        <v>Same Store</v>
      </c>
      <c r="H262" s="9" t="str">
        <f>fact_kpi_weekly!H262</f>
        <v>John / Sheila</v>
      </c>
      <c r="I262" s="9">
        <f>fact_kpi_weekly!I262</f>
        <v>72319</v>
      </c>
      <c r="J262" s="22">
        <f>fact_kpi_weekly!J262</f>
        <v>72319</v>
      </c>
      <c r="K262" s="20" t="str">
        <f t="array" ref="K262">IFERROR(INDEX(dim_date!H:H,MATCH(A262,dim_date!A:A,0)),"")</f>
        <v>Nov</v>
      </c>
      <c r="L262" s="20" t="str">
        <f t="array" ref="L262">IFERROR(INDEX(dim_date!G:G,MATCH(A262,dim_date!A:A,0)),"")</f>
        <v>11</v>
      </c>
      <c r="M262" s="9" t="str">
        <f t="array" ref="M262">IFERROR(INDEX(dim_date!I:I,MATCH(A262,dim_date!A:A,0)),"")</f>
        <v>Q4</v>
      </c>
      <c r="N262" s="20" t="str">
        <f t="array" ref="N262">IFERROR(INDEX(dim_date!K:K,MATCH(A262,dim_date!A:A,0)),"")</f>
        <v>46</v>
      </c>
      <c r="O262" s="9" t="str">
        <f t="array" ref="O262">IFERROR(INDEX(dim_date!F:F,MATCH(A262,dim_date!A:A,0)),"")</f>
        <v>11/8-11/14</v>
      </c>
      <c r="P262" s="9" t="str">
        <f t="array" ref="P262">IFERROR(INDEX(dim_kpi!E:E,MATCH(D262,dim_kpi!C:C,0)),"")</f>
        <v>count</v>
      </c>
      <c r="Q262" s="9" t="str">
        <f t="array" ref="Q262">IFERROR(INDEX(dim_kpi!F:F,MATCH(D262,dim_kpi!C:C,0)),"")</f>
        <v>Y</v>
      </c>
    </row>
    <row r="263" ht="12.75" customHeight="1">
      <c r="A263" s="20" t="str">
        <f>fact_kpi_weekly!A263</f>
        <v>261115</v>
      </c>
      <c r="B263" s="21">
        <f>fact_kpi_weekly!B263</f>
        <v>46341</v>
      </c>
      <c r="C263" s="9" t="str">
        <f>fact_kpi_weekly!C263</f>
        <v>Contracted Lives</v>
      </c>
      <c r="D263" s="9" t="str">
        <f>fact_kpi_weekly!D263</f>
        <v>Eligible Forecast - Same Store Cumulative</v>
      </c>
      <c r="E263" s="9" t="str">
        <f>fact_kpi_weekly!E263</f>
        <v>Forecast</v>
      </c>
      <c r="F263" s="9" t="str">
        <f>IF(fact_kpi_weekly!F263="","",fact_kpi_weekly!F263)</f>
        <v/>
      </c>
      <c r="G263" s="9" t="str">
        <f>fact_kpi_weekly!G263</f>
        <v>Same Store</v>
      </c>
      <c r="H263" s="9" t="str">
        <f>fact_kpi_weekly!H263</f>
        <v>John / Sheila</v>
      </c>
      <c r="I263" s="9">
        <f>fact_kpi_weekly!I263</f>
        <v>74819</v>
      </c>
      <c r="J263" s="22">
        <f>fact_kpi_weekly!J263</f>
        <v>74819</v>
      </c>
      <c r="K263" s="20" t="str">
        <f t="array" ref="K263">IFERROR(INDEX(dim_date!H:H,MATCH(A263,dim_date!A:A,0)),"")</f>
        <v>Nov</v>
      </c>
      <c r="L263" s="20" t="str">
        <f t="array" ref="L263">IFERROR(INDEX(dim_date!G:G,MATCH(A263,dim_date!A:A,0)),"")</f>
        <v>11</v>
      </c>
      <c r="M263" s="9" t="str">
        <f t="array" ref="M263">IFERROR(INDEX(dim_date!I:I,MATCH(A263,dim_date!A:A,0)),"")</f>
        <v>Q4</v>
      </c>
      <c r="N263" s="20" t="str">
        <f t="array" ref="N263">IFERROR(INDEX(dim_date!K:K,MATCH(A263,dim_date!A:A,0)),"")</f>
        <v>47</v>
      </c>
      <c r="O263" s="9" t="str">
        <f t="array" ref="O263">IFERROR(INDEX(dim_date!F:F,MATCH(A263,dim_date!A:A,0)),"")</f>
        <v>11/15-11/21</v>
      </c>
      <c r="P263" s="9" t="str">
        <f t="array" ref="P263">IFERROR(INDEX(dim_kpi!E:E,MATCH(D263,dim_kpi!C:C,0)),"")</f>
        <v>count</v>
      </c>
      <c r="Q263" s="9" t="str">
        <f t="array" ref="Q263">IFERROR(INDEX(dim_kpi!F:F,MATCH(D263,dim_kpi!C:C,0)),"")</f>
        <v>Y</v>
      </c>
    </row>
    <row r="264" ht="12.75" customHeight="1">
      <c r="A264" s="20" t="str">
        <f>fact_kpi_weekly!A264</f>
        <v>261122</v>
      </c>
      <c r="B264" s="21">
        <f>fact_kpi_weekly!B264</f>
        <v>46348</v>
      </c>
      <c r="C264" s="9" t="str">
        <f>fact_kpi_weekly!C264</f>
        <v>Contracted Lives</v>
      </c>
      <c r="D264" s="9" t="str">
        <f>fact_kpi_weekly!D264</f>
        <v>Eligible Forecast - Same Store Cumulative</v>
      </c>
      <c r="E264" s="9" t="str">
        <f>fact_kpi_weekly!E264</f>
        <v>Forecast</v>
      </c>
      <c r="F264" s="9" t="str">
        <f>IF(fact_kpi_weekly!F264="","",fact_kpi_weekly!F264)</f>
        <v/>
      </c>
      <c r="G264" s="9" t="str">
        <f>fact_kpi_weekly!G264</f>
        <v>Same Store</v>
      </c>
      <c r="H264" s="9" t="str">
        <f>fact_kpi_weekly!H264</f>
        <v>John / Sheila</v>
      </c>
      <c r="I264" s="9">
        <f>fact_kpi_weekly!I264</f>
        <v>74819</v>
      </c>
      <c r="J264" s="22">
        <f>fact_kpi_weekly!J264</f>
        <v>74819</v>
      </c>
      <c r="K264" s="20" t="str">
        <f t="array" ref="K264">IFERROR(INDEX(dim_date!H:H,MATCH(A264,dim_date!A:A,0)),"")</f>
        <v>Nov</v>
      </c>
      <c r="L264" s="20" t="str">
        <f t="array" ref="L264">IFERROR(INDEX(dim_date!G:G,MATCH(A264,dim_date!A:A,0)),"")</f>
        <v>11</v>
      </c>
      <c r="M264" s="9" t="str">
        <f t="array" ref="M264">IFERROR(INDEX(dim_date!I:I,MATCH(A264,dim_date!A:A,0)),"")</f>
        <v>Q4</v>
      </c>
      <c r="N264" s="20" t="str">
        <f t="array" ref="N264">IFERROR(INDEX(dim_date!K:K,MATCH(A264,dim_date!A:A,0)),"")</f>
        <v>48</v>
      </c>
      <c r="O264" s="9" t="str">
        <f t="array" ref="O264">IFERROR(INDEX(dim_date!F:F,MATCH(A264,dim_date!A:A,0)),"")</f>
        <v>11/22-11/28</v>
      </c>
      <c r="P264" s="9" t="str">
        <f t="array" ref="P264">IFERROR(INDEX(dim_kpi!E:E,MATCH(D264,dim_kpi!C:C,0)),"")</f>
        <v>count</v>
      </c>
      <c r="Q264" s="9" t="str">
        <f t="array" ref="Q264">IFERROR(INDEX(dim_kpi!F:F,MATCH(D264,dim_kpi!C:C,0)),"")</f>
        <v>Y</v>
      </c>
    </row>
    <row r="265" ht="12.75" customHeight="1">
      <c r="A265" s="20" t="str">
        <f>fact_kpi_weekly!A265</f>
        <v>261129</v>
      </c>
      <c r="B265" s="21">
        <f>fact_kpi_weekly!B265</f>
        <v>46355</v>
      </c>
      <c r="C265" s="9" t="str">
        <f>fact_kpi_weekly!C265</f>
        <v>Contracted Lives</v>
      </c>
      <c r="D265" s="9" t="str">
        <f>fact_kpi_weekly!D265</f>
        <v>Eligible Forecast - Same Store Cumulative</v>
      </c>
      <c r="E265" s="9" t="str">
        <f>fact_kpi_weekly!E265</f>
        <v>Forecast</v>
      </c>
      <c r="F265" s="9" t="str">
        <f>IF(fact_kpi_weekly!F265="","",fact_kpi_weekly!F265)</f>
        <v/>
      </c>
      <c r="G265" s="9" t="str">
        <f>fact_kpi_weekly!G265</f>
        <v>Same Store</v>
      </c>
      <c r="H265" s="9" t="str">
        <f>fact_kpi_weekly!H265</f>
        <v>John / Sheila</v>
      </c>
      <c r="I265" s="9">
        <f>fact_kpi_weekly!I265</f>
        <v>74819</v>
      </c>
      <c r="J265" s="22">
        <f>fact_kpi_weekly!J265</f>
        <v>74819</v>
      </c>
      <c r="K265" s="20" t="str">
        <f t="array" ref="K265">IFERROR(INDEX(dim_date!H:H,MATCH(A265,dim_date!A:A,0)),"")</f>
        <v>Nov</v>
      </c>
      <c r="L265" s="20" t="str">
        <f t="array" ref="L265">IFERROR(INDEX(dim_date!G:G,MATCH(A265,dim_date!A:A,0)),"")</f>
        <v>11</v>
      </c>
      <c r="M265" s="9" t="str">
        <f t="array" ref="M265">IFERROR(INDEX(dim_date!I:I,MATCH(A265,dim_date!A:A,0)),"")</f>
        <v>Q4</v>
      </c>
      <c r="N265" s="20" t="str">
        <f t="array" ref="N265">IFERROR(INDEX(dim_date!K:K,MATCH(A265,dim_date!A:A,0)),"")</f>
        <v>49</v>
      </c>
      <c r="O265" s="9" t="str">
        <f t="array" ref="O265">IFERROR(INDEX(dim_date!F:F,MATCH(A265,dim_date!A:A,0)),"")</f>
        <v>11/29-12/5</v>
      </c>
      <c r="P265" s="9" t="str">
        <f t="array" ref="P265">IFERROR(INDEX(dim_kpi!E:E,MATCH(D265,dim_kpi!C:C,0)),"")</f>
        <v>count</v>
      </c>
      <c r="Q265" s="9" t="str">
        <f t="array" ref="Q265">IFERROR(INDEX(dim_kpi!F:F,MATCH(D265,dim_kpi!C:C,0)),"")</f>
        <v>Y</v>
      </c>
    </row>
    <row r="266" ht="12.75" customHeight="1">
      <c r="A266" s="20" t="str">
        <f>fact_kpi_weekly!A266</f>
        <v>261206</v>
      </c>
      <c r="B266" s="21">
        <f>fact_kpi_weekly!B266</f>
        <v>46362</v>
      </c>
      <c r="C266" s="9" t="str">
        <f>fact_kpi_weekly!C266</f>
        <v>Contracted Lives</v>
      </c>
      <c r="D266" s="9" t="str">
        <f>fact_kpi_weekly!D266</f>
        <v>Eligible Forecast - Same Store Cumulative</v>
      </c>
      <c r="E266" s="9" t="str">
        <f>fact_kpi_weekly!E266</f>
        <v>Forecast</v>
      </c>
      <c r="F266" s="9" t="str">
        <f>IF(fact_kpi_weekly!F266="","",fact_kpi_weekly!F266)</f>
        <v/>
      </c>
      <c r="G266" s="9" t="str">
        <f>fact_kpi_weekly!G266</f>
        <v>Same Store</v>
      </c>
      <c r="H266" s="9" t="str">
        <f>fact_kpi_weekly!H266</f>
        <v>John / Sheila</v>
      </c>
      <c r="I266" s="9">
        <f>fact_kpi_weekly!I266</f>
        <v>74819</v>
      </c>
      <c r="J266" s="22">
        <f>fact_kpi_weekly!J266</f>
        <v>74819</v>
      </c>
      <c r="K266" s="20" t="str">
        <f t="array" ref="K266">IFERROR(INDEX(dim_date!H:H,MATCH(A266,dim_date!A:A,0)),"")</f>
        <v>Dec</v>
      </c>
      <c r="L266" s="20" t="str">
        <f t="array" ref="L266">IFERROR(INDEX(dim_date!G:G,MATCH(A266,dim_date!A:A,0)),"")</f>
        <v>12</v>
      </c>
      <c r="M266" s="9" t="str">
        <f t="array" ref="M266">IFERROR(INDEX(dim_date!I:I,MATCH(A266,dim_date!A:A,0)),"")</f>
        <v>Q4</v>
      </c>
      <c r="N266" s="20" t="str">
        <f t="array" ref="N266">IFERROR(INDEX(dim_date!K:K,MATCH(A266,dim_date!A:A,0)),"")</f>
        <v>50</v>
      </c>
      <c r="O266" s="9" t="str">
        <f t="array" ref="O266">IFERROR(INDEX(dim_date!F:F,MATCH(A266,dim_date!A:A,0)),"")</f>
        <v>12/6-12/12</v>
      </c>
      <c r="P266" s="9" t="str">
        <f t="array" ref="P266">IFERROR(INDEX(dim_kpi!E:E,MATCH(D266,dim_kpi!C:C,0)),"")</f>
        <v>count</v>
      </c>
      <c r="Q266" s="9" t="str">
        <f t="array" ref="Q266">IFERROR(INDEX(dim_kpi!F:F,MATCH(D266,dim_kpi!C:C,0)),"")</f>
        <v>Y</v>
      </c>
    </row>
    <row r="267" ht="12.75" customHeight="1">
      <c r="A267" s="20" t="str">
        <f>fact_kpi_weekly!A267</f>
        <v>261213</v>
      </c>
      <c r="B267" s="21">
        <f>fact_kpi_weekly!B267</f>
        <v>46369</v>
      </c>
      <c r="C267" s="9" t="str">
        <f>fact_kpi_weekly!C267</f>
        <v>Contracted Lives</v>
      </c>
      <c r="D267" s="9" t="str">
        <f>fact_kpi_weekly!D267</f>
        <v>Eligible Forecast - Same Store Cumulative</v>
      </c>
      <c r="E267" s="9" t="str">
        <f>fact_kpi_weekly!E267</f>
        <v>Forecast</v>
      </c>
      <c r="F267" s="9" t="str">
        <f>IF(fact_kpi_weekly!F267="","",fact_kpi_weekly!F267)</f>
        <v/>
      </c>
      <c r="G267" s="9" t="str">
        <f>fact_kpi_weekly!G267</f>
        <v>Same Store</v>
      </c>
      <c r="H267" s="9" t="str">
        <f>fact_kpi_weekly!H267</f>
        <v>John / Sheila</v>
      </c>
      <c r="I267" s="9">
        <f>fact_kpi_weekly!I267</f>
        <v>74819</v>
      </c>
      <c r="J267" s="22">
        <f>fact_kpi_weekly!J267</f>
        <v>74819</v>
      </c>
      <c r="K267" s="20" t="str">
        <f t="array" ref="K267">IFERROR(INDEX(dim_date!H:H,MATCH(A267,dim_date!A:A,0)),"")</f>
        <v>Dec</v>
      </c>
      <c r="L267" s="20" t="str">
        <f t="array" ref="L267">IFERROR(INDEX(dim_date!G:G,MATCH(A267,dim_date!A:A,0)),"")</f>
        <v>12</v>
      </c>
      <c r="M267" s="9" t="str">
        <f t="array" ref="M267">IFERROR(INDEX(dim_date!I:I,MATCH(A267,dim_date!A:A,0)),"")</f>
        <v>Q4</v>
      </c>
      <c r="N267" s="20" t="str">
        <f t="array" ref="N267">IFERROR(INDEX(dim_date!K:K,MATCH(A267,dim_date!A:A,0)),"")</f>
        <v>51</v>
      </c>
      <c r="O267" s="9" t="str">
        <f t="array" ref="O267">IFERROR(INDEX(dim_date!F:F,MATCH(A267,dim_date!A:A,0)),"")</f>
        <v>12/13-12/19</v>
      </c>
      <c r="P267" s="9" t="str">
        <f t="array" ref="P267">IFERROR(INDEX(dim_kpi!E:E,MATCH(D267,dim_kpi!C:C,0)),"")</f>
        <v>count</v>
      </c>
      <c r="Q267" s="9" t="str">
        <f t="array" ref="Q267">IFERROR(INDEX(dim_kpi!F:F,MATCH(D267,dim_kpi!C:C,0)),"")</f>
        <v>Y</v>
      </c>
    </row>
    <row r="268" ht="12.75" customHeight="1">
      <c r="A268" s="20" t="str">
        <f>fact_kpi_weekly!A268</f>
        <v>261220</v>
      </c>
      <c r="B268" s="21">
        <f>fact_kpi_weekly!B268</f>
        <v>46376</v>
      </c>
      <c r="C268" s="9" t="str">
        <f>fact_kpi_weekly!C268</f>
        <v>Contracted Lives</v>
      </c>
      <c r="D268" s="9" t="str">
        <f>fact_kpi_weekly!D268</f>
        <v>Eligible Forecast - Same Store Cumulative</v>
      </c>
      <c r="E268" s="9" t="str">
        <f>fact_kpi_weekly!E268</f>
        <v>Forecast</v>
      </c>
      <c r="F268" s="9" t="str">
        <f>IF(fact_kpi_weekly!F268="","",fact_kpi_weekly!F268)</f>
        <v/>
      </c>
      <c r="G268" s="9" t="str">
        <f>fact_kpi_weekly!G268</f>
        <v>Same Store</v>
      </c>
      <c r="H268" s="9" t="str">
        <f>fact_kpi_weekly!H268</f>
        <v>John / Sheila</v>
      </c>
      <c r="I268" s="9">
        <f>fact_kpi_weekly!I268</f>
        <v>74819</v>
      </c>
      <c r="J268" s="22">
        <f>fact_kpi_weekly!J268</f>
        <v>74819</v>
      </c>
      <c r="K268" s="20" t="str">
        <f t="array" ref="K268">IFERROR(INDEX(dim_date!H:H,MATCH(A268,dim_date!A:A,0)),"")</f>
        <v>Dec</v>
      </c>
      <c r="L268" s="20" t="str">
        <f t="array" ref="L268">IFERROR(INDEX(dim_date!G:G,MATCH(A268,dim_date!A:A,0)),"")</f>
        <v>12</v>
      </c>
      <c r="M268" s="9" t="str">
        <f t="array" ref="M268">IFERROR(INDEX(dim_date!I:I,MATCH(A268,dim_date!A:A,0)),"")</f>
        <v>Q4</v>
      </c>
      <c r="N268" s="20" t="str">
        <f t="array" ref="N268">IFERROR(INDEX(dim_date!K:K,MATCH(A268,dim_date!A:A,0)),"")</f>
        <v>52</v>
      </c>
      <c r="O268" s="9" t="str">
        <f t="array" ref="O268">IFERROR(INDEX(dim_date!F:F,MATCH(A268,dim_date!A:A,0)),"")</f>
        <v>12/20-12/26</v>
      </c>
      <c r="P268" s="9" t="str">
        <f t="array" ref="P268">IFERROR(INDEX(dim_kpi!E:E,MATCH(D268,dim_kpi!C:C,0)),"")</f>
        <v>count</v>
      </c>
      <c r="Q268" s="9" t="str">
        <f t="array" ref="Q268">IFERROR(INDEX(dim_kpi!F:F,MATCH(D268,dim_kpi!C:C,0)),"")</f>
        <v>Y</v>
      </c>
    </row>
    <row r="269" ht="12.75" customHeight="1">
      <c r="A269" s="20" t="str">
        <f>fact_kpi_weekly!A269</f>
        <v>261227</v>
      </c>
      <c r="B269" s="21">
        <f>fact_kpi_weekly!B269</f>
        <v>46383</v>
      </c>
      <c r="C269" s="9" t="str">
        <f>fact_kpi_weekly!C269</f>
        <v>Contracted Lives</v>
      </c>
      <c r="D269" s="9" t="str">
        <f>fact_kpi_weekly!D269</f>
        <v>Eligible Forecast - Same Store Cumulative</v>
      </c>
      <c r="E269" s="9" t="str">
        <f>fact_kpi_weekly!E269</f>
        <v>Forecast</v>
      </c>
      <c r="F269" s="9" t="str">
        <f>IF(fact_kpi_weekly!F269="","",fact_kpi_weekly!F269)</f>
        <v/>
      </c>
      <c r="G269" s="9" t="str">
        <f>fact_kpi_weekly!G269</f>
        <v>Same Store</v>
      </c>
      <c r="H269" s="9" t="str">
        <f>fact_kpi_weekly!H269</f>
        <v>John / Sheila</v>
      </c>
      <c r="I269" s="9">
        <f>fact_kpi_weekly!I269</f>
        <v>74819</v>
      </c>
      <c r="J269" s="22">
        <f>fact_kpi_weekly!J269</f>
        <v>74819</v>
      </c>
      <c r="K269" s="20" t="str">
        <f t="array" ref="K269">IFERROR(INDEX(dim_date!H:H,MATCH(A269,dim_date!A:A,0)),"")</f>
        <v>Dec</v>
      </c>
      <c r="L269" s="20" t="str">
        <f t="array" ref="L269">IFERROR(INDEX(dim_date!G:G,MATCH(A269,dim_date!A:A,0)),"")</f>
        <v>12</v>
      </c>
      <c r="M269" s="9" t="str">
        <f t="array" ref="M269">IFERROR(INDEX(dim_date!I:I,MATCH(A269,dim_date!A:A,0)),"")</f>
        <v>Q4</v>
      </c>
      <c r="N269" s="20" t="str">
        <f t="array" ref="N269">IFERROR(INDEX(dim_date!K:K,MATCH(A269,dim_date!A:A,0)),"")</f>
        <v>53</v>
      </c>
      <c r="O269" s="9" t="str">
        <f t="array" ref="O269">IFERROR(INDEX(dim_date!F:F,MATCH(A269,dim_date!A:A,0)),"")</f>
        <v>12/27-1/2</v>
      </c>
      <c r="P269" s="9" t="str">
        <f t="array" ref="P269">IFERROR(INDEX(dim_kpi!E:E,MATCH(D269,dim_kpi!C:C,0)),"")</f>
        <v>count</v>
      </c>
      <c r="Q269" s="9" t="str">
        <f t="array" ref="Q269">IFERROR(INDEX(dim_kpi!F:F,MATCH(D269,dim_kpi!C:C,0)),"")</f>
        <v>Y</v>
      </c>
    </row>
    <row r="270" ht="12.75" customHeight="1">
      <c r="A270" s="20" t="str">
        <f>fact_kpi_weekly!A270</f>
        <v>260301</v>
      </c>
      <c r="B270" s="21">
        <f>fact_kpi_weekly!B270</f>
        <v>46082</v>
      </c>
      <c r="C270" s="9" t="str">
        <f>fact_kpi_weekly!C270</f>
        <v>Contracted Lives</v>
      </c>
      <c r="D270" s="9" t="str">
        <f>fact_kpi_weekly!D270</f>
        <v>Eligible Forecast - Same Store Cumulative</v>
      </c>
      <c r="E270" s="9" t="str">
        <f>fact_kpi_weekly!E270</f>
        <v>Actual</v>
      </c>
      <c r="F270" s="9" t="str">
        <f>IF(fact_kpi_weekly!F270="","",fact_kpi_weekly!F270)</f>
        <v/>
      </c>
      <c r="G270" s="9" t="str">
        <f>fact_kpi_weekly!G270</f>
        <v>Same Store</v>
      </c>
      <c r="H270" s="9" t="str">
        <f>fact_kpi_weekly!H270</f>
        <v>John / Sheila</v>
      </c>
      <c r="I270" s="9">
        <f>fact_kpi_weekly!I270</f>
        <v>3308</v>
      </c>
      <c r="J270" s="22">
        <f>fact_kpi_weekly!J270</f>
        <v>3308</v>
      </c>
      <c r="K270" s="20" t="str">
        <f t="array" ref="K270">IFERROR(INDEX(dim_date!H:H,MATCH(A270,dim_date!A:A,0)),"")</f>
        <v>Mar</v>
      </c>
      <c r="L270" s="20" t="str">
        <f t="array" ref="L270">IFERROR(INDEX(dim_date!G:G,MATCH(A270,dim_date!A:A,0)),"")</f>
        <v>03</v>
      </c>
      <c r="M270" s="9" t="str">
        <f t="array" ref="M270">IFERROR(INDEX(dim_date!I:I,MATCH(A270,dim_date!A:A,0)),"")</f>
        <v>Q1</v>
      </c>
      <c r="N270" s="20" t="str">
        <f t="array" ref="N270">IFERROR(INDEX(dim_date!K:K,MATCH(A270,dim_date!A:A,0)),"")</f>
        <v>10</v>
      </c>
      <c r="O270" s="9" t="str">
        <f t="array" ref="O270">IFERROR(INDEX(dim_date!F:F,MATCH(A270,dim_date!A:A,0)),"")</f>
        <v>3/1-3/7</v>
      </c>
      <c r="P270" s="9" t="str">
        <f t="array" ref="P270">IFERROR(INDEX(dim_kpi!E:E,MATCH(D270,dim_kpi!C:C,0)),"")</f>
        <v>count</v>
      </c>
      <c r="Q270" s="9" t="str">
        <f t="array" ref="Q270">IFERROR(INDEX(dim_kpi!F:F,MATCH(D270,dim_kpi!C:C,0)),"")</f>
        <v>Y</v>
      </c>
    </row>
    <row r="271" ht="12.75" customHeight="1">
      <c r="A271" s="20" t="str">
        <f>fact_kpi_weekly!A271</f>
        <v>260301</v>
      </c>
      <c r="B271" s="21">
        <f>fact_kpi_weekly!B271</f>
        <v>46082</v>
      </c>
      <c r="C271" s="9" t="str">
        <f>fact_kpi_weekly!C271</f>
        <v>Growth</v>
      </c>
      <c r="D271" s="9" t="str">
        <f>fact_kpi_weekly!D271</f>
        <v>New Marketable Patients - New Store</v>
      </c>
      <c r="E271" s="9" t="str">
        <f>fact_kpi_weekly!E271</f>
        <v>Forecast</v>
      </c>
      <c r="F271" s="9" t="str">
        <f>IF(fact_kpi_weekly!F271="","",fact_kpi_weekly!F271)</f>
        <v/>
      </c>
      <c r="G271" s="9" t="str">
        <f>fact_kpi_weekly!G271</f>
        <v>New Store</v>
      </c>
      <c r="H271" s="9" t="str">
        <f>fact_kpi_weekly!H271</f>
        <v>John</v>
      </c>
      <c r="I271" s="9">
        <f>fact_kpi_weekly!I271</f>
        <v>2802.4</v>
      </c>
      <c r="J271" s="22">
        <f>fact_kpi_weekly!J271</f>
        <v>2802.4</v>
      </c>
      <c r="K271" s="20" t="str">
        <f t="array" ref="K271">IFERROR(INDEX(dim_date!H:H,MATCH(A271,dim_date!A:A,0)),"")</f>
        <v>Mar</v>
      </c>
      <c r="L271" s="20" t="str">
        <f t="array" ref="L271">IFERROR(INDEX(dim_date!G:G,MATCH(A271,dim_date!A:A,0)),"")</f>
        <v>03</v>
      </c>
      <c r="M271" s="9" t="str">
        <f t="array" ref="M271">IFERROR(INDEX(dim_date!I:I,MATCH(A271,dim_date!A:A,0)),"")</f>
        <v>Q1</v>
      </c>
      <c r="N271" s="20" t="str">
        <f t="array" ref="N271">IFERROR(INDEX(dim_date!K:K,MATCH(A271,dim_date!A:A,0)),"")</f>
        <v>10</v>
      </c>
      <c r="O271" s="9" t="str">
        <f t="array" ref="O271">IFERROR(INDEX(dim_date!F:F,MATCH(A271,dim_date!A:A,0)),"")</f>
        <v>3/1-3/7</v>
      </c>
      <c r="P271" s="9" t="str">
        <f t="array" ref="P271">IFERROR(INDEX(dim_kpi!E:E,MATCH(D271,dim_kpi!C:C,0)),"")</f>
        <v>count</v>
      </c>
      <c r="Q271" s="9" t="str">
        <f t="array" ref="Q271">IFERROR(INDEX(dim_kpi!F:F,MATCH(D271,dim_kpi!C:C,0)),"")</f>
        <v>N</v>
      </c>
    </row>
    <row r="272" ht="12.75" customHeight="1">
      <c r="A272" s="20" t="str">
        <f>fact_kpi_weekly!A272</f>
        <v>260308</v>
      </c>
      <c r="B272" s="21">
        <f>fact_kpi_weekly!B272</f>
        <v>46089</v>
      </c>
      <c r="C272" s="9" t="str">
        <f>fact_kpi_weekly!C272</f>
        <v>Growth</v>
      </c>
      <c r="D272" s="9" t="str">
        <f>fact_kpi_weekly!D272</f>
        <v>New Marketable Patients - New Store</v>
      </c>
      <c r="E272" s="9" t="str">
        <f>fact_kpi_weekly!E272</f>
        <v>Forecast</v>
      </c>
      <c r="F272" s="9" t="str">
        <f>IF(fact_kpi_weekly!F272="","",fact_kpi_weekly!F272)</f>
        <v/>
      </c>
      <c r="G272" s="9" t="str">
        <f>fact_kpi_weekly!G272</f>
        <v>New Store</v>
      </c>
      <c r="H272" s="9" t="str">
        <f>fact_kpi_weekly!H272</f>
        <v>John</v>
      </c>
      <c r="I272" s="9">
        <f>fact_kpi_weekly!I272</f>
        <v>0</v>
      </c>
      <c r="J272" s="22">
        <f>fact_kpi_weekly!J272</f>
        <v>0</v>
      </c>
      <c r="K272" s="20" t="str">
        <f t="array" ref="K272">IFERROR(INDEX(dim_date!H:H,MATCH(A272,dim_date!A:A,0)),"")</f>
        <v>Mar</v>
      </c>
      <c r="L272" s="20" t="str">
        <f t="array" ref="L272">IFERROR(INDEX(dim_date!G:G,MATCH(A272,dim_date!A:A,0)),"")</f>
        <v>03</v>
      </c>
      <c r="M272" s="9" t="str">
        <f t="array" ref="M272">IFERROR(INDEX(dim_date!I:I,MATCH(A272,dim_date!A:A,0)),"")</f>
        <v>Q1</v>
      </c>
      <c r="N272" s="20" t="str">
        <f t="array" ref="N272">IFERROR(INDEX(dim_date!K:K,MATCH(A272,dim_date!A:A,0)),"")</f>
        <v>11</v>
      </c>
      <c r="O272" s="9" t="str">
        <f t="array" ref="O272">IFERROR(INDEX(dim_date!F:F,MATCH(A272,dim_date!A:A,0)),"")</f>
        <v>3/8-3/14</v>
      </c>
      <c r="P272" s="9" t="str">
        <f t="array" ref="P272">IFERROR(INDEX(dim_kpi!E:E,MATCH(D272,dim_kpi!C:C,0)),"")</f>
        <v>count</v>
      </c>
      <c r="Q272" s="9" t="str">
        <f t="array" ref="Q272">IFERROR(INDEX(dim_kpi!F:F,MATCH(D272,dim_kpi!C:C,0)),"")</f>
        <v>N</v>
      </c>
    </row>
    <row r="273" ht="12.75" customHeight="1">
      <c r="A273" s="20" t="str">
        <f>fact_kpi_weekly!A273</f>
        <v>260315</v>
      </c>
      <c r="B273" s="21">
        <f>fact_kpi_weekly!B273</f>
        <v>46096</v>
      </c>
      <c r="C273" s="9" t="str">
        <f>fact_kpi_weekly!C273</f>
        <v>Growth</v>
      </c>
      <c r="D273" s="9" t="str">
        <f>fact_kpi_weekly!D273</f>
        <v>New Marketable Patients - New Store</v>
      </c>
      <c r="E273" s="9" t="str">
        <f>fact_kpi_weekly!E273</f>
        <v>Forecast</v>
      </c>
      <c r="F273" s="9" t="str">
        <f>IF(fact_kpi_weekly!F273="","",fact_kpi_weekly!F273)</f>
        <v/>
      </c>
      <c r="G273" s="9" t="str">
        <f>fact_kpi_weekly!G273</f>
        <v>New Store</v>
      </c>
      <c r="H273" s="9" t="str">
        <f>fact_kpi_weekly!H273</f>
        <v>John</v>
      </c>
      <c r="I273" s="9">
        <f>fact_kpi_weekly!I273</f>
        <v>0</v>
      </c>
      <c r="J273" s="22">
        <f>fact_kpi_weekly!J273</f>
        <v>0</v>
      </c>
      <c r="K273" s="20" t="str">
        <f t="array" ref="K273">IFERROR(INDEX(dim_date!H:H,MATCH(A273,dim_date!A:A,0)),"")</f>
        <v>Mar</v>
      </c>
      <c r="L273" s="20" t="str">
        <f t="array" ref="L273">IFERROR(INDEX(dim_date!G:G,MATCH(A273,dim_date!A:A,0)),"")</f>
        <v>03</v>
      </c>
      <c r="M273" s="9" t="str">
        <f t="array" ref="M273">IFERROR(INDEX(dim_date!I:I,MATCH(A273,dim_date!A:A,0)),"")</f>
        <v>Q1</v>
      </c>
      <c r="N273" s="20" t="str">
        <f t="array" ref="N273">IFERROR(INDEX(dim_date!K:K,MATCH(A273,dim_date!A:A,0)),"")</f>
        <v>12</v>
      </c>
      <c r="O273" s="9" t="str">
        <f t="array" ref="O273">IFERROR(INDEX(dim_date!F:F,MATCH(A273,dim_date!A:A,0)),"")</f>
        <v>3/15-3/21</v>
      </c>
      <c r="P273" s="9" t="str">
        <f t="array" ref="P273">IFERROR(INDEX(dim_kpi!E:E,MATCH(D273,dim_kpi!C:C,0)),"")</f>
        <v>count</v>
      </c>
      <c r="Q273" s="9" t="str">
        <f t="array" ref="Q273">IFERROR(INDEX(dim_kpi!F:F,MATCH(D273,dim_kpi!C:C,0)),"")</f>
        <v>N</v>
      </c>
    </row>
    <row r="274" ht="12.75" customHeight="1">
      <c r="A274" s="20" t="str">
        <f>fact_kpi_weekly!A274</f>
        <v>260322</v>
      </c>
      <c r="B274" s="21">
        <f>fact_kpi_weekly!B274</f>
        <v>46103</v>
      </c>
      <c r="C274" s="9" t="str">
        <f>fact_kpi_weekly!C274</f>
        <v>Growth</v>
      </c>
      <c r="D274" s="9" t="str">
        <f>fact_kpi_weekly!D274</f>
        <v>New Marketable Patients - New Store</v>
      </c>
      <c r="E274" s="9" t="str">
        <f>fact_kpi_weekly!E274</f>
        <v>Forecast</v>
      </c>
      <c r="F274" s="9" t="str">
        <f>IF(fact_kpi_weekly!F274="","",fact_kpi_weekly!F274)</f>
        <v/>
      </c>
      <c r="G274" s="9" t="str">
        <f>fact_kpi_weekly!G274</f>
        <v>New Store</v>
      </c>
      <c r="H274" s="9" t="str">
        <f>fact_kpi_weekly!H274</f>
        <v>John</v>
      </c>
      <c r="I274" s="9">
        <f>fact_kpi_weekly!I274</f>
        <v>0</v>
      </c>
      <c r="J274" s="22">
        <f>fact_kpi_weekly!J274</f>
        <v>0</v>
      </c>
      <c r="K274" s="20" t="str">
        <f t="array" ref="K274">IFERROR(INDEX(dim_date!H:H,MATCH(A274,dim_date!A:A,0)),"")</f>
        <v>Mar</v>
      </c>
      <c r="L274" s="20" t="str">
        <f t="array" ref="L274">IFERROR(INDEX(dim_date!G:G,MATCH(A274,dim_date!A:A,0)),"")</f>
        <v>03</v>
      </c>
      <c r="M274" s="9" t="str">
        <f t="array" ref="M274">IFERROR(INDEX(dim_date!I:I,MATCH(A274,dim_date!A:A,0)),"")</f>
        <v>Q1</v>
      </c>
      <c r="N274" s="20" t="str">
        <f t="array" ref="N274">IFERROR(INDEX(dim_date!K:K,MATCH(A274,dim_date!A:A,0)),"")</f>
        <v>13</v>
      </c>
      <c r="O274" s="9" t="str">
        <f t="array" ref="O274">IFERROR(INDEX(dim_date!F:F,MATCH(A274,dim_date!A:A,0)),"")</f>
        <v>3/22-3/28</v>
      </c>
      <c r="P274" s="9" t="str">
        <f t="array" ref="P274">IFERROR(INDEX(dim_kpi!E:E,MATCH(D274,dim_kpi!C:C,0)),"")</f>
        <v>count</v>
      </c>
      <c r="Q274" s="9" t="str">
        <f t="array" ref="Q274">IFERROR(INDEX(dim_kpi!F:F,MATCH(D274,dim_kpi!C:C,0)),"")</f>
        <v>N</v>
      </c>
    </row>
    <row r="275" ht="12.75" customHeight="1">
      <c r="A275" s="20" t="str">
        <f>fact_kpi_weekly!A275</f>
        <v>260329</v>
      </c>
      <c r="B275" s="21">
        <f>fact_kpi_weekly!B275</f>
        <v>46110</v>
      </c>
      <c r="C275" s="9" t="str">
        <f>fact_kpi_weekly!C275</f>
        <v>Growth</v>
      </c>
      <c r="D275" s="9" t="str">
        <f>fact_kpi_weekly!D275</f>
        <v>New Marketable Patients - New Store</v>
      </c>
      <c r="E275" s="9" t="str">
        <f>fact_kpi_weekly!E275</f>
        <v>Forecast</v>
      </c>
      <c r="F275" s="9" t="str">
        <f>IF(fact_kpi_weekly!F275="","",fact_kpi_weekly!F275)</f>
        <v/>
      </c>
      <c r="G275" s="9" t="str">
        <f>fact_kpi_weekly!G275</f>
        <v>New Store</v>
      </c>
      <c r="H275" s="9" t="str">
        <f>fact_kpi_weekly!H275</f>
        <v>John</v>
      </c>
      <c r="I275" s="9">
        <f>fact_kpi_weekly!I275</f>
        <v>0</v>
      </c>
      <c r="J275" s="22">
        <f>fact_kpi_weekly!J275</f>
        <v>0</v>
      </c>
      <c r="K275" s="20" t="str">
        <f t="array" ref="K275">IFERROR(INDEX(dim_date!H:H,MATCH(A275,dim_date!A:A,0)),"")</f>
        <v>Mar</v>
      </c>
      <c r="L275" s="20" t="str">
        <f t="array" ref="L275">IFERROR(INDEX(dim_date!G:G,MATCH(A275,dim_date!A:A,0)),"")</f>
        <v>03</v>
      </c>
      <c r="M275" s="9" t="str">
        <f t="array" ref="M275">IFERROR(INDEX(dim_date!I:I,MATCH(A275,dim_date!A:A,0)),"")</f>
        <v>Q1</v>
      </c>
      <c r="N275" s="20" t="str">
        <f t="array" ref="N275">IFERROR(INDEX(dim_date!K:K,MATCH(A275,dim_date!A:A,0)),"")</f>
        <v>14</v>
      </c>
      <c r="O275" s="9" t="str">
        <f t="array" ref="O275">IFERROR(INDEX(dim_date!F:F,MATCH(A275,dim_date!A:A,0)),"")</f>
        <v>3/29-4/4</v>
      </c>
      <c r="P275" s="9" t="str">
        <f t="array" ref="P275">IFERROR(INDEX(dim_kpi!E:E,MATCH(D275,dim_kpi!C:C,0)),"")</f>
        <v>count</v>
      </c>
      <c r="Q275" s="9" t="str">
        <f t="array" ref="Q275">IFERROR(INDEX(dim_kpi!F:F,MATCH(D275,dim_kpi!C:C,0)),"")</f>
        <v>N</v>
      </c>
    </row>
    <row r="276" ht="12.75" customHeight="1">
      <c r="A276" s="20" t="str">
        <f>fact_kpi_weekly!A276</f>
        <v>260405</v>
      </c>
      <c r="B276" s="21">
        <f>fact_kpi_weekly!B276</f>
        <v>46117</v>
      </c>
      <c r="C276" s="9" t="str">
        <f>fact_kpi_weekly!C276</f>
        <v>Growth</v>
      </c>
      <c r="D276" s="9" t="str">
        <f>fact_kpi_weekly!D276</f>
        <v>New Marketable Patients - New Store</v>
      </c>
      <c r="E276" s="9" t="str">
        <f>fact_kpi_weekly!E276</f>
        <v>Forecast</v>
      </c>
      <c r="F276" s="9" t="str">
        <f>IF(fact_kpi_weekly!F276="","",fact_kpi_weekly!F276)</f>
        <v/>
      </c>
      <c r="G276" s="9" t="str">
        <f>fact_kpi_weekly!G276</f>
        <v>New Store</v>
      </c>
      <c r="H276" s="9" t="str">
        <f>fact_kpi_weekly!H276</f>
        <v>John</v>
      </c>
      <c r="I276" s="9">
        <f>fact_kpi_weekly!I276</f>
        <v>0</v>
      </c>
      <c r="J276" s="22">
        <f>fact_kpi_weekly!J276</f>
        <v>0</v>
      </c>
      <c r="K276" s="20" t="str">
        <f t="array" ref="K276">IFERROR(INDEX(dim_date!H:H,MATCH(A276,dim_date!A:A,0)),"")</f>
        <v>Apr</v>
      </c>
      <c r="L276" s="20" t="str">
        <f t="array" ref="L276">IFERROR(INDEX(dim_date!G:G,MATCH(A276,dim_date!A:A,0)),"")</f>
        <v>04</v>
      </c>
      <c r="M276" s="9" t="str">
        <f t="array" ref="M276">IFERROR(INDEX(dim_date!I:I,MATCH(A276,dim_date!A:A,0)),"")</f>
        <v>Q2</v>
      </c>
      <c r="N276" s="20" t="str">
        <f t="array" ref="N276">IFERROR(INDEX(dim_date!K:K,MATCH(A276,dim_date!A:A,0)),"")</f>
        <v>15</v>
      </c>
      <c r="O276" s="9" t="str">
        <f t="array" ref="O276">IFERROR(INDEX(dim_date!F:F,MATCH(A276,dim_date!A:A,0)),"")</f>
        <v>4/5-4/11</v>
      </c>
      <c r="P276" s="9" t="str">
        <f t="array" ref="P276">IFERROR(INDEX(dim_kpi!E:E,MATCH(D276,dim_kpi!C:C,0)),"")</f>
        <v>count</v>
      </c>
      <c r="Q276" s="9" t="str">
        <f t="array" ref="Q276">IFERROR(INDEX(dim_kpi!F:F,MATCH(D276,dim_kpi!C:C,0)),"")</f>
        <v>N</v>
      </c>
    </row>
    <row r="277" ht="12.75" customHeight="1">
      <c r="A277" s="20" t="str">
        <f>fact_kpi_weekly!A277</f>
        <v>260412</v>
      </c>
      <c r="B277" s="21">
        <f>fact_kpi_weekly!B277</f>
        <v>46124</v>
      </c>
      <c r="C277" s="9" t="str">
        <f>fact_kpi_weekly!C277</f>
        <v>Growth</v>
      </c>
      <c r="D277" s="9" t="str">
        <f>fact_kpi_weekly!D277</f>
        <v>New Marketable Patients - New Store</v>
      </c>
      <c r="E277" s="9" t="str">
        <f>fact_kpi_weekly!E277</f>
        <v>Forecast</v>
      </c>
      <c r="F277" s="9" t="str">
        <f>IF(fact_kpi_weekly!F277="","",fact_kpi_weekly!F277)</f>
        <v/>
      </c>
      <c r="G277" s="9" t="str">
        <f>fact_kpi_weekly!G277</f>
        <v>New Store</v>
      </c>
      <c r="H277" s="9" t="str">
        <f>fact_kpi_weekly!H277</f>
        <v>John</v>
      </c>
      <c r="I277" s="9">
        <f>fact_kpi_weekly!I277</f>
        <v>0</v>
      </c>
      <c r="J277" s="22">
        <f>fact_kpi_weekly!J277</f>
        <v>0</v>
      </c>
      <c r="K277" s="20" t="str">
        <f t="array" ref="K277">IFERROR(INDEX(dim_date!H:H,MATCH(A277,dim_date!A:A,0)),"")</f>
        <v>Apr</v>
      </c>
      <c r="L277" s="20" t="str">
        <f t="array" ref="L277">IFERROR(INDEX(dim_date!G:G,MATCH(A277,dim_date!A:A,0)),"")</f>
        <v>04</v>
      </c>
      <c r="M277" s="9" t="str">
        <f t="array" ref="M277">IFERROR(INDEX(dim_date!I:I,MATCH(A277,dim_date!A:A,0)),"")</f>
        <v>Q2</v>
      </c>
      <c r="N277" s="20" t="str">
        <f t="array" ref="N277">IFERROR(INDEX(dim_date!K:K,MATCH(A277,dim_date!A:A,0)),"")</f>
        <v>16</v>
      </c>
      <c r="O277" s="9" t="str">
        <f t="array" ref="O277">IFERROR(INDEX(dim_date!F:F,MATCH(A277,dim_date!A:A,0)),"")</f>
        <v>4/12-4/18</v>
      </c>
      <c r="P277" s="9" t="str">
        <f t="array" ref="P277">IFERROR(INDEX(dim_kpi!E:E,MATCH(D277,dim_kpi!C:C,0)),"")</f>
        <v>count</v>
      </c>
      <c r="Q277" s="9" t="str">
        <f t="array" ref="Q277">IFERROR(INDEX(dim_kpi!F:F,MATCH(D277,dim_kpi!C:C,0)),"")</f>
        <v>N</v>
      </c>
    </row>
    <row r="278" ht="12.75" customHeight="1">
      <c r="A278" s="20" t="str">
        <f>fact_kpi_weekly!A278</f>
        <v>260419</v>
      </c>
      <c r="B278" s="21">
        <f>fact_kpi_weekly!B278</f>
        <v>46131</v>
      </c>
      <c r="C278" s="9" t="str">
        <f>fact_kpi_weekly!C278</f>
        <v>Growth</v>
      </c>
      <c r="D278" s="9" t="str">
        <f>fact_kpi_weekly!D278</f>
        <v>New Marketable Patients - New Store</v>
      </c>
      <c r="E278" s="9" t="str">
        <f>fact_kpi_weekly!E278</f>
        <v>Forecast</v>
      </c>
      <c r="F278" s="9" t="str">
        <f>IF(fact_kpi_weekly!F278="","",fact_kpi_weekly!F278)</f>
        <v/>
      </c>
      <c r="G278" s="9" t="str">
        <f>fact_kpi_weekly!G278</f>
        <v>New Store</v>
      </c>
      <c r="H278" s="9" t="str">
        <f>fact_kpi_weekly!H278</f>
        <v>John</v>
      </c>
      <c r="I278" s="9">
        <f>fact_kpi_weekly!I278</f>
        <v>0</v>
      </c>
      <c r="J278" s="22">
        <f>fact_kpi_weekly!J278</f>
        <v>0</v>
      </c>
      <c r="K278" s="20" t="str">
        <f t="array" ref="K278">IFERROR(INDEX(dim_date!H:H,MATCH(A278,dim_date!A:A,0)),"")</f>
        <v>Apr</v>
      </c>
      <c r="L278" s="20" t="str">
        <f t="array" ref="L278">IFERROR(INDEX(dim_date!G:G,MATCH(A278,dim_date!A:A,0)),"")</f>
        <v>04</v>
      </c>
      <c r="M278" s="9" t="str">
        <f t="array" ref="M278">IFERROR(INDEX(dim_date!I:I,MATCH(A278,dim_date!A:A,0)),"")</f>
        <v>Q2</v>
      </c>
      <c r="N278" s="20" t="str">
        <f t="array" ref="N278">IFERROR(INDEX(dim_date!K:K,MATCH(A278,dim_date!A:A,0)),"")</f>
        <v>17</v>
      </c>
      <c r="O278" s="9" t="str">
        <f t="array" ref="O278">IFERROR(INDEX(dim_date!F:F,MATCH(A278,dim_date!A:A,0)),"")</f>
        <v>4/19-4/25</v>
      </c>
      <c r="P278" s="9" t="str">
        <f t="array" ref="P278">IFERROR(INDEX(dim_kpi!E:E,MATCH(D278,dim_kpi!C:C,0)),"")</f>
        <v>count</v>
      </c>
      <c r="Q278" s="9" t="str">
        <f t="array" ref="Q278">IFERROR(INDEX(dim_kpi!F:F,MATCH(D278,dim_kpi!C:C,0)),"")</f>
        <v>N</v>
      </c>
    </row>
    <row r="279" ht="12.75" customHeight="1">
      <c r="A279" s="20" t="str">
        <f>fact_kpi_weekly!A279</f>
        <v>260426</v>
      </c>
      <c r="B279" s="21">
        <f>fact_kpi_weekly!B279</f>
        <v>46138</v>
      </c>
      <c r="C279" s="9" t="str">
        <f>fact_kpi_weekly!C279</f>
        <v>Growth</v>
      </c>
      <c r="D279" s="9" t="str">
        <f>fact_kpi_weekly!D279</f>
        <v>New Marketable Patients - New Store</v>
      </c>
      <c r="E279" s="9" t="str">
        <f>fact_kpi_weekly!E279</f>
        <v>Forecast</v>
      </c>
      <c r="F279" s="9" t="str">
        <f>IF(fact_kpi_weekly!F279="","",fact_kpi_weekly!F279)</f>
        <v/>
      </c>
      <c r="G279" s="9" t="str">
        <f>fact_kpi_weekly!G279</f>
        <v>New Store</v>
      </c>
      <c r="H279" s="9" t="str">
        <f>fact_kpi_weekly!H279</f>
        <v>John</v>
      </c>
      <c r="I279" s="9">
        <f>fact_kpi_weekly!I279</f>
        <v>4800</v>
      </c>
      <c r="J279" s="22">
        <f>fact_kpi_weekly!J279</f>
        <v>4800</v>
      </c>
      <c r="K279" s="20" t="str">
        <f t="array" ref="K279">IFERROR(INDEX(dim_date!H:H,MATCH(A279,dim_date!A:A,0)),"")</f>
        <v>Apr</v>
      </c>
      <c r="L279" s="20" t="str">
        <f t="array" ref="L279">IFERROR(INDEX(dim_date!G:G,MATCH(A279,dim_date!A:A,0)),"")</f>
        <v>04</v>
      </c>
      <c r="M279" s="9" t="str">
        <f t="array" ref="M279">IFERROR(INDEX(dim_date!I:I,MATCH(A279,dim_date!A:A,0)),"")</f>
        <v>Q2</v>
      </c>
      <c r="N279" s="20" t="str">
        <f t="array" ref="N279">IFERROR(INDEX(dim_date!K:K,MATCH(A279,dim_date!A:A,0)),"")</f>
        <v>18</v>
      </c>
      <c r="O279" s="9" t="str">
        <f t="array" ref="O279">IFERROR(INDEX(dim_date!F:F,MATCH(A279,dim_date!A:A,0)),"")</f>
        <v>4/26-5/2</v>
      </c>
      <c r="P279" s="9" t="str">
        <f t="array" ref="P279">IFERROR(INDEX(dim_kpi!E:E,MATCH(D279,dim_kpi!C:C,0)),"")</f>
        <v>count</v>
      </c>
      <c r="Q279" s="9" t="str">
        <f t="array" ref="Q279">IFERROR(INDEX(dim_kpi!F:F,MATCH(D279,dim_kpi!C:C,0)),"")</f>
        <v>N</v>
      </c>
    </row>
    <row r="280" ht="12.75" customHeight="1">
      <c r="A280" s="20" t="str">
        <f>fact_kpi_weekly!A280</f>
        <v>260503</v>
      </c>
      <c r="B280" s="21">
        <f>fact_kpi_weekly!B280</f>
        <v>46145</v>
      </c>
      <c r="C280" s="9" t="str">
        <f>fact_kpi_weekly!C280</f>
        <v>Growth</v>
      </c>
      <c r="D280" s="9" t="str">
        <f>fact_kpi_weekly!D280</f>
        <v>New Marketable Patients - New Store</v>
      </c>
      <c r="E280" s="9" t="str">
        <f>fact_kpi_weekly!E280</f>
        <v>Forecast</v>
      </c>
      <c r="F280" s="9" t="str">
        <f>IF(fact_kpi_weekly!F280="","",fact_kpi_weekly!F280)</f>
        <v/>
      </c>
      <c r="G280" s="9" t="str">
        <f>fact_kpi_weekly!G280</f>
        <v>New Store</v>
      </c>
      <c r="H280" s="9" t="str">
        <f>fact_kpi_weekly!H280</f>
        <v>John</v>
      </c>
      <c r="I280" s="9">
        <f>fact_kpi_weekly!I280</f>
        <v>0</v>
      </c>
      <c r="J280" s="22">
        <f>fact_kpi_weekly!J280</f>
        <v>0</v>
      </c>
      <c r="K280" s="20" t="str">
        <f t="array" ref="K280">IFERROR(INDEX(dim_date!H:H,MATCH(A280,dim_date!A:A,0)),"")</f>
        <v>May</v>
      </c>
      <c r="L280" s="20" t="str">
        <f t="array" ref="L280">IFERROR(INDEX(dim_date!G:G,MATCH(A280,dim_date!A:A,0)),"")</f>
        <v>05</v>
      </c>
      <c r="M280" s="9" t="str">
        <f t="array" ref="M280">IFERROR(INDEX(dim_date!I:I,MATCH(A280,dim_date!A:A,0)),"")</f>
        <v>Q2</v>
      </c>
      <c r="N280" s="20" t="str">
        <f t="array" ref="N280">IFERROR(INDEX(dim_date!K:K,MATCH(A280,dim_date!A:A,0)),"")</f>
        <v>19</v>
      </c>
      <c r="O280" s="9" t="str">
        <f t="array" ref="O280">IFERROR(INDEX(dim_date!F:F,MATCH(A280,dim_date!A:A,0)),"")</f>
        <v>5/3-5/9</v>
      </c>
      <c r="P280" s="9" t="str">
        <f t="array" ref="P280">IFERROR(INDEX(dim_kpi!E:E,MATCH(D280,dim_kpi!C:C,0)),"")</f>
        <v>count</v>
      </c>
      <c r="Q280" s="9" t="str">
        <f t="array" ref="Q280">IFERROR(INDEX(dim_kpi!F:F,MATCH(D280,dim_kpi!C:C,0)),"")</f>
        <v>N</v>
      </c>
    </row>
    <row r="281" ht="12.75" customHeight="1">
      <c r="A281" s="20" t="str">
        <f>fact_kpi_weekly!A281</f>
        <v>260510</v>
      </c>
      <c r="B281" s="21">
        <f>fact_kpi_weekly!B281</f>
        <v>46152</v>
      </c>
      <c r="C281" s="9" t="str">
        <f>fact_kpi_weekly!C281</f>
        <v>Growth</v>
      </c>
      <c r="D281" s="9" t="str">
        <f>fact_kpi_weekly!D281</f>
        <v>New Marketable Patients - New Store</v>
      </c>
      <c r="E281" s="9" t="str">
        <f>fact_kpi_weekly!E281</f>
        <v>Forecast</v>
      </c>
      <c r="F281" s="9" t="str">
        <f>IF(fact_kpi_weekly!F281="","",fact_kpi_weekly!F281)</f>
        <v/>
      </c>
      <c r="G281" s="9" t="str">
        <f>fact_kpi_weekly!G281</f>
        <v>New Store</v>
      </c>
      <c r="H281" s="9" t="str">
        <f>fact_kpi_weekly!H281</f>
        <v>John</v>
      </c>
      <c r="I281" s="9">
        <f>fact_kpi_weekly!I281</f>
        <v>0</v>
      </c>
      <c r="J281" s="22">
        <f>fact_kpi_weekly!J281</f>
        <v>0</v>
      </c>
      <c r="K281" s="20" t="str">
        <f t="array" ref="K281">IFERROR(INDEX(dim_date!H:H,MATCH(A281,dim_date!A:A,0)),"")</f>
        <v>May</v>
      </c>
      <c r="L281" s="20" t="str">
        <f t="array" ref="L281">IFERROR(INDEX(dim_date!G:G,MATCH(A281,dim_date!A:A,0)),"")</f>
        <v>05</v>
      </c>
      <c r="M281" s="9" t="str">
        <f t="array" ref="M281">IFERROR(INDEX(dim_date!I:I,MATCH(A281,dim_date!A:A,0)),"")</f>
        <v>Q2</v>
      </c>
      <c r="N281" s="20" t="str">
        <f t="array" ref="N281">IFERROR(INDEX(dim_date!K:K,MATCH(A281,dim_date!A:A,0)),"")</f>
        <v>20</v>
      </c>
      <c r="O281" s="9" t="str">
        <f t="array" ref="O281">IFERROR(INDEX(dim_date!F:F,MATCH(A281,dim_date!A:A,0)),"")</f>
        <v>5/10-5/16</v>
      </c>
      <c r="P281" s="9" t="str">
        <f t="array" ref="P281">IFERROR(INDEX(dim_kpi!E:E,MATCH(D281,dim_kpi!C:C,0)),"")</f>
        <v>count</v>
      </c>
      <c r="Q281" s="9" t="str">
        <f t="array" ref="Q281">IFERROR(INDEX(dim_kpi!F:F,MATCH(D281,dim_kpi!C:C,0)),"")</f>
        <v>N</v>
      </c>
    </row>
    <row r="282" ht="12.75" customHeight="1">
      <c r="A282" s="20" t="str">
        <f>fact_kpi_weekly!A282</f>
        <v>260517</v>
      </c>
      <c r="B282" s="21">
        <f>fact_kpi_weekly!B282</f>
        <v>46159</v>
      </c>
      <c r="C282" s="9" t="str">
        <f>fact_kpi_weekly!C282</f>
        <v>Growth</v>
      </c>
      <c r="D282" s="9" t="str">
        <f>fact_kpi_weekly!D282</f>
        <v>New Marketable Patients - New Store</v>
      </c>
      <c r="E282" s="9" t="str">
        <f>fact_kpi_weekly!E282</f>
        <v>Forecast</v>
      </c>
      <c r="F282" s="9" t="str">
        <f>IF(fact_kpi_weekly!F282="","",fact_kpi_weekly!F282)</f>
        <v/>
      </c>
      <c r="G282" s="9" t="str">
        <f>fact_kpi_weekly!G282</f>
        <v>New Store</v>
      </c>
      <c r="H282" s="9" t="str">
        <f>fact_kpi_weekly!H282</f>
        <v>John</v>
      </c>
      <c r="I282" s="9">
        <f>fact_kpi_weekly!I282</f>
        <v>1600</v>
      </c>
      <c r="J282" s="22">
        <f>fact_kpi_weekly!J282</f>
        <v>1600</v>
      </c>
      <c r="K282" s="20" t="str">
        <f t="array" ref="K282">IFERROR(INDEX(dim_date!H:H,MATCH(A282,dim_date!A:A,0)),"")</f>
        <v>May</v>
      </c>
      <c r="L282" s="20" t="str">
        <f t="array" ref="L282">IFERROR(INDEX(dim_date!G:G,MATCH(A282,dim_date!A:A,0)),"")</f>
        <v>05</v>
      </c>
      <c r="M282" s="9" t="str">
        <f t="array" ref="M282">IFERROR(INDEX(dim_date!I:I,MATCH(A282,dim_date!A:A,0)),"")</f>
        <v>Q2</v>
      </c>
      <c r="N282" s="20" t="str">
        <f t="array" ref="N282">IFERROR(INDEX(dim_date!K:K,MATCH(A282,dim_date!A:A,0)),"")</f>
        <v>21</v>
      </c>
      <c r="O282" s="9" t="str">
        <f t="array" ref="O282">IFERROR(INDEX(dim_date!F:F,MATCH(A282,dim_date!A:A,0)),"")</f>
        <v>5/17-5/23</v>
      </c>
      <c r="P282" s="9" t="str">
        <f t="array" ref="P282">IFERROR(INDEX(dim_kpi!E:E,MATCH(D282,dim_kpi!C:C,0)),"")</f>
        <v>count</v>
      </c>
      <c r="Q282" s="9" t="str">
        <f t="array" ref="Q282">IFERROR(INDEX(dim_kpi!F:F,MATCH(D282,dim_kpi!C:C,0)),"")</f>
        <v>N</v>
      </c>
    </row>
    <row r="283" ht="12.75" customHeight="1">
      <c r="A283" s="20" t="str">
        <f>fact_kpi_weekly!A283</f>
        <v>260524</v>
      </c>
      <c r="B283" s="21">
        <f>fact_kpi_weekly!B283</f>
        <v>46166</v>
      </c>
      <c r="C283" s="9" t="str">
        <f>fact_kpi_weekly!C283</f>
        <v>Growth</v>
      </c>
      <c r="D283" s="9" t="str">
        <f>fact_kpi_weekly!D283</f>
        <v>New Marketable Patients - New Store</v>
      </c>
      <c r="E283" s="9" t="str">
        <f>fact_kpi_weekly!E283</f>
        <v>Forecast</v>
      </c>
      <c r="F283" s="9" t="str">
        <f>IF(fact_kpi_weekly!F283="","",fact_kpi_weekly!F283)</f>
        <v/>
      </c>
      <c r="G283" s="9" t="str">
        <f>fact_kpi_weekly!G283</f>
        <v>New Store</v>
      </c>
      <c r="H283" s="9" t="str">
        <f>fact_kpi_weekly!H283</f>
        <v>John</v>
      </c>
      <c r="I283" s="9">
        <f>fact_kpi_weekly!I283</f>
        <v>0</v>
      </c>
      <c r="J283" s="22">
        <f>fact_kpi_weekly!J283</f>
        <v>0</v>
      </c>
      <c r="K283" s="20" t="str">
        <f t="array" ref="K283">IFERROR(INDEX(dim_date!H:H,MATCH(A283,dim_date!A:A,0)),"")</f>
        <v>May</v>
      </c>
      <c r="L283" s="20" t="str">
        <f t="array" ref="L283">IFERROR(INDEX(dim_date!G:G,MATCH(A283,dim_date!A:A,0)),"")</f>
        <v>05</v>
      </c>
      <c r="M283" s="9" t="str">
        <f t="array" ref="M283">IFERROR(INDEX(dim_date!I:I,MATCH(A283,dim_date!A:A,0)),"")</f>
        <v>Q2</v>
      </c>
      <c r="N283" s="20" t="str">
        <f t="array" ref="N283">IFERROR(INDEX(dim_date!K:K,MATCH(A283,dim_date!A:A,0)),"")</f>
        <v>22</v>
      </c>
      <c r="O283" s="9" t="str">
        <f t="array" ref="O283">IFERROR(INDEX(dim_date!F:F,MATCH(A283,dim_date!A:A,0)),"")</f>
        <v>5/24-5/30</v>
      </c>
      <c r="P283" s="9" t="str">
        <f t="array" ref="P283">IFERROR(INDEX(dim_kpi!E:E,MATCH(D283,dim_kpi!C:C,0)),"")</f>
        <v>count</v>
      </c>
      <c r="Q283" s="9" t="str">
        <f t="array" ref="Q283">IFERROR(INDEX(dim_kpi!F:F,MATCH(D283,dim_kpi!C:C,0)),"")</f>
        <v>N</v>
      </c>
    </row>
    <row r="284" ht="12.75" customHeight="1">
      <c r="A284" s="20" t="str">
        <f>fact_kpi_weekly!A284</f>
        <v>260601</v>
      </c>
      <c r="B284" s="21">
        <f>fact_kpi_weekly!B284</f>
        <v>46174</v>
      </c>
      <c r="C284" s="9" t="str">
        <f>fact_kpi_weekly!C284</f>
        <v>Growth</v>
      </c>
      <c r="D284" s="9" t="str">
        <f>fact_kpi_weekly!D284</f>
        <v>New Marketable Patients - New Store</v>
      </c>
      <c r="E284" s="9" t="str">
        <f>fact_kpi_weekly!E284</f>
        <v>Forecast</v>
      </c>
      <c r="F284" s="9" t="str">
        <f>IF(fact_kpi_weekly!F284="","",fact_kpi_weekly!F284)</f>
        <v/>
      </c>
      <c r="G284" s="9" t="str">
        <f>fact_kpi_weekly!G284</f>
        <v>New Store</v>
      </c>
      <c r="H284" s="9" t="str">
        <f>fact_kpi_weekly!H284</f>
        <v>John</v>
      </c>
      <c r="I284" s="9">
        <f>fact_kpi_weekly!I284</f>
        <v>4800</v>
      </c>
      <c r="J284" s="22">
        <f>fact_kpi_weekly!J284</f>
        <v>4800</v>
      </c>
      <c r="K284" s="20" t="str">
        <f t="array" ref="K284">IFERROR(INDEX(dim_date!H:H,MATCH(A284,dim_date!A:A,0)),"")</f>
        <v>Jun</v>
      </c>
      <c r="L284" s="20" t="str">
        <f t="array" ref="L284">IFERROR(INDEX(dim_date!G:G,MATCH(A284,dim_date!A:A,0)),"")</f>
        <v>06</v>
      </c>
      <c r="M284" s="9" t="str">
        <f t="array" ref="M284">IFERROR(INDEX(dim_date!I:I,MATCH(A284,dim_date!A:A,0)),"")</f>
        <v>Q2</v>
      </c>
      <c r="N284" s="20" t="str">
        <f t="array" ref="N284">IFERROR(INDEX(dim_date!K:K,MATCH(A284,dim_date!A:A,0)),"")</f>
        <v>23</v>
      </c>
      <c r="O284" s="9" t="str">
        <f t="array" ref="O284">IFERROR(INDEX(dim_date!F:F,MATCH(A284,dim_date!A:A,0)),"")</f>
        <v>5/31-6/6</v>
      </c>
      <c r="P284" s="9" t="str">
        <f t="array" ref="P284">IFERROR(INDEX(dim_kpi!E:E,MATCH(D284,dim_kpi!C:C,0)),"")</f>
        <v>count</v>
      </c>
      <c r="Q284" s="9" t="str">
        <f t="array" ref="Q284">IFERROR(INDEX(dim_kpi!F:F,MATCH(D284,dim_kpi!C:C,0)),"")</f>
        <v>N</v>
      </c>
    </row>
    <row r="285" ht="12.75" customHeight="1">
      <c r="A285" s="20" t="str">
        <f>fact_kpi_weekly!A285</f>
        <v>260607</v>
      </c>
      <c r="B285" s="21">
        <f>fact_kpi_weekly!B285</f>
        <v>46180</v>
      </c>
      <c r="C285" s="9" t="str">
        <f>fact_kpi_weekly!C285</f>
        <v>Growth</v>
      </c>
      <c r="D285" s="9" t="str">
        <f>fact_kpi_weekly!D285</f>
        <v>New Marketable Patients - New Store</v>
      </c>
      <c r="E285" s="9" t="str">
        <f>fact_kpi_weekly!E285</f>
        <v>Forecast</v>
      </c>
      <c r="F285" s="9" t="str">
        <f>IF(fact_kpi_weekly!F285="","",fact_kpi_weekly!F285)</f>
        <v/>
      </c>
      <c r="G285" s="9" t="str">
        <f>fact_kpi_weekly!G285</f>
        <v>New Store</v>
      </c>
      <c r="H285" s="9" t="str">
        <f>fact_kpi_weekly!H285</f>
        <v>John</v>
      </c>
      <c r="I285" s="9">
        <f>fact_kpi_weekly!I285</f>
        <v>0</v>
      </c>
      <c r="J285" s="22">
        <f>fact_kpi_weekly!J285</f>
        <v>0</v>
      </c>
      <c r="K285" s="20" t="str">
        <f t="array" ref="K285">IFERROR(INDEX(dim_date!H:H,MATCH(A285,dim_date!A:A,0)),"")</f>
        <v>Jun</v>
      </c>
      <c r="L285" s="20" t="str">
        <f t="array" ref="L285">IFERROR(INDEX(dim_date!G:G,MATCH(A285,dim_date!A:A,0)),"")</f>
        <v>06</v>
      </c>
      <c r="M285" s="9" t="str">
        <f t="array" ref="M285">IFERROR(INDEX(dim_date!I:I,MATCH(A285,dim_date!A:A,0)),"")</f>
        <v>Q2</v>
      </c>
      <c r="N285" s="20" t="str">
        <f t="array" ref="N285">IFERROR(INDEX(dim_date!K:K,MATCH(A285,dim_date!A:A,0)),"")</f>
        <v>24</v>
      </c>
      <c r="O285" s="9" t="str">
        <f t="array" ref="O285">IFERROR(INDEX(dim_date!F:F,MATCH(A285,dim_date!A:A,0)),"")</f>
        <v>6/7-6/13</v>
      </c>
      <c r="P285" s="9" t="str">
        <f t="array" ref="P285">IFERROR(INDEX(dim_kpi!E:E,MATCH(D285,dim_kpi!C:C,0)),"")</f>
        <v>count</v>
      </c>
      <c r="Q285" s="9" t="str">
        <f t="array" ref="Q285">IFERROR(INDEX(dim_kpi!F:F,MATCH(D285,dim_kpi!C:C,0)),"")</f>
        <v>N</v>
      </c>
    </row>
    <row r="286" ht="12.75" customHeight="1">
      <c r="A286" s="20" t="str">
        <f>fact_kpi_weekly!A286</f>
        <v>260614</v>
      </c>
      <c r="B286" s="21">
        <f>fact_kpi_weekly!B286</f>
        <v>46187</v>
      </c>
      <c r="C286" s="9" t="str">
        <f>fact_kpi_weekly!C286</f>
        <v>Growth</v>
      </c>
      <c r="D286" s="9" t="str">
        <f>fact_kpi_weekly!D286</f>
        <v>New Marketable Patients - New Store</v>
      </c>
      <c r="E286" s="9" t="str">
        <f>fact_kpi_weekly!E286</f>
        <v>Forecast</v>
      </c>
      <c r="F286" s="9" t="str">
        <f>IF(fact_kpi_weekly!F286="","",fact_kpi_weekly!F286)</f>
        <v/>
      </c>
      <c r="G286" s="9" t="str">
        <f>fact_kpi_weekly!G286</f>
        <v>New Store</v>
      </c>
      <c r="H286" s="9" t="str">
        <f>fact_kpi_weekly!H286</f>
        <v>John</v>
      </c>
      <c r="I286" s="9">
        <f>fact_kpi_weekly!I286</f>
        <v>1600</v>
      </c>
      <c r="J286" s="22">
        <f>fact_kpi_weekly!J286</f>
        <v>1600</v>
      </c>
      <c r="K286" s="20" t="str">
        <f t="array" ref="K286">IFERROR(INDEX(dim_date!H:H,MATCH(A286,dim_date!A:A,0)),"")</f>
        <v>Jun</v>
      </c>
      <c r="L286" s="20" t="str">
        <f t="array" ref="L286">IFERROR(INDEX(dim_date!G:G,MATCH(A286,dim_date!A:A,0)),"")</f>
        <v>06</v>
      </c>
      <c r="M286" s="9" t="str">
        <f t="array" ref="M286">IFERROR(INDEX(dim_date!I:I,MATCH(A286,dim_date!A:A,0)),"")</f>
        <v>Q2</v>
      </c>
      <c r="N286" s="20" t="str">
        <f t="array" ref="N286">IFERROR(INDEX(dim_date!K:K,MATCH(A286,dim_date!A:A,0)),"")</f>
        <v>25</v>
      </c>
      <c r="O286" s="9" t="str">
        <f t="array" ref="O286">IFERROR(INDEX(dim_date!F:F,MATCH(A286,dim_date!A:A,0)),"")</f>
        <v>6/14-6/20</v>
      </c>
      <c r="P286" s="9" t="str">
        <f t="array" ref="P286">IFERROR(INDEX(dim_kpi!E:E,MATCH(D286,dim_kpi!C:C,0)),"")</f>
        <v>count</v>
      </c>
      <c r="Q286" s="9" t="str">
        <f t="array" ref="Q286">IFERROR(INDEX(dim_kpi!F:F,MATCH(D286,dim_kpi!C:C,0)),"")</f>
        <v>N</v>
      </c>
    </row>
    <row r="287" ht="12.75" customHeight="1">
      <c r="A287" s="20" t="str">
        <f>fact_kpi_weekly!A287</f>
        <v>260621</v>
      </c>
      <c r="B287" s="21">
        <f>fact_kpi_weekly!B287</f>
        <v>46194</v>
      </c>
      <c r="C287" s="9" t="str">
        <f>fact_kpi_weekly!C287</f>
        <v>Growth</v>
      </c>
      <c r="D287" s="9" t="str">
        <f>fact_kpi_weekly!D287</f>
        <v>New Marketable Patients - New Store</v>
      </c>
      <c r="E287" s="9" t="str">
        <f>fact_kpi_weekly!E287</f>
        <v>Forecast</v>
      </c>
      <c r="F287" s="9" t="str">
        <f>IF(fact_kpi_weekly!F287="","",fact_kpi_weekly!F287)</f>
        <v/>
      </c>
      <c r="G287" s="9" t="str">
        <f>fact_kpi_weekly!G287</f>
        <v>New Store</v>
      </c>
      <c r="H287" s="9" t="str">
        <f>fact_kpi_weekly!H287</f>
        <v>John</v>
      </c>
      <c r="I287" s="9">
        <f>fact_kpi_weekly!I287</f>
        <v>0</v>
      </c>
      <c r="J287" s="22">
        <f>fact_kpi_weekly!J287</f>
        <v>0</v>
      </c>
      <c r="K287" s="20" t="str">
        <f t="array" ref="K287">IFERROR(INDEX(dim_date!H:H,MATCH(A287,dim_date!A:A,0)),"")</f>
        <v>Jun</v>
      </c>
      <c r="L287" s="20" t="str">
        <f t="array" ref="L287">IFERROR(INDEX(dim_date!G:G,MATCH(A287,dim_date!A:A,0)),"")</f>
        <v>06</v>
      </c>
      <c r="M287" s="9" t="str">
        <f t="array" ref="M287">IFERROR(INDEX(dim_date!I:I,MATCH(A287,dim_date!A:A,0)),"")</f>
        <v>Q2</v>
      </c>
      <c r="N287" s="20" t="str">
        <f t="array" ref="N287">IFERROR(INDEX(dim_date!K:K,MATCH(A287,dim_date!A:A,0)),"")</f>
        <v>26</v>
      </c>
      <c r="O287" s="9" t="str">
        <f t="array" ref="O287">IFERROR(INDEX(dim_date!F:F,MATCH(A287,dim_date!A:A,0)),"")</f>
        <v>6/21-6/27</v>
      </c>
      <c r="P287" s="9" t="str">
        <f t="array" ref="P287">IFERROR(INDEX(dim_kpi!E:E,MATCH(D287,dim_kpi!C:C,0)),"")</f>
        <v>count</v>
      </c>
      <c r="Q287" s="9" t="str">
        <f t="array" ref="Q287">IFERROR(INDEX(dim_kpi!F:F,MATCH(D287,dim_kpi!C:C,0)),"")</f>
        <v>N</v>
      </c>
    </row>
    <row r="288" ht="12.75" customHeight="1">
      <c r="A288" s="20" t="str">
        <f>fact_kpi_weekly!A288</f>
        <v>260628</v>
      </c>
      <c r="B288" s="21">
        <f>fact_kpi_weekly!B288</f>
        <v>46201</v>
      </c>
      <c r="C288" s="9" t="str">
        <f>fact_kpi_weekly!C288</f>
        <v>Growth</v>
      </c>
      <c r="D288" s="9" t="str">
        <f>fact_kpi_weekly!D288</f>
        <v>New Marketable Patients - New Store</v>
      </c>
      <c r="E288" s="9" t="str">
        <f>fact_kpi_weekly!E288</f>
        <v>Forecast</v>
      </c>
      <c r="F288" s="9" t="str">
        <f>IF(fact_kpi_weekly!F288="","",fact_kpi_weekly!F288)</f>
        <v/>
      </c>
      <c r="G288" s="9" t="str">
        <f>fact_kpi_weekly!G288</f>
        <v>New Store</v>
      </c>
      <c r="H288" s="9" t="str">
        <f>fact_kpi_weekly!H288</f>
        <v>John</v>
      </c>
      <c r="I288" s="9">
        <f>fact_kpi_weekly!I288</f>
        <v>0</v>
      </c>
      <c r="J288" s="22">
        <f>fact_kpi_weekly!J288</f>
        <v>0</v>
      </c>
      <c r="K288" s="20" t="str">
        <f t="array" ref="K288">IFERROR(INDEX(dim_date!H:H,MATCH(A288,dim_date!A:A,0)),"")</f>
        <v>Jun</v>
      </c>
      <c r="L288" s="20" t="str">
        <f t="array" ref="L288">IFERROR(INDEX(dim_date!G:G,MATCH(A288,dim_date!A:A,0)),"")</f>
        <v>06</v>
      </c>
      <c r="M288" s="9" t="str">
        <f t="array" ref="M288">IFERROR(INDEX(dim_date!I:I,MATCH(A288,dim_date!A:A,0)),"")</f>
        <v>Q2</v>
      </c>
      <c r="N288" s="20" t="str">
        <f t="array" ref="N288">IFERROR(INDEX(dim_date!K:K,MATCH(A288,dim_date!A:A,0)),"")</f>
        <v>27</v>
      </c>
      <c r="O288" s="9" t="str">
        <f t="array" ref="O288">IFERROR(INDEX(dim_date!F:F,MATCH(A288,dim_date!A:A,0)),"")</f>
        <v>6/28-7/4</v>
      </c>
      <c r="P288" s="9" t="str">
        <f t="array" ref="P288">IFERROR(INDEX(dim_kpi!E:E,MATCH(D288,dim_kpi!C:C,0)),"")</f>
        <v>count</v>
      </c>
      <c r="Q288" s="9" t="str">
        <f t="array" ref="Q288">IFERROR(INDEX(dim_kpi!F:F,MATCH(D288,dim_kpi!C:C,0)),"")</f>
        <v>N</v>
      </c>
    </row>
    <row r="289" ht="12.75" customHeight="1">
      <c r="A289" s="20" t="str">
        <f>fact_kpi_weekly!A289</f>
        <v>260705</v>
      </c>
      <c r="B289" s="21">
        <f>fact_kpi_weekly!B289</f>
        <v>46208</v>
      </c>
      <c r="C289" s="9" t="str">
        <f>fact_kpi_weekly!C289</f>
        <v>Growth</v>
      </c>
      <c r="D289" s="9" t="str">
        <f>fact_kpi_weekly!D289</f>
        <v>New Marketable Patients - New Store</v>
      </c>
      <c r="E289" s="9" t="str">
        <f>fact_kpi_weekly!E289</f>
        <v>Forecast</v>
      </c>
      <c r="F289" s="9" t="str">
        <f>IF(fact_kpi_weekly!F289="","",fact_kpi_weekly!F289)</f>
        <v/>
      </c>
      <c r="G289" s="9" t="str">
        <f>fact_kpi_weekly!G289</f>
        <v>New Store</v>
      </c>
      <c r="H289" s="9" t="str">
        <f>fact_kpi_weekly!H289</f>
        <v>John</v>
      </c>
      <c r="I289" s="9">
        <f>fact_kpi_weekly!I289</f>
        <v>0</v>
      </c>
      <c r="J289" s="22">
        <f>fact_kpi_weekly!J289</f>
        <v>0</v>
      </c>
      <c r="K289" s="20" t="str">
        <f t="array" ref="K289">IFERROR(INDEX(dim_date!H:H,MATCH(A289,dim_date!A:A,0)),"")</f>
        <v>Jul</v>
      </c>
      <c r="L289" s="20" t="str">
        <f t="array" ref="L289">IFERROR(INDEX(dim_date!G:G,MATCH(A289,dim_date!A:A,0)),"")</f>
        <v>07</v>
      </c>
      <c r="M289" s="9" t="str">
        <f t="array" ref="M289">IFERROR(INDEX(dim_date!I:I,MATCH(A289,dim_date!A:A,0)),"")</f>
        <v>Q3</v>
      </c>
      <c r="N289" s="20" t="str">
        <f t="array" ref="N289">IFERROR(INDEX(dim_date!K:K,MATCH(A289,dim_date!A:A,0)),"")</f>
        <v>28</v>
      </c>
      <c r="O289" s="9" t="str">
        <f t="array" ref="O289">IFERROR(INDEX(dim_date!F:F,MATCH(A289,dim_date!A:A,0)),"")</f>
        <v>7/5-7/11</v>
      </c>
      <c r="P289" s="9" t="str">
        <f t="array" ref="P289">IFERROR(INDEX(dim_kpi!E:E,MATCH(D289,dim_kpi!C:C,0)),"")</f>
        <v>count</v>
      </c>
      <c r="Q289" s="9" t="str">
        <f t="array" ref="Q289">IFERROR(INDEX(dim_kpi!F:F,MATCH(D289,dim_kpi!C:C,0)),"")</f>
        <v>N</v>
      </c>
    </row>
    <row r="290" ht="12.75" customHeight="1">
      <c r="A290" s="20" t="str">
        <f>fact_kpi_weekly!A290</f>
        <v>260712</v>
      </c>
      <c r="B290" s="21">
        <f>fact_kpi_weekly!B290</f>
        <v>46215</v>
      </c>
      <c r="C290" s="9" t="str">
        <f>fact_kpi_weekly!C290</f>
        <v>Growth</v>
      </c>
      <c r="D290" s="9" t="str">
        <f>fact_kpi_weekly!D290</f>
        <v>New Marketable Patients - New Store</v>
      </c>
      <c r="E290" s="9" t="str">
        <f>fact_kpi_weekly!E290</f>
        <v>Forecast</v>
      </c>
      <c r="F290" s="9" t="str">
        <f>IF(fact_kpi_weekly!F290="","",fact_kpi_weekly!F290)</f>
        <v/>
      </c>
      <c r="G290" s="9" t="str">
        <f>fact_kpi_weekly!G290</f>
        <v>New Store</v>
      </c>
      <c r="H290" s="9" t="str">
        <f>fact_kpi_weekly!H290</f>
        <v>John</v>
      </c>
      <c r="I290" s="9">
        <f>fact_kpi_weekly!I290</f>
        <v>8000</v>
      </c>
      <c r="J290" s="22">
        <f>fact_kpi_weekly!J290</f>
        <v>8000</v>
      </c>
      <c r="K290" s="20" t="str">
        <f t="array" ref="K290">IFERROR(INDEX(dim_date!H:H,MATCH(A290,dim_date!A:A,0)),"")</f>
        <v>Jul</v>
      </c>
      <c r="L290" s="20" t="str">
        <f t="array" ref="L290">IFERROR(INDEX(dim_date!G:G,MATCH(A290,dim_date!A:A,0)),"")</f>
        <v>07</v>
      </c>
      <c r="M290" s="9" t="str">
        <f t="array" ref="M290">IFERROR(INDEX(dim_date!I:I,MATCH(A290,dim_date!A:A,0)),"")</f>
        <v>Q3</v>
      </c>
      <c r="N290" s="20" t="str">
        <f t="array" ref="N290">IFERROR(INDEX(dim_date!K:K,MATCH(A290,dim_date!A:A,0)),"")</f>
        <v>29</v>
      </c>
      <c r="O290" s="9" t="str">
        <f t="array" ref="O290">IFERROR(INDEX(dim_date!F:F,MATCH(A290,dim_date!A:A,0)),"")</f>
        <v>7/12-7/18</v>
      </c>
      <c r="P290" s="9" t="str">
        <f t="array" ref="P290">IFERROR(INDEX(dim_kpi!E:E,MATCH(D290,dim_kpi!C:C,0)),"")</f>
        <v>count</v>
      </c>
      <c r="Q290" s="9" t="str">
        <f t="array" ref="Q290">IFERROR(INDEX(dim_kpi!F:F,MATCH(D290,dim_kpi!C:C,0)),"")</f>
        <v>N</v>
      </c>
    </row>
    <row r="291" ht="12.75" customHeight="1">
      <c r="A291" s="20" t="str">
        <f>fact_kpi_weekly!A291</f>
        <v>260719</v>
      </c>
      <c r="B291" s="21">
        <f>fact_kpi_weekly!B291</f>
        <v>46222</v>
      </c>
      <c r="C291" s="9" t="str">
        <f>fact_kpi_weekly!C291</f>
        <v>Growth</v>
      </c>
      <c r="D291" s="9" t="str">
        <f>fact_kpi_weekly!D291</f>
        <v>New Marketable Patients - New Store</v>
      </c>
      <c r="E291" s="9" t="str">
        <f>fact_kpi_weekly!E291</f>
        <v>Forecast</v>
      </c>
      <c r="F291" s="9" t="str">
        <f>IF(fact_kpi_weekly!F291="","",fact_kpi_weekly!F291)</f>
        <v/>
      </c>
      <c r="G291" s="9" t="str">
        <f>fact_kpi_weekly!G291</f>
        <v>New Store</v>
      </c>
      <c r="H291" s="9" t="str">
        <f>fact_kpi_weekly!H291</f>
        <v>John</v>
      </c>
      <c r="I291" s="9">
        <f>fact_kpi_weekly!I291</f>
        <v>0</v>
      </c>
      <c r="J291" s="22">
        <f>fact_kpi_weekly!J291</f>
        <v>0</v>
      </c>
      <c r="K291" s="20" t="str">
        <f t="array" ref="K291">IFERROR(INDEX(dim_date!H:H,MATCH(A291,dim_date!A:A,0)),"")</f>
        <v>Jul</v>
      </c>
      <c r="L291" s="20" t="str">
        <f t="array" ref="L291">IFERROR(INDEX(dim_date!G:G,MATCH(A291,dim_date!A:A,0)),"")</f>
        <v>07</v>
      </c>
      <c r="M291" s="9" t="str">
        <f t="array" ref="M291">IFERROR(INDEX(dim_date!I:I,MATCH(A291,dim_date!A:A,0)),"")</f>
        <v>Q3</v>
      </c>
      <c r="N291" s="20" t="str">
        <f t="array" ref="N291">IFERROR(INDEX(dim_date!K:K,MATCH(A291,dim_date!A:A,0)),"")</f>
        <v>30</v>
      </c>
      <c r="O291" s="9" t="str">
        <f t="array" ref="O291">IFERROR(INDEX(dim_date!F:F,MATCH(A291,dim_date!A:A,0)),"")</f>
        <v>7/19-7/25</v>
      </c>
      <c r="P291" s="9" t="str">
        <f t="array" ref="P291">IFERROR(INDEX(dim_kpi!E:E,MATCH(D291,dim_kpi!C:C,0)),"")</f>
        <v>count</v>
      </c>
      <c r="Q291" s="9" t="str">
        <f t="array" ref="Q291">IFERROR(INDEX(dim_kpi!F:F,MATCH(D291,dim_kpi!C:C,0)),"")</f>
        <v>N</v>
      </c>
    </row>
    <row r="292" ht="12.75" customHeight="1">
      <c r="A292" s="20" t="str">
        <f>fact_kpi_weekly!A292</f>
        <v>260726</v>
      </c>
      <c r="B292" s="21">
        <f>fact_kpi_weekly!B292</f>
        <v>46229</v>
      </c>
      <c r="C292" s="9" t="str">
        <f>fact_kpi_weekly!C292</f>
        <v>Growth</v>
      </c>
      <c r="D292" s="9" t="str">
        <f>fact_kpi_weekly!D292</f>
        <v>New Marketable Patients - New Store</v>
      </c>
      <c r="E292" s="9" t="str">
        <f>fact_kpi_weekly!E292</f>
        <v>Forecast</v>
      </c>
      <c r="F292" s="9" t="str">
        <f>IF(fact_kpi_weekly!F292="","",fact_kpi_weekly!F292)</f>
        <v/>
      </c>
      <c r="G292" s="9" t="str">
        <f>fact_kpi_weekly!G292</f>
        <v>New Store</v>
      </c>
      <c r="H292" s="9" t="str">
        <f>fact_kpi_weekly!H292</f>
        <v>John</v>
      </c>
      <c r="I292" s="9">
        <f>fact_kpi_weekly!I292</f>
        <v>1600</v>
      </c>
      <c r="J292" s="22">
        <f>fact_kpi_weekly!J292</f>
        <v>1600</v>
      </c>
      <c r="K292" s="20" t="str">
        <f t="array" ref="K292">IFERROR(INDEX(dim_date!H:H,MATCH(A292,dim_date!A:A,0)),"")</f>
        <v>Jul</v>
      </c>
      <c r="L292" s="20" t="str">
        <f t="array" ref="L292">IFERROR(INDEX(dim_date!G:G,MATCH(A292,dim_date!A:A,0)),"")</f>
        <v>07</v>
      </c>
      <c r="M292" s="9" t="str">
        <f t="array" ref="M292">IFERROR(INDEX(dim_date!I:I,MATCH(A292,dim_date!A:A,0)),"")</f>
        <v>Q3</v>
      </c>
      <c r="N292" s="20" t="str">
        <f t="array" ref="N292">IFERROR(INDEX(dim_date!K:K,MATCH(A292,dim_date!A:A,0)),"")</f>
        <v>31</v>
      </c>
      <c r="O292" s="9" t="str">
        <f t="array" ref="O292">IFERROR(INDEX(dim_date!F:F,MATCH(A292,dim_date!A:A,0)),"")</f>
        <v>7/26-8/1</v>
      </c>
      <c r="P292" s="9" t="str">
        <f t="array" ref="P292">IFERROR(INDEX(dim_kpi!E:E,MATCH(D292,dim_kpi!C:C,0)),"")</f>
        <v>count</v>
      </c>
      <c r="Q292" s="9" t="str">
        <f t="array" ref="Q292">IFERROR(INDEX(dim_kpi!F:F,MATCH(D292,dim_kpi!C:C,0)),"")</f>
        <v>N</v>
      </c>
    </row>
    <row r="293" ht="12.75" customHeight="1">
      <c r="A293" s="20" t="str">
        <f>fact_kpi_weekly!A293</f>
        <v>260802</v>
      </c>
      <c r="B293" s="21">
        <f>fact_kpi_weekly!B293</f>
        <v>46236</v>
      </c>
      <c r="C293" s="9" t="str">
        <f>fact_kpi_weekly!C293</f>
        <v>Growth</v>
      </c>
      <c r="D293" s="9" t="str">
        <f>fact_kpi_weekly!D293</f>
        <v>New Marketable Patients - New Store</v>
      </c>
      <c r="E293" s="9" t="str">
        <f>fact_kpi_weekly!E293</f>
        <v>Forecast</v>
      </c>
      <c r="F293" s="9" t="str">
        <f>IF(fact_kpi_weekly!F293="","",fact_kpi_weekly!F293)</f>
        <v/>
      </c>
      <c r="G293" s="9" t="str">
        <f>fact_kpi_weekly!G293</f>
        <v>New Store</v>
      </c>
      <c r="H293" s="9" t="str">
        <f>fact_kpi_weekly!H293</f>
        <v>John</v>
      </c>
      <c r="I293" s="9">
        <f>fact_kpi_weekly!I293</f>
        <v>0</v>
      </c>
      <c r="J293" s="22">
        <f>fact_kpi_weekly!J293</f>
        <v>0</v>
      </c>
      <c r="K293" s="20" t="str">
        <f t="array" ref="K293">IFERROR(INDEX(dim_date!H:H,MATCH(A293,dim_date!A:A,0)),"")</f>
        <v>Aug</v>
      </c>
      <c r="L293" s="20" t="str">
        <f t="array" ref="L293">IFERROR(INDEX(dim_date!G:G,MATCH(A293,dim_date!A:A,0)),"")</f>
        <v>08</v>
      </c>
      <c r="M293" s="9" t="str">
        <f t="array" ref="M293">IFERROR(INDEX(dim_date!I:I,MATCH(A293,dim_date!A:A,0)),"")</f>
        <v>Q3</v>
      </c>
      <c r="N293" s="20" t="str">
        <f t="array" ref="N293">IFERROR(INDEX(dim_date!K:K,MATCH(A293,dim_date!A:A,0)),"")</f>
        <v>32</v>
      </c>
      <c r="O293" s="9" t="str">
        <f t="array" ref="O293">IFERROR(INDEX(dim_date!F:F,MATCH(A293,dim_date!A:A,0)),"")</f>
        <v>8/2-8/8</v>
      </c>
      <c r="P293" s="9" t="str">
        <f t="array" ref="P293">IFERROR(INDEX(dim_kpi!E:E,MATCH(D293,dim_kpi!C:C,0)),"")</f>
        <v>count</v>
      </c>
      <c r="Q293" s="9" t="str">
        <f t="array" ref="Q293">IFERROR(INDEX(dim_kpi!F:F,MATCH(D293,dim_kpi!C:C,0)),"")</f>
        <v>N</v>
      </c>
    </row>
    <row r="294" ht="12.75" customHeight="1">
      <c r="A294" s="20" t="str">
        <f>fact_kpi_weekly!A294</f>
        <v>260809</v>
      </c>
      <c r="B294" s="21">
        <f>fact_kpi_weekly!B294</f>
        <v>46243</v>
      </c>
      <c r="C294" s="9" t="str">
        <f>fact_kpi_weekly!C294</f>
        <v>Growth</v>
      </c>
      <c r="D294" s="9" t="str">
        <f>fact_kpi_weekly!D294</f>
        <v>New Marketable Patients - New Store</v>
      </c>
      <c r="E294" s="9" t="str">
        <f>fact_kpi_weekly!E294</f>
        <v>Forecast</v>
      </c>
      <c r="F294" s="9" t="str">
        <f>IF(fact_kpi_weekly!F294="","",fact_kpi_weekly!F294)</f>
        <v/>
      </c>
      <c r="G294" s="9" t="str">
        <f>fact_kpi_weekly!G294</f>
        <v>New Store</v>
      </c>
      <c r="H294" s="9" t="str">
        <f>fact_kpi_weekly!H294</f>
        <v>John</v>
      </c>
      <c r="I294" s="9">
        <f>fact_kpi_weekly!I294</f>
        <v>1600</v>
      </c>
      <c r="J294" s="22">
        <f>fact_kpi_weekly!J294</f>
        <v>1600</v>
      </c>
      <c r="K294" s="20" t="str">
        <f t="array" ref="K294">IFERROR(INDEX(dim_date!H:H,MATCH(A294,dim_date!A:A,0)),"")</f>
        <v>Aug</v>
      </c>
      <c r="L294" s="20" t="str">
        <f t="array" ref="L294">IFERROR(INDEX(dim_date!G:G,MATCH(A294,dim_date!A:A,0)),"")</f>
        <v>08</v>
      </c>
      <c r="M294" s="9" t="str">
        <f t="array" ref="M294">IFERROR(INDEX(dim_date!I:I,MATCH(A294,dim_date!A:A,0)),"")</f>
        <v>Q3</v>
      </c>
      <c r="N294" s="20" t="str">
        <f t="array" ref="N294">IFERROR(INDEX(dim_date!K:K,MATCH(A294,dim_date!A:A,0)),"")</f>
        <v>33</v>
      </c>
      <c r="O294" s="9" t="str">
        <f t="array" ref="O294">IFERROR(INDEX(dim_date!F:F,MATCH(A294,dim_date!A:A,0)),"")</f>
        <v>8/9-8/15</v>
      </c>
      <c r="P294" s="9" t="str">
        <f t="array" ref="P294">IFERROR(INDEX(dim_kpi!E:E,MATCH(D294,dim_kpi!C:C,0)),"")</f>
        <v>count</v>
      </c>
      <c r="Q294" s="9" t="str">
        <f t="array" ref="Q294">IFERROR(INDEX(dim_kpi!F:F,MATCH(D294,dim_kpi!C:C,0)),"")</f>
        <v>N</v>
      </c>
    </row>
    <row r="295" ht="12.75" customHeight="1">
      <c r="A295" s="20" t="str">
        <f>fact_kpi_weekly!A295</f>
        <v>260816</v>
      </c>
      <c r="B295" s="21">
        <f>fact_kpi_weekly!B295</f>
        <v>46250</v>
      </c>
      <c r="C295" s="9" t="str">
        <f>fact_kpi_weekly!C295</f>
        <v>Growth</v>
      </c>
      <c r="D295" s="9" t="str">
        <f>fact_kpi_weekly!D295</f>
        <v>New Marketable Patients - New Store</v>
      </c>
      <c r="E295" s="9" t="str">
        <f>fact_kpi_weekly!E295</f>
        <v>Forecast</v>
      </c>
      <c r="F295" s="9" t="str">
        <f>IF(fact_kpi_weekly!F295="","",fact_kpi_weekly!F295)</f>
        <v/>
      </c>
      <c r="G295" s="9" t="str">
        <f>fact_kpi_weekly!G295</f>
        <v>New Store</v>
      </c>
      <c r="H295" s="9" t="str">
        <f>fact_kpi_weekly!H295</f>
        <v>John</v>
      </c>
      <c r="I295" s="9">
        <f>fact_kpi_weekly!I295</f>
        <v>0</v>
      </c>
      <c r="J295" s="22">
        <f>fact_kpi_weekly!J295</f>
        <v>0</v>
      </c>
      <c r="K295" s="20" t="str">
        <f t="array" ref="K295">IFERROR(INDEX(dim_date!H:H,MATCH(A295,dim_date!A:A,0)),"")</f>
        <v>Aug</v>
      </c>
      <c r="L295" s="20" t="str">
        <f t="array" ref="L295">IFERROR(INDEX(dim_date!G:G,MATCH(A295,dim_date!A:A,0)),"")</f>
        <v>08</v>
      </c>
      <c r="M295" s="9" t="str">
        <f t="array" ref="M295">IFERROR(INDEX(dim_date!I:I,MATCH(A295,dim_date!A:A,0)),"")</f>
        <v>Q3</v>
      </c>
      <c r="N295" s="20" t="str">
        <f t="array" ref="N295">IFERROR(INDEX(dim_date!K:K,MATCH(A295,dim_date!A:A,0)),"")</f>
        <v>34</v>
      </c>
      <c r="O295" s="9" t="str">
        <f t="array" ref="O295">IFERROR(INDEX(dim_date!F:F,MATCH(A295,dim_date!A:A,0)),"")</f>
        <v>8/16-8/22</v>
      </c>
      <c r="P295" s="9" t="str">
        <f t="array" ref="P295">IFERROR(INDEX(dim_kpi!E:E,MATCH(D295,dim_kpi!C:C,0)),"")</f>
        <v>count</v>
      </c>
      <c r="Q295" s="9" t="str">
        <f t="array" ref="Q295">IFERROR(INDEX(dim_kpi!F:F,MATCH(D295,dim_kpi!C:C,0)),"")</f>
        <v>N</v>
      </c>
    </row>
    <row r="296" ht="12.75" customHeight="1">
      <c r="A296" s="20" t="str">
        <f>fact_kpi_weekly!A296</f>
        <v>260823</v>
      </c>
      <c r="B296" s="21">
        <f>fact_kpi_weekly!B296</f>
        <v>46257</v>
      </c>
      <c r="C296" s="9" t="str">
        <f>fact_kpi_weekly!C296</f>
        <v>Growth</v>
      </c>
      <c r="D296" s="9" t="str">
        <f>fact_kpi_weekly!D296</f>
        <v>New Marketable Patients - New Store</v>
      </c>
      <c r="E296" s="9" t="str">
        <f>fact_kpi_weekly!E296</f>
        <v>Forecast</v>
      </c>
      <c r="F296" s="9" t="str">
        <f>IF(fact_kpi_weekly!F296="","",fact_kpi_weekly!F296)</f>
        <v/>
      </c>
      <c r="G296" s="9" t="str">
        <f>fact_kpi_weekly!G296</f>
        <v>New Store</v>
      </c>
      <c r="H296" s="9" t="str">
        <f>fact_kpi_weekly!H296</f>
        <v>John</v>
      </c>
      <c r="I296" s="9">
        <f>fact_kpi_weekly!I296</f>
        <v>0</v>
      </c>
      <c r="J296" s="22">
        <f>fact_kpi_weekly!J296</f>
        <v>0</v>
      </c>
      <c r="K296" s="20" t="str">
        <f t="array" ref="K296">IFERROR(INDEX(dim_date!H:H,MATCH(A296,dim_date!A:A,0)),"")</f>
        <v>Aug</v>
      </c>
      <c r="L296" s="20" t="str">
        <f t="array" ref="L296">IFERROR(INDEX(dim_date!G:G,MATCH(A296,dim_date!A:A,0)),"")</f>
        <v>08</v>
      </c>
      <c r="M296" s="9" t="str">
        <f t="array" ref="M296">IFERROR(INDEX(dim_date!I:I,MATCH(A296,dim_date!A:A,0)),"")</f>
        <v>Q3</v>
      </c>
      <c r="N296" s="20" t="str">
        <f t="array" ref="N296">IFERROR(INDEX(dim_date!K:K,MATCH(A296,dim_date!A:A,0)),"")</f>
        <v>35</v>
      </c>
      <c r="O296" s="9" t="str">
        <f t="array" ref="O296">IFERROR(INDEX(dim_date!F:F,MATCH(A296,dim_date!A:A,0)),"")</f>
        <v>8/23-8/29</v>
      </c>
      <c r="P296" s="9" t="str">
        <f t="array" ref="P296">IFERROR(INDEX(dim_kpi!E:E,MATCH(D296,dim_kpi!C:C,0)),"")</f>
        <v>count</v>
      </c>
      <c r="Q296" s="9" t="str">
        <f t="array" ref="Q296">IFERROR(INDEX(dim_kpi!F:F,MATCH(D296,dim_kpi!C:C,0)),"")</f>
        <v>N</v>
      </c>
    </row>
    <row r="297" ht="12.75" customHeight="1">
      <c r="A297" s="20" t="str">
        <f>fact_kpi_weekly!A297</f>
        <v>260830</v>
      </c>
      <c r="B297" s="21">
        <f>fact_kpi_weekly!B297</f>
        <v>46264</v>
      </c>
      <c r="C297" s="9" t="str">
        <f>fact_kpi_weekly!C297</f>
        <v>Growth</v>
      </c>
      <c r="D297" s="9" t="str">
        <f>fact_kpi_weekly!D297</f>
        <v>New Marketable Patients - New Store</v>
      </c>
      <c r="E297" s="9" t="str">
        <f>fact_kpi_weekly!E297</f>
        <v>Forecast</v>
      </c>
      <c r="F297" s="9" t="str">
        <f>IF(fact_kpi_weekly!F297="","",fact_kpi_weekly!F297)</f>
        <v/>
      </c>
      <c r="G297" s="9" t="str">
        <f>fact_kpi_weekly!G297</f>
        <v>New Store</v>
      </c>
      <c r="H297" s="9" t="str">
        <f>fact_kpi_weekly!H297</f>
        <v>John</v>
      </c>
      <c r="I297" s="9">
        <f>fact_kpi_weekly!I297</f>
        <v>0</v>
      </c>
      <c r="J297" s="22">
        <f>fact_kpi_weekly!J297</f>
        <v>0</v>
      </c>
      <c r="K297" s="20" t="str">
        <f t="array" ref="K297">IFERROR(INDEX(dim_date!H:H,MATCH(A297,dim_date!A:A,0)),"")</f>
        <v>Aug</v>
      </c>
      <c r="L297" s="20" t="str">
        <f t="array" ref="L297">IFERROR(INDEX(dim_date!G:G,MATCH(A297,dim_date!A:A,0)),"")</f>
        <v>08</v>
      </c>
      <c r="M297" s="9" t="str">
        <f t="array" ref="M297">IFERROR(INDEX(dim_date!I:I,MATCH(A297,dim_date!A:A,0)),"")</f>
        <v>Q3</v>
      </c>
      <c r="N297" s="20" t="str">
        <f t="array" ref="N297">IFERROR(INDEX(dim_date!K:K,MATCH(A297,dim_date!A:A,0)),"")</f>
        <v>36</v>
      </c>
      <c r="O297" s="9" t="str">
        <f t="array" ref="O297">IFERROR(INDEX(dim_date!F:F,MATCH(A297,dim_date!A:A,0)),"")</f>
        <v>8/30-9/5</v>
      </c>
      <c r="P297" s="9" t="str">
        <f t="array" ref="P297">IFERROR(INDEX(dim_kpi!E:E,MATCH(D297,dim_kpi!C:C,0)),"")</f>
        <v>count</v>
      </c>
      <c r="Q297" s="9" t="str">
        <f t="array" ref="Q297">IFERROR(INDEX(dim_kpi!F:F,MATCH(D297,dim_kpi!C:C,0)),"")</f>
        <v>N</v>
      </c>
    </row>
    <row r="298" ht="12.75" customHeight="1">
      <c r="A298" s="20" t="str">
        <f>fact_kpi_weekly!A298</f>
        <v>260906</v>
      </c>
      <c r="B298" s="21">
        <f>fact_kpi_weekly!B298</f>
        <v>46271</v>
      </c>
      <c r="C298" s="9" t="str">
        <f>fact_kpi_weekly!C298</f>
        <v>Growth</v>
      </c>
      <c r="D298" s="9" t="str">
        <f>fact_kpi_weekly!D298</f>
        <v>New Marketable Patients - New Store</v>
      </c>
      <c r="E298" s="9" t="str">
        <f>fact_kpi_weekly!E298</f>
        <v>Forecast</v>
      </c>
      <c r="F298" s="9" t="str">
        <f>IF(fact_kpi_weekly!F298="","",fact_kpi_weekly!F298)</f>
        <v/>
      </c>
      <c r="G298" s="9" t="str">
        <f>fact_kpi_weekly!G298</f>
        <v>New Store</v>
      </c>
      <c r="H298" s="9" t="str">
        <f>fact_kpi_weekly!H298</f>
        <v>John</v>
      </c>
      <c r="I298" s="9">
        <f>fact_kpi_weekly!I298</f>
        <v>8000</v>
      </c>
      <c r="J298" s="22">
        <f>fact_kpi_weekly!J298</f>
        <v>8000</v>
      </c>
      <c r="K298" s="20" t="str">
        <f t="array" ref="K298">IFERROR(INDEX(dim_date!H:H,MATCH(A298,dim_date!A:A,0)),"")</f>
        <v>Sep</v>
      </c>
      <c r="L298" s="20" t="str">
        <f t="array" ref="L298">IFERROR(INDEX(dim_date!G:G,MATCH(A298,dim_date!A:A,0)),"")</f>
        <v>09</v>
      </c>
      <c r="M298" s="9" t="str">
        <f t="array" ref="M298">IFERROR(INDEX(dim_date!I:I,MATCH(A298,dim_date!A:A,0)),"")</f>
        <v>Q3</v>
      </c>
      <c r="N298" s="20" t="str">
        <f t="array" ref="N298">IFERROR(INDEX(dim_date!K:K,MATCH(A298,dim_date!A:A,0)),"")</f>
        <v>37</v>
      </c>
      <c r="O298" s="9" t="str">
        <f t="array" ref="O298">IFERROR(INDEX(dim_date!F:F,MATCH(A298,dim_date!A:A,0)),"")</f>
        <v>9/6-9/12</v>
      </c>
      <c r="P298" s="9" t="str">
        <f t="array" ref="P298">IFERROR(INDEX(dim_kpi!E:E,MATCH(D298,dim_kpi!C:C,0)),"")</f>
        <v>count</v>
      </c>
      <c r="Q298" s="9" t="str">
        <f t="array" ref="Q298">IFERROR(INDEX(dim_kpi!F:F,MATCH(D298,dim_kpi!C:C,0)),"")</f>
        <v>N</v>
      </c>
    </row>
    <row r="299" ht="12.75" customHeight="1">
      <c r="A299" s="20" t="str">
        <f>fact_kpi_weekly!A299</f>
        <v>260913</v>
      </c>
      <c r="B299" s="21">
        <f>fact_kpi_weekly!B299</f>
        <v>46278</v>
      </c>
      <c r="C299" s="9" t="str">
        <f>fact_kpi_weekly!C299</f>
        <v>Growth</v>
      </c>
      <c r="D299" s="9" t="str">
        <f>fact_kpi_weekly!D299</f>
        <v>New Marketable Patients - New Store</v>
      </c>
      <c r="E299" s="9" t="str">
        <f>fact_kpi_weekly!E299</f>
        <v>Forecast</v>
      </c>
      <c r="F299" s="9" t="str">
        <f>IF(fact_kpi_weekly!F299="","",fact_kpi_weekly!F299)</f>
        <v/>
      </c>
      <c r="G299" s="9" t="str">
        <f>fact_kpi_weekly!G299</f>
        <v>New Store</v>
      </c>
      <c r="H299" s="9" t="str">
        <f>fact_kpi_weekly!H299</f>
        <v>John</v>
      </c>
      <c r="I299" s="9">
        <f>fact_kpi_weekly!I299</f>
        <v>0</v>
      </c>
      <c r="J299" s="22">
        <f>fact_kpi_weekly!J299</f>
        <v>0</v>
      </c>
      <c r="K299" s="20" t="str">
        <f t="array" ref="K299">IFERROR(INDEX(dim_date!H:H,MATCH(A299,dim_date!A:A,0)),"")</f>
        <v>Sep</v>
      </c>
      <c r="L299" s="20" t="str">
        <f t="array" ref="L299">IFERROR(INDEX(dim_date!G:G,MATCH(A299,dim_date!A:A,0)),"")</f>
        <v>09</v>
      </c>
      <c r="M299" s="9" t="str">
        <f t="array" ref="M299">IFERROR(INDEX(dim_date!I:I,MATCH(A299,dim_date!A:A,0)),"")</f>
        <v>Q3</v>
      </c>
      <c r="N299" s="20" t="str">
        <f t="array" ref="N299">IFERROR(INDEX(dim_date!K:K,MATCH(A299,dim_date!A:A,0)),"")</f>
        <v>38</v>
      </c>
      <c r="O299" s="9" t="str">
        <f t="array" ref="O299">IFERROR(INDEX(dim_date!F:F,MATCH(A299,dim_date!A:A,0)),"")</f>
        <v>9/13-9/19</v>
      </c>
      <c r="P299" s="9" t="str">
        <f t="array" ref="P299">IFERROR(INDEX(dim_kpi!E:E,MATCH(D299,dim_kpi!C:C,0)),"")</f>
        <v>count</v>
      </c>
      <c r="Q299" s="9" t="str">
        <f t="array" ref="Q299">IFERROR(INDEX(dim_kpi!F:F,MATCH(D299,dim_kpi!C:C,0)),"")</f>
        <v>N</v>
      </c>
    </row>
    <row r="300" ht="12.75" customHeight="1">
      <c r="A300" s="20" t="str">
        <f>fact_kpi_weekly!A300</f>
        <v>260920</v>
      </c>
      <c r="B300" s="21">
        <f>fact_kpi_weekly!B300</f>
        <v>46285</v>
      </c>
      <c r="C300" s="9" t="str">
        <f>fact_kpi_weekly!C300</f>
        <v>Growth</v>
      </c>
      <c r="D300" s="9" t="str">
        <f>fact_kpi_weekly!D300</f>
        <v>New Marketable Patients - New Store</v>
      </c>
      <c r="E300" s="9" t="str">
        <f>fact_kpi_weekly!E300</f>
        <v>Forecast</v>
      </c>
      <c r="F300" s="9" t="str">
        <f>IF(fact_kpi_weekly!F300="","",fact_kpi_weekly!F300)</f>
        <v/>
      </c>
      <c r="G300" s="9" t="str">
        <f>fact_kpi_weekly!G300</f>
        <v>New Store</v>
      </c>
      <c r="H300" s="9" t="str">
        <f>fact_kpi_weekly!H300</f>
        <v>John</v>
      </c>
      <c r="I300" s="9">
        <f>fact_kpi_weekly!I300</f>
        <v>1600</v>
      </c>
      <c r="J300" s="22">
        <f>fact_kpi_weekly!J300</f>
        <v>1600</v>
      </c>
      <c r="K300" s="20" t="str">
        <f t="array" ref="K300">IFERROR(INDEX(dim_date!H:H,MATCH(A300,dim_date!A:A,0)),"")</f>
        <v>Sep</v>
      </c>
      <c r="L300" s="20" t="str">
        <f t="array" ref="L300">IFERROR(INDEX(dim_date!G:G,MATCH(A300,dim_date!A:A,0)),"")</f>
        <v>09</v>
      </c>
      <c r="M300" s="9" t="str">
        <f t="array" ref="M300">IFERROR(INDEX(dim_date!I:I,MATCH(A300,dim_date!A:A,0)),"")</f>
        <v>Q3</v>
      </c>
      <c r="N300" s="20" t="str">
        <f t="array" ref="N300">IFERROR(INDEX(dim_date!K:K,MATCH(A300,dim_date!A:A,0)),"")</f>
        <v>39</v>
      </c>
      <c r="O300" s="9" t="str">
        <f t="array" ref="O300">IFERROR(INDEX(dim_date!F:F,MATCH(A300,dim_date!A:A,0)),"")</f>
        <v>9/20-9/26</v>
      </c>
      <c r="P300" s="9" t="str">
        <f t="array" ref="P300">IFERROR(INDEX(dim_kpi!E:E,MATCH(D300,dim_kpi!C:C,0)),"")</f>
        <v>count</v>
      </c>
      <c r="Q300" s="9" t="str">
        <f t="array" ref="Q300">IFERROR(INDEX(dim_kpi!F:F,MATCH(D300,dim_kpi!C:C,0)),"")</f>
        <v>N</v>
      </c>
    </row>
    <row r="301" ht="12.75" customHeight="1">
      <c r="A301" s="20" t="str">
        <f>fact_kpi_weekly!A301</f>
        <v>260927</v>
      </c>
      <c r="B301" s="21">
        <f>fact_kpi_weekly!B301</f>
        <v>46292</v>
      </c>
      <c r="C301" s="9" t="str">
        <f>fact_kpi_weekly!C301</f>
        <v>Growth</v>
      </c>
      <c r="D301" s="9" t="str">
        <f>fact_kpi_weekly!D301</f>
        <v>New Marketable Patients - New Store</v>
      </c>
      <c r="E301" s="9" t="str">
        <f>fact_kpi_weekly!E301</f>
        <v>Forecast</v>
      </c>
      <c r="F301" s="9" t="str">
        <f>IF(fact_kpi_weekly!F301="","",fact_kpi_weekly!F301)</f>
        <v/>
      </c>
      <c r="G301" s="9" t="str">
        <f>fact_kpi_weekly!G301</f>
        <v>New Store</v>
      </c>
      <c r="H301" s="9" t="str">
        <f>fact_kpi_weekly!H301</f>
        <v>John</v>
      </c>
      <c r="I301" s="9">
        <f>fact_kpi_weekly!I301</f>
        <v>0</v>
      </c>
      <c r="J301" s="22">
        <f>fact_kpi_weekly!J301</f>
        <v>0</v>
      </c>
      <c r="K301" s="20" t="str">
        <f t="array" ref="K301">IFERROR(INDEX(dim_date!H:H,MATCH(A301,dim_date!A:A,0)),"")</f>
        <v>Sep</v>
      </c>
      <c r="L301" s="20" t="str">
        <f t="array" ref="L301">IFERROR(INDEX(dim_date!G:G,MATCH(A301,dim_date!A:A,0)),"")</f>
        <v>09</v>
      </c>
      <c r="M301" s="9" t="str">
        <f t="array" ref="M301">IFERROR(INDEX(dim_date!I:I,MATCH(A301,dim_date!A:A,0)),"")</f>
        <v>Q3</v>
      </c>
      <c r="N301" s="20" t="str">
        <f t="array" ref="N301">IFERROR(INDEX(dim_date!K:K,MATCH(A301,dim_date!A:A,0)),"")</f>
        <v>40</v>
      </c>
      <c r="O301" s="9" t="str">
        <f t="array" ref="O301">IFERROR(INDEX(dim_date!F:F,MATCH(A301,dim_date!A:A,0)),"")</f>
        <v>9/27-10/3</v>
      </c>
      <c r="P301" s="9" t="str">
        <f t="array" ref="P301">IFERROR(INDEX(dim_kpi!E:E,MATCH(D301,dim_kpi!C:C,0)),"")</f>
        <v>count</v>
      </c>
      <c r="Q301" s="9" t="str">
        <f t="array" ref="Q301">IFERROR(INDEX(dim_kpi!F:F,MATCH(D301,dim_kpi!C:C,0)),"")</f>
        <v>N</v>
      </c>
    </row>
    <row r="302" ht="12.75" customHeight="1">
      <c r="A302" s="20" t="str">
        <f>fact_kpi_weekly!A302</f>
        <v>261004</v>
      </c>
      <c r="B302" s="21">
        <f>fact_kpi_weekly!B302</f>
        <v>46299</v>
      </c>
      <c r="C302" s="9" t="str">
        <f>fact_kpi_weekly!C302</f>
        <v>Growth</v>
      </c>
      <c r="D302" s="9" t="str">
        <f>fact_kpi_weekly!D302</f>
        <v>New Marketable Patients - New Store</v>
      </c>
      <c r="E302" s="9" t="str">
        <f>fact_kpi_weekly!E302</f>
        <v>Forecast</v>
      </c>
      <c r="F302" s="9" t="str">
        <f>IF(fact_kpi_weekly!F302="","",fact_kpi_weekly!F302)</f>
        <v/>
      </c>
      <c r="G302" s="9" t="str">
        <f>fact_kpi_weekly!G302</f>
        <v>New Store</v>
      </c>
      <c r="H302" s="9" t="str">
        <f>fact_kpi_weekly!H302</f>
        <v>John</v>
      </c>
      <c r="I302" s="9">
        <f>fact_kpi_weekly!I302</f>
        <v>0</v>
      </c>
      <c r="J302" s="22">
        <f>fact_kpi_weekly!J302</f>
        <v>0</v>
      </c>
      <c r="K302" s="20" t="str">
        <f t="array" ref="K302">IFERROR(INDEX(dim_date!H:H,MATCH(A302,dim_date!A:A,0)),"")</f>
        <v>Oct</v>
      </c>
      <c r="L302" s="20" t="str">
        <f t="array" ref="L302">IFERROR(INDEX(dim_date!G:G,MATCH(A302,dim_date!A:A,0)),"")</f>
        <v>10</v>
      </c>
      <c r="M302" s="9" t="str">
        <f t="array" ref="M302">IFERROR(INDEX(dim_date!I:I,MATCH(A302,dim_date!A:A,0)),"")</f>
        <v>Q4</v>
      </c>
      <c r="N302" s="20" t="str">
        <f t="array" ref="N302">IFERROR(INDEX(dim_date!K:K,MATCH(A302,dim_date!A:A,0)),"")</f>
        <v>41</v>
      </c>
      <c r="O302" s="9" t="str">
        <f t="array" ref="O302">IFERROR(INDEX(dim_date!F:F,MATCH(A302,dim_date!A:A,0)),"")</f>
        <v>10/4-10/10</v>
      </c>
      <c r="P302" s="9" t="str">
        <f t="array" ref="P302">IFERROR(INDEX(dim_kpi!E:E,MATCH(D302,dim_kpi!C:C,0)),"")</f>
        <v>count</v>
      </c>
      <c r="Q302" s="9" t="str">
        <f t="array" ref="Q302">IFERROR(INDEX(dim_kpi!F:F,MATCH(D302,dim_kpi!C:C,0)),"")</f>
        <v>N</v>
      </c>
    </row>
    <row r="303" ht="12.75" customHeight="1">
      <c r="A303" s="20" t="str">
        <f>fact_kpi_weekly!A303</f>
        <v>261011</v>
      </c>
      <c r="B303" s="21">
        <f>fact_kpi_weekly!B303</f>
        <v>46306</v>
      </c>
      <c r="C303" s="9" t="str">
        <f>fact_kpi_weekly!C303</f>
        <v>Growth</v>
      </c>
      <c r="D303" s="9" t="str">
        <f>fact_kpi_weekly!D303</f>
        <v>New Marketable Patients - New Store</v>
      </c>
      <c r="E303" s="9" t="str">
        <f>fact_kpi_weekly!E303</f>
        <v>Forecast</v>
      </c>
      <c r="F303" s="9" t="str">
        <f>IF(fact_kpi_weekly!F303="","",fact_kpi_weekly!F303)</f>
        <v/>
      </c>
      <c r="G303" s="9" t="str">
        <f>fact_kpi_weekly!G303</f>
        <v>New Store</v>
      </c>
      <c r="H303" s="9" t="str">
        <f>fact_kpi_weekly!H303</f>
        <v>John</v>
      </c>
      <c r="I303" s="9">
        <f>fact_kpi_weekly!I303</f>
        <v>6400</v>
      </c>
      <c r="J303" s="22">
        <f>fact_kpi_weekly!J303</f>
        <v>6400</v>
      </c>
      <c r="K303" s="20" t="str">
        <f t="array" ref="K303">IFERROR(INDEX(dim_date!H:H,MATCH(A303,dim_date!A:A,0)),"")</f>
        <v>Oct</v>
      </c>
      <c r="L303" s="20" t="str">
        <f t="array" ref="L303">IFERROR(INDEX(dim_date!G:G,MATCH(A303,dim_date!A:A,0)),"")</f>
        <v>10</v>
      </c>
      <c r="M303" s="9" t="str">
        <f t="array" ref="M303">IFERROR(INDEX(dim_date!I:I,MATCH(A303,dim_date!A:A,0)),"")</f>
        <v>Q4</v>
      </c>
      <c r="N303" s="20" t="str">
        <f t="array" ref="N303">IFERROR(INDEX(dim_date!K:K,MATCH(A303,dim_date!A:A,0)),"")</f>
        <v>42</v>
      </c>
      <c r="O303" s="9" t="str">
        <f t="array" ref="O303">IFERROR(INDEX(dim_date!F:F,MATCH(A303,dim_date!A:A,0)),"")</f>
        <v>10/11-10/17</v>
      </c>
      <c r="P303" s="9" t="str">
        <f t="array" ref="P303">IFERROR(INDEX(dim_kpi!E:E,MATCH(D303,dim_kpi!C:C,0)),"")</f>
        <v>count</v>
      </c>
      <c r="Q303" s="9" t="str">
        <f t="array" ref="Q303">IFERROR(INDEX(dim_kpi!F:F,MATCH(D303,dim_kpi!C:C,0)),"")</f>
        <v>N</v>
      </c>
    </row>
    <row r="304" ht="12.75" customHeight="1">
      <c r="A304" s="20" t="str">
        <f>fact_kpi_weekly!A304</f>
        <v>261018</v>
      </c>
      <c r="B304" s="21">
        <f>fact_kpi_weekly!B304</f>
        <v>46313</v>
      </c>
      <c r="C304" s="9" t="str">
        <f>fact_kpi_weekly!C304</f>
        <v>Growth</v>
      </c>
      <c r="D304" s="9" t="str">
        <f>fact_kpi_weekly!D304</f>
        <v>New Marketable Patients - New Store</v>
      </c>
      <c r="E304" s="9" t="str">
        <f>fact_kpi_weekly!E304</f>
        <v>Forecast</v>
      </c>
      <c r="F304" s="9" t="str">
        <f>IF(fact_kpi_weekly!F304="","",fact_kpi_weekly!F304)</f>
        <v/>
      </c>
      <c r="G304" s="9" t="str">
        <f>fact_kpi_weekly!G304</f>
        <v>New Store</v>
      </c>
      <c r="H304" s="9" t="str">
        <f>fact_kpi_weekly!H304</f>
        <v>John</v>
      </c>
      <c r="I304" s="9">
        <f>fact_kpi_weekly!I304</f>
        <v>1600</v>
      </c>
      <c r="J304" s="22">
        <f>fact_kpi_weekly!J304</f>
        <v>1600</v>
      </c>
      <c r="K304" s="20" t="str">
        <f t="array" ref="K304">IFERROR(INDEX(dim_date!H:H,MATCH(A304,dim_date!A:A,0)),"")</f>
        <v>Oct</v>
      </c>
      <c r="L304" s="20" t="str">
        <f t="array" ref="L304">IFERROR(INDEX(dim_date!G:G,MATCH(A304,dim_date!A:A,0)),"")</f>
        <v>10</v>
      </c>
      <c r="M304" s="9" t="str">
        <f t="array" ref="M304">IFERROR(INDEX(dim_date!I:I,MATCH(A304,dim_date!A:A,0)),"")</f>
        <v>Q4</v>
      </c>
      <c r="N304" s="20" t="str">
        <f t="array" ref="N304">IFERROR(INDEX(dim_date!K:K,MATCH(A304,dim_date!A:A,0)),"")</f>
        <v>43</v>
      </c>
      <c r="O304" s="9" t="str">
        <f t="array" ref="O304">IFERROR(INDEX(dim_date!F:F,MATCH(A304,dim_date!A:A,0)),"")</f>
        <v>10/18-10/24</v>
      </c>
      <c r="P304" s="9" t="str">
        <f t="array" ref="P304">IFERROR(INDEX(dim_kpi!E:E,MATCH(D304,dim_kpi!C:C,0)),"")</f>
        <v>count</v>
      </c>
      <c r="Q304" s="9" t="str">
        <f t="array" ref="Q304">IFERROR(INDEX(dim_kpi!F:F,MATCH(D304,dim_kpi!C:C,0)),"")</f>
        <v>N</v>
      </c>
    </row>
    <row r="305" ht="12.75" customHeight="1">
      <c r="A305" s="20" t="str">
        <f>fact_kpi_weekly!A305</f>
        <v>261025</v>
      </c>
      <c r="B305" s="21">
        <f>fact_kpi_weekly!B305</f>
        <v>46320</v>
      </c>
      <c r="C305" s="9" t="str">
        <f>fact_kpi_weekly!C305</f>
        <v>Growth</v>
      </c>
      <c r="D305" s="9" t="str">
        <f>fact_kpi_weekly!D305</f>
        <v>New Marketable Patients - New Store</v>
      </c>
      <c r="E305" s="9" t="str">
        <f>fact_kpi_weekly!E305</f>
        <v>Forecast</v>
      </c>
      <c r="F305" s="9" t="str">
        <f>IF(fact_kpi_weekly!F305="","",fact_kpi_weekly!F305)</f>
        <v/>
      </c>
      <c r="G305" s="9" t="str">
        <f>fact_kpi_weekly!G305</f>
        <v>New Store</v>
      </c>
      <c r="H305" s="9" t="str">
        <f>fact_kpi_weekly!H305</f>
        <v>John</v>
      </c>
      <c r="I305" s="9">
        <f>fact_kpi_weekly!I305</f>
        <v>0</v>
      </c>
      <c r="J305" s="22">
        <f>fact_kpi_weekly!J305</f>
        <v>0</v>
      </c>
      <c r="K305" s="20" t="str">
        <f t="array" ref="K305">IFERROR(INDEX(dim_date!H:H,MATCH(A305,dim_date!A:A,0)),"")</f>
        <v>Oct</v>
      </c>
      <c r="L305" s="20" t="str">
        <f t="array" ref="L305">IFERROR(INDEX(dim_date!G:G,MATCH(A305,dim_date!A:A,0)),"")</f>
        <v>10</v>
      </c>
      <c r="M305" s="9" t="str">
        <f t="array" ref="M305">IFERROR(INDEX(dim_date!I:I,MATCH(A305,dim_date!A:A,0)),"")</f>
        <v>Q4</v>
      </c>
      <c r="N305" s="20" t="str">
        <f t="array" ref="N305">IFERROR(INDEX(dim_date!K:K,MATCH(A305,dim_date!A:A,0)),"")</f>
        <v>44</v>
      </c>
      <c r="O305" s="9" t="str">
        <f t="array" ref="O305">IFERROR(INDEX(dim_date!F:F,MATCH(A305,dim_date!A:A,0)),"")</f>
        <v>10/25-10/31</v>
      </c>
      <c r="P305" s="9" t="str">
        <f t="array" ref="P305">IFERROR(INDEX(dim_kpi!E:E,MATCH(D305,dim_kpi!C:C,0)),"")</f>
        <v>count</v>
      </c>
      <c r="Q305" s="9" t="str">
        <f t="array" ref="Q305">IFERROR(INDEX(dim_kpi!F:F,MATCH(D305,dim_kpi!C:C,0)),"")</f>
        <v>N</v>
      </c>
    </row>
    <row r="306" ht="12.75" customHeight="1">
      <c r="A306" s="20" t="str">
        <f>fact_kpi_weekly!A306</f>
        <v>261101</v>
      </c>
      <c r="B306" s="21">
        <f>fact_kpi_weekly!B306</f>
        <v>46327</v>
      </c>
      <c r="C306" s="9" t="str">
        <f>fact_kpi_weekly!C306</f>
        <v>Growth</v>
      </c>
      <c r="D306" s="9" t="str">
        <f>fact_kpi_weekly!D306</f>
        <v>New Marketable Patients - New Store</v>
      </c>
      <c r="E306" s="9" t="str">
        <f>fact_kpi_weekly!E306</f>
        <v>Forecast</v>
      </c>
      <c r="F306" s="9" t="str">
        <f>IF(fact_kpi_weekly!F306="","",fact_kpi_weekly!F306)</f>
        <v/>
      </c>
      <c r="G306" s="9" t="str">
        <f>fact_kpi_weekly!G306</f>
        <v>New Store</v>
      </c>
      <c r="H306" s="9" t="str">
        <f>fact_kpi_weekly!H306</f>
        <v>John</v>
      </c>
      <c r="I306" s="9">
        <f>fact_kpi_weekly!I306</f>
        <v>0</v>
      </c>
      <c r="J306" s="22">
        <f>fact_kpi_weekly!J306</f>
        <v>0</v>
      </c>
      <c r="K306" s="20" t="str">
        <f t="array" ref="K306">IFERROR(INDEX(dim_date!H:H,MATCH(A306,dim_date!A:A,0)),"")</f>
        <v>Nov</v>
      </c>
      <c r="L306" s="20" t="str">
        <f t="array" ref="L306">IFERROR(INDEX(dim_date!G:G,MATCH(A306,dim_date!A:A,0)),"")</f>
        <v>11</v>
      </c>
      <c r="M306" s="9" t="str">
        <f t="array" ref="M306">IFERROR(INDEX(dim_date!I:I,MATCH(A306,dim_date!A:A,0)),"")</f>
        <v>Q4</v>
      </c>
      <c r="N306" s="20" t="str">
        <f t="array" ref="N306">IFERROR(INDEX(dim_date!K:K,MATCH(A306,dim_date!A:A,0)),"")</f>
        <v>45</v>
      </c>
      <c r="O306" s="9" t="str">
        <f t="array" ref="O306">IFERROR(INDEX(dim_date!F:F,MATCH(A306,dim_date!A:A,0)),"")</f>
        <v>11/1-11/7</v>
      </c>
      <c r="P306" s="9" t="str">
        <f t="array" ref="P306">IFERROR(INDEX(dim_kpi!E:E,MATCH(D306,dim_kpi!C:C,0)),"")</f>
        <v>count</v>
      </c>
      <c r="Q306" s="9" t="str">
        <f t="array" ref="Q306">IFERROR(INDEX(dim_kpi!F:F,MATCH(D306,dim_kpi!C:C,0)),"")</f>
        <v>N</v>
      </c>
    </row>
    <row r="307" ht="12.75" customHeight="1">
      <c r="A307" s="20" t="str">
        <f>fact_kpi_weekly!A307</f>
        <v>261108</v>
      </c>
      <c r="B307" s="21">
        <f>fact_kpi_weekly!B307</f>
        <v>46334</v>
      </c>
      <c r="C307" s="9" t="str">
        <f>fact_kpi_weekly!C307</f>
        <v>Growth</v>
      </c>
      <c r="D307" s="9" t="str">
        <f>fact_kpi_weekly!D307</f>
        <v>New Marketable Patients - New Store</v>
      </c>
      <c r="E307" s="9" t="str">
        <f>fact_kpi_weekly!E307</f>
        <v>Forecast</v>
      </c>
      <c r="F307" s="9" t="str">
        <f>IF(fact_kpi_weekly!F307="","",fact_kpi_weekly!F307)</f>
        <v/>
      </c>
      <c r="G307" s="9" t="str">
        <f>fact_kpi_weekly!G307</f>
        <v>New Store</v>
      </c>
      <c r="H307" s="9" t="str">
        <f>fact_kpi_weekly!H307</f>
        <v>John</v>
      </c>
      <c r="I307" s="9">
        <f>fact_kpi_weekly!I307</f>
        <v>1600</v>
      </c>
      <c r="J307" s="22">
        <f>fact_kpi_weekly!J307</f>
        <v>1600</v>
      </c>
      <c r="K307" s="20" t="str">
        <f t="array" ref="K307">IFERROR(INDEX(dim_date!H:H,MATCH(A307,dim_date!A:A,0)),"")</f>
        <v>Nov</v>
      </c>
      <c r="L307" s="20" t="str">
        <f t="array" ref="L307">IFERROR(INDEX(dim_date!G:G,MATCH(A307,dim_date!A:A,0)),"")</f>
        <v>11</v>
      </c>
      <c r="M307" s="9" t="str">
        <f t="array" ref="M307">IFERROR(INDEX(dim_date!I:I,MATCH(A307,dim_date!A:A,0)),"")</f>
        <v>Q4</v>
      </c>
      <c r="N307" s="20" t="str">
        <f t="array" ref="N307">IFERROR(INDEX(dim_date!K:K,MATCH(A307,dim_date!A:A,0)),"")</f>
        <v>46</v>
      </c>
      <c r="O307" s="9" t="str">
        <f t="array" ref="O307">IFERROR(INDEX(dim_date!F:F,MATCH(A307,dim_date!A:A,0)),"")</f>
        <v>11/8-11/14</v>
      </c>
      <c r="P307" s="9" t="str">
        <f t="array" ref="P307">IFERROR(INDEX(dim_kpi!E:E,MATCH(D307,dim_kpi!C:C,0)),"")</f>
        <v>count</v>
      </c>
      <c r="Q307" s="9" t="str">
        <f t="array" ref="Q307">IFERROR(INDEX(dim_kpi!F:F,MATCH(D307,dim_kpi!C:C,0)),"")</f>
        <v>N</v>
      </c>
    </row>
    <row r="308" ht="12.75" customHeight="1">
      <c r="A308" s="20" t="str">
        <f>fact_kpi_weekly!A308</f>
        <v>261115</v>
      </c>
      <c r="B308" s="21">
        <f>fact_kpi_weekly!B308</f>
        <v>46341</v>
      </c>
      <c r="C308" s="9" t="str">
        <f>fact_kpi_weekly!C308</f>
        <v>Growth</v>
      </c>
      <c r="D308" s="9" t="str">
        <f>fact_kpi_weekly!D308</f>
        <v>New Marketable Patients - New Store</v>
      </c>
      <c r="E308" s="9" t="str">
        <f>fact_kpi_weekly!E308</f>
        <v>Forecast</v>
      </c>
      <c r="F308" s="9" t="str">
        <f>IF(fact_kpi_weekly!F308="","",fact_kpi_weekly!F308)</f>
        <v/>
      </c>
      <c r="G308" s="9" t="str">
        <f>fact_kpi_weekly!G308</f>
        <v>New Store</v>
      </c>
      <c r="H308" s="9" t="str">
        <f>fact_kpi_weekly!H308</f>
        <v>John</v>
      </c>
      <c r="I308" s="9">
        <f>fact_kpi_weekly!I308</f>
        <v>4800</v>
      </c>
      <c r="J308" s="22">
        <f>fact_kpi_weekly!J308</f>
        <v>4800</v>
      </c>
      <c r="K308" s="20" t="str">
        <f t="array" ref="K308">IFERROR(INDEX(dim_date!H:H,MATCH(A308,dim_date!A:A,0)),"")</f>
        <v>Nov</v>
      </c>
      <c r="L308" s="20" t="str">
        <f t="array" ref="L308">IFERROR(INDEX(dim_date!G:G,MATCH(A308,dim_date!A:A,0)),"")</f>
        <v>11</v>
      </c>
      <c r="M308" s="9" t="str">
        <f t="array" ref="M308">IFERROR(INDEX(dim_date!I:I,MATCH(A308,dim_date!A:A,0)),"")</f>
        <v>Q4</v>
      </c>
      <c r="N308" s="20" t="str">
        <f t="array" ref="N308">IFERROR(INDEX(dim_date!K:K,MATCH(A308,dim_date!A:A,0)),"")</f>
        <v>47</v>
      </c>
      <c r="O308" s="9" t="str">
        <f t="array" ref="O308">IFERROR(INDEX(dim_date!F:F,MATCH(A308,dim_date!A:A,0)),"")</f>
        <v>11/15-11/21</v>
      </c>
      <c r="P308" s="9" t="str">
        <f t="array" ref="P308">IFERROR(INDEX(dim_kpi!E:E,MATCH(D308,dim_kpi!C:C,0)),"")</f>
        <v>count</v>
      </c>
      <c r="Q308" s="9" t="str">
        <f t="array" ref="Q308">IFERROR(INDEX(dim_kpi!F:F,MATCH(D308,dim_kpi!C:C,0)),"")</f>
        <v>N</v>
      </c>
    </row>
    <row r="309" ht="12.75" customHeight="1">
      <c r="A309" s="20" t="str">
        <f>fact_kpi_weekly!A309</f>
        <v>261122</v>
      </c>
      <c r="B309" s="21">
        <f>fact_kpi_weekly!B309</f>
        <v>46348</v>
      </c>
      <c r="C309" s="9" t="str">
        <f>fact_kpi_weekly!C309</f>
        <v>Growth</v>
      </c>
      <c r="D309" s="9" t="str">
        <f>fact_kpi_weekly!D309</f>
        <v>New Marketable Patients - New Store</v>
      </c>
      <c r="E309" s="9" t="str">
        <f>fact_kpi_weekly!E309</f>
        <v>Forecast</v>
      </c>
      <c r="F309" s="9" t="str">
        <f>IF(fact_kpi_weekly!F309="","",fact_kpi_weekly!F309)</f>
        <v/>
      </c>
      <c r="G309" s="9" t="str">
        <f>fact_kpi_weekly!G309</f>
        <v>New Store</v>
      </c>
      <c r="H309" s="9" t="str">
        <f>fact_kpi_weekly!H309</f>
        <v>John</v>
      </c>
      <c r="I309" s="9">
        <f>fact_kpi_weekly!I309</f>
        <v>0</v>
      </c>
      <c r="J309" s="22">
        <f>fact_kpi_weekly!J309</f>
        <v>0</v>
      </c>
      <c r="K309" s="20" t="str">
        <f t="array" ref="K309">IFERROR(INDEX(dim_date!H:H,MATCH(A309,dim_date!A:A,0)),"")</f>
        <v>Nov</v>
      </c>
      <c r="L309" s="20" t="str">
        <f t="array" ref="L309">IFERROR(INDEX(dim_date!G:G,MATCH(A309,dim_date!A:A,0)),"")</f>
        <v>11</v>
      </c>
      <c r="M309" s="9" t="str">
        <f t="array" ref="M309">IFERROR(INDEX(dim_date!I:I,MATCH(A309,dim_date!A:A,0)),"")</f>
        <v>Q4</v>
      </c>
      <c r="N309" s="20" t="str">
        <f t="array" ref="N309">IFERROR(INDEX(dim_date!K:K,MATCH(A309,dim_date!A:A,0)),"")</f>
        <v>48</v>
      </c>
      <c r="O309" s="9" t="str">
        <f t="array" ref="O309">IFERROR(INDEX(dim_date!F:F,MATCH(A309,dim_date!A:A,0)),"")</f>
        <v>11/22-11/28</v>
      </c>
      <c r="P309" s="9" t="str">
        <f t="array" ref="P309">IFERROR(INDEX(dim_kpi!E:E,MATCH(D309,dim_kpi!C:C,0)),"")</f>
        <v>count</v>
      </c>
      <c r="Q309" s="9" t="str">
        <f t="array" ref="Q309">IFERROR(INDEX(dim_kpi!F:F,MATCH(D309,dim_kpi!C:C,0)),"")</f>
        <v>N</v>
      </c>
    </row>
    <row r="310" ht="12.75" customHeight="1">
      <c r="A310" s="20" t="str">
        <f>fact_kpi_weekly!A310</f>
        <v>261129</v>
      </c>
      <c r="B310" s="21">
        <f>fact_kpi_weekly!B310</f>
        <v>46355</v>
      </c>
      <c r="C310" s="9" t="str">
        <f>fact_kpi_weekly!C310</f>
        <v>Growth</v>
      </c>
      <c r="D310" s="9" t="str">
        <f>fact_kpi_weekly!D310</f>
        <v>New Marketable Patients - New Store</v>
      </c>
      <c r="E310" s="9" t="str">
        <f>fact_kpi_weekly!E310</f>
        <v>Forecast</v>
      </c>
      <c r="F310" s="9" t="str">
        <f>IF(fact_kpi_weekly!F310="","",fact_kpi_weekly!F310)</f>
        <v/>
      </c>
      <c r="G310" s="9" t="str">
        <f>fact_kpi_weekly!G310</f>
        <v>New Store</v>
      </c>
      <c r="H310" s="9" t="str">
        <f>fact_kpi_weekly!H310</f>
        <v>John</v>
      </c>
      <c r="I310" s="9">
        <f>fact_kpi_weekly!I310</f>
        <v>0</v>
      </c>
      <c r="J310" s="22">
        <f>fact_kpi_weekly!J310</f>
        <v>0</v>
      </c>
      <c r="K310" s="20" t="str">
        <f t="array" ref="K310">IFERROR(INDEX(dim_date!H:H,MATCH(A310,dim_date!A:A,0)),"")</f>
        <v>Nov</v>
      </c>
      <c r="L310" s="20" t="str">
        <f t="array" ref="L310">IFERROR(INDEX(dim_date!G:G,MATCH(A310,dim_date!A:A,0)),"")</f>
        <v>11</v>
      </c>
      <c r="M310" s="9" t="str">
        <f t="array" ref="M310">IFERROR(INDEX(dim_date!I:I,MATCH(A310,dim_date!A:A,0)),"")</f>
        <v>Q4</v>
      </c>
      <c r="N310" s="20" t="str">
        <f t="array" ref="N310">IFERROR(INDEX(dim_date!K:K,MATCH(A310,dim_date!A:A,0)),"")</f>
        <v>49</v>
      </c>
      <c r="O310" s="9" t="str">
        <f t="array" ref="O310">IFERROR(INDEX(dim_date!F:F,MATCH(A310,dim_date!A:A,0)),"")</f>
        <v>11/29-12/5</v>
      </c>
      <c r="P310" s="9" t="str">
        <f t="array" ref="P310">IFERROR(INDEX(dim_kpi!E:E,MATCH(D310,dim_kpi!C:C,0)),"")</f>
        <v>count</v>
      </c>
      <c r="Q310" s="9" t="str">
        <f t="array" ref="Q310">IFERROR(INDEX(dim_kpi!F:F,MATCH(D310,dim_kpi!C:C,0)),"")</f>
        <v>N</v>
      </c>
    </row>
    <row r="311" ht="12.75" customHeight="1">
      <c r="A311" s="20" t="str">
        <f>fact_kpi_weekly!A311</f>
        <v>261206</v>
      </c>
      <c r="B311" s="21">
        <f>fact_kpi_weekly!B311</f>
        <v>46362</v>
      </c>
      <c r="C311" s="9" t="str">
        <f>fact_kpi_weekly!C311</f>
        <v>Growth</v>
      </c>
      <c r="D311" s="9" t="str">
        <f>fact_kpi_weekly!D311</f>
        <v>New Marketable Patients - New Store</v>
      </c>
      <c r="E311" s="9" t="str">
        <f>fact_kpi_weekly!E311</f>
        <v>Forecast</v>
      </c>
      <c r="F311" s="9" t="str">
        <f>IF(fact_kpi_weekly!F311="","",fact_kpi_weekly!F311)</f>
        <v/>
      </c>
      <c r="G311" s="9" t="str">
        <f>fact_kpi_weekly!G311</f>
        <v>New Store</v>
      </c>
      <c r="H311" s="9" t="str">
        <f>fact_kpi_weekly!H311</f>
        <v>John</v>
      </c>
      <c r="I311" s="9">
        <f>fact_kpi_weekly!I311</f>
        <v>0</v>
      </c>
      <c r="J311" s="22">
        <f>fact_kpi_weekly!J311</f>
        <v>0</v>
      </c>
      <c r="K311" s="20" t="str">
        <f t="array" ref="K311">IFERROR(INDEX(dim_date!H:H,MATCH(A311,dim_date!A:A,0)),"")</f>
        <v>Dec</v>
      </c>
      <c r="L311" s="20" t="str">
        <f t="array" ref="L311">IFERROR(INDEX(dim_date!G:G,MATCH(A311,dim_date!A:A,0)),"")</f>
        <v>12</v>
      </c>
      <c r="M311" s="9" t="str">
        <f t="array" ref="M311">IFERROR(INDEX(dim_date!I:I,MATCH(A311,dim_date!A:A,0)),"")</f>
        <v>Q4</v>
      </c>
      <c r="N311" s="20" t="str">
        <f t="array" ref="N311">IFERROR(INDEX(dim_date!K:K,MATCH(A311,dim_date!A:A,0)),"")</f>
        <v>50</v>
      </c>
      <c r="O311" s="9" t="str">
        <f t="array" ref="O311">IFERROR(INDEX(dim_date!F:F,MATCH(A311,dim_date!A:A,0)),"")</f>
        <v>12/6-12/12</v>
      </c>
      <c r="P311" s="9" t="str">
        <f t="array" ref="P311">IFERROR(INDEX(dim_kpi!E:E,MATCH(D311,dim_kpi!C:C,0)),"")</f>
        <v>count</v>
      </c>
      <c r="Q311" s="9" t="str">
        <f t="array" ref="Q311">IFERROR(INDEX(dim_kpi!F:F,MATCH(D311,dim_kpi!C:C,0)),"")</f>
        <v>N</v>
      </c>
    </row>
    <row r="312" ht="12.75" customHeight="1">
      <c r="A312" s="20" t="str">
        <f>fact_kpi_weekly!A312</f>
        <v>261213</v>
      </c>
      <c r="B312" s="21">
        <f>fact_kpi_weekly!B312</f>
        <v>46369</v>
      </c>
      <c r="C312" s="9" t="str">
        <f>fact_kpi_weekly!C312</f>
        <v>Growth</v>
      </c>
      <c r="D312" s="9" t="str">
        <f>fact_kpi_weekly!D312</f>
        <v>New Marketable Patients - New Store</v>
      </c>
      <c r="E312" s="9" t="str">
        <f>fact_kpi_weekly!E312</f>
        <v>Forecast</v>
      </c>
      <c r="F312" s="9" t="str">
        <f>IF(fact_kpi_weekly!F312="","",fact_kpi_weekly!F312)</f>
        <v/>
      </c>
      <c r="G312" s="9" t="str">
        <f>fact_kpi_weekly!G312</f>
        <v>New Store</v>
      </c>
      <c r="H312" s="9" t="str">
        <f>fact_kpi_weekly!H312</f>
        <v>John</v>
      </c>
      <c r="I312" s="9">
        <f>fact_kpi_weekly!I312</f>
        <v>0</v>
      </c>
      <c r="J312" s="22">
        <f>fact_kpi_weekly!J312</f>
        <v>0</v>
      </c>
      <c r="K312" s="20" t="str">
        <f t="array" ref="K312">IFERROR(INDEX(dim_date!H:H,MATCH(A312,dim_date!A:A,0)),"")</f>
        <v>Dec</v>
      </c>
      <c r="L312" s="20" t="str">
        <f t="array" ref="L312">IFERROR(INDEX(dim_date!G:G,MATCH(A312,dim_date!A:A,0)),"")</f>
        <v>12</v>
      </c>
      <c r="M312" s="9" t="str">
        <f t="array" ref="M312">IFERROR(INDEX(dim_date!I:I,MATCH(A312,dim_date!A:A,0)),"")</f>
        <v>Q4</v>
      </c>
      <c r="N312" s="20" t="str">
        <f t="array" ref="N312">IFERROR(INDEX(dim_date!K:K,MATCH(A312,dim_date!A:A,0)),"")</f>
        <v>51</v>
      </c>
      <c r="O312" s="9" t="str">
        <f t="array" ref="O312">IFERROR(INDEX(dim_date!F:F,MATCH(A312,dim_date!A:A,0)),"")</f>
        <v>12/13-12/19</v>
      </c>
      <c r="P312" s="9" t="str">
        <f t="array" ref="P312">IFERROR(INDEX(dim_kpi!E:E,MATCH(D312,dim_kpi!C:C,0)),"")</f>
        <v>count</v>
      </c>
      <c r="Q312" s="9" t="str">
        <f t="array" ref="Q312">IFERROR(INDEX(dim_kpi!F:F,MATCH(D312,dim_kpi!C:C,0)),"")</f>
        <v>N</v>
      </c>
    </row>
    <row r="313" ht="12.75" customHeight="1">
      <c r="A313" s="20" t="str">
        <f>fact_kpi_weekly!A313</f>
        <v>261220</v>
      </c>
      <c r="B313" s="21">
        <f>fact_kpi_weekly!B313</f>
        <v>46376</v>
      </c>
      <c r="C313" s="9" t="str">
        <f>fact_kpi_weekly!C313</f>
        <v>Growth</v>
      </c>
      <c r="D313" s="9" t="str">
        <f>fact_kpi_weekly!D313</f>
        <v>New Marketable Patients - New Store</v>
      </c>
      <c r="E313" s="9" t="str">
        <f>fact_kpi_weekly!E313</f>
        <v>Forecast</v>
      </c>
      <c r="F313" s="9" t="str">
        <f>IF(fact_kpi_weekly!F313="","",fact_kpi_weekly!F313)</f>
        <v/>
      </c>
      <c r="G313" s="9" t="str">
        <f>fact_kpi_weekly!G313</f>
        <v>New Store</v>
      </c>
      <c r="H313" s="9" t="str">
        <f>fact_kpi_weekly!H313</f>
        <v>John</v>
      </c>
      <c r="I313" s="9">
        <f>fact_kpi_weekly!I313</f>
        <v>0</v>
      </c>
      <c r="J313" s="22">
        <f>fact_kpi_weekly!J313</f>
        <v>0</v>
      </c>
      <c r="K313" s="20" t="str">
        <f t="array" ref="K313">IFERROR(INDEX(dim_date!H:H,MATCH(A313,dim_date!A:A,0)),"")</f>
        <v>Dec</v>
      </c>
      <c r="L313" s="20" t="str">
        <f t="array" ref="L313">IFERROR(INDEX(dim_date!G:G,MATCH(A313,dim_date!A:A,0)),"")</f>
        <v>12</v>
      </c>
      <c r="M313" s="9" t="str">
        <f t="array" ref="M313">IFERROR(INDEX(dim_date!I:I,MATCH(A313,dim_date!A:A,0)),"")</f>
        <v>Q4</v>
      </c>
      <c r="N313" s="20" t="str">
        <f t="array" ref="N313">IFERROR(INDEX(dim_date!K:K,MATCH(A313,dim_date!A:A,0)),"")</f>
        <v>52</v>
      </c>
      <c r="O313" s="9" t="str">
        <f t="array" ref="O313">IFERROR(INDEX(dim_date!F:F,MATCH(A313,dim_date!A:A,0)),"")</f>
        <v>12/20-12/26</v>
      </c>
      <c r="P313" s="9" t="str">
        <f t="array" ref="P313">IFERROR(INDEX(dim_kpi!E:E,MATCH(D313,dim_kpi!C:C,0)),"")</f>
        <v>count</v>
      </c>
      <c r="Q313" s="9" t="str">
        <f t="array" ref="Q313">IFERROR(INDEX(dim_kpi!F:F,MATCH(D313,dim_kpi!C:C,0)),"")</f>
        <v>N</v>
      </c>
    </row>
    <row r="314" ht="12.75" customHeight="1">
      <c r="A314" s="20" t="str">
        <f>fact_kpi_weekly!A314</f>
        <v>261227</v>
      </c>
      <c r="B314" s="21">
        <f>fact_kpi_weekly!B314</f>
        <v>46383</v>
      </c>
      <c r="C314" s="9" t="str">
        <f>fact_kpi_weekly!C314</f>
        <v>Growth</v>
      </c>
      <c r="D314" s="9" t="str">
        <f>fact_kpi_weekly!D314</f>
        <v>New Marketable Patients - New Store</v>
      </c>
      <c r="E314" s="9" t="str">
        <f>fact_kpi_weekly!E314</f>
        <v>Forecast</v>
      </c>
      <c r="F314" s="9" t="str">
        <f>IF(fact_kpi_weekly!F314="","",fact_kpi_weekly!F314)</f>
        <v/>
      </c>
      <c r="G314" s="9" t="str">
        <f>fact_kpi_weekly!G314</f>
        <v>New Store</v>
      </c>
      <c r="H314" s="9" t="str">
        <f>fact_kpi_weekly!H314</f>
        <v>John</v>
      </c>
      <c r="I314" s="9">
        <f>fact_kpi_weekly!I314</f>
        <v>0</v>
      </c>
      <c r="J314" s="22">
        <f>fact_kpi_weekly!J314</f>
        <v>0</v>
      </c>
      <c r="K314" s="20" t="str">
        <f t="array" ref="K314">IFERROR(INDEX(dim_date!H:H,MATCH(A314,dim_date!A:A,0)),"")</f>
        <v>Dec</v>
      </c>
      <c r="L314" s="20" t="str">
        <f t="array" ref="L314">IFERROR(INDEX(dim_date!G:G,MATCH(A314,dim_date!A:A,0)),"")</f>
        <v>12</v>
      </c>
      <c r="M314" s="9" t="str">
        <f t="array" ref="M314">IFERROR(INDEX(dim_date!I:I,MATCH(A314,dim_date!A:A,0)),"")</f>
        <v>Q4</v>
      </c>
      <c r="N314" s="20" t="str">
        <f t="array" ref="N314">IFERROR(INDEX(dim_date!K:K,MATCH(A314,dim_date!A:A,0)),"")</f>
        <v>53</v>
      </c>
      <c r="O314" s="9" t="str">
        <f t="array" ref="O314">IFERROR(INDEX(dim_date!F:F,MATCH(A314,dim_date!A:A,0)),"")</f>
        <v>12/27-1/2</v>
      </c>
      <c r="P314" s="9" t="str">
        <f t="array" ref="P314">IFERROR(INDEX(dim_kpi!E:E,MATCH(D314,dim_kpi!C:C,0)),"")</f>
        <v>count</v>
      </c>
      <c r="Q314" s="9" t="str">
        <f t="array" ref="Q314">IFERROR(INDEX(dim_kpi!F:F,MATCH(D314,dim_kpi!C:C,0)),"")</f>
        <v>N</v>
      </c>
    </row>
    <row r="315" ht="12.75" customHeight="1">
      <c r="A315" s="20" t="str">
        <f>fact_kpi_weekly!A315</f>
        <v>260301</v>
      </c>
      <c r="B315" s="21">
        <f>fact_kpi_weekly!B315</f>
        <v>46082</v>
      </c>
      <c r="C315" s="9" t="str">
        <f>fact_kpi_weekly!C315</f>
        <v>Growth</v>
      </c>
      <c r="D315" s="9" t="str">
        <f>fact_kpi_weekly!D315</f>
        <v>New Marketable Patients - New Store</v>
      </c>
      <c r="E315" s="9" t="str">
        <f>fact_kpi_weekly!E315</f>
        <v>Actual</v>
      </c>
      <c r="F315" s="9" t="str">
        <f>IF(fact_kpi_weekly!F315="","",fact_kpi_weekly!F315)</f>
        <v/>
      </c>
      <c r="G315" s="9" t="str">
        <f>fact_kpi_weekly!G315</f>
        <v>New Store</v>
      </c>
      <c r="H315" s="9" t="str">
        <f>fact_kpi_weekly!H315</f>
        <v>John</v>
      </c>
      <c r="I315" s="9">
        <f>fact_kpi_weekly!I315</f>
        <v>870</v>
      </c>
      <c r="J315" s="22">
        <f>fact_kpi_weekly!J315</f>
        <v>870</v>
      </c>
      <c r="K315" s="20" t="str">
        <f t="array" ref="K315">IFERROR(INDEX(dim_date!H:H,MATCH(A315,dim_date!A:A,0)),"")</f>
        <v>Mar</v>
      </c>
      <c r="L315" s="20" t="str">
        <f t="array" ref="L315">IFERROR(INDEX(dim_date!G:G,MATCH(A315,dim_date!A:A,0)),"")</f>
        <v>03</v>
      </c>
      <c r="M315" s="9" t="str">
        <f t="array" ref="M315">IFERROR(INDEX(dim_date!I:I,MATCH(A315,dim_date!A:A,0)),"")</f>
        <v>Q1</v>
      </c>
      <c r="N315" s="20" t="str">
        <f t="array" ref="N315">IFERROR(INDEX(dim_date!K:K,MATCH(A315,dim_date!A:A,0)),"")</f>
        <v>10</v>
      </c>
      <c r="O315" s="9" t="str">
        <f t="array" ref="O315">IFERROR(INDEX(dim_date!F:F,MATCH(A315,dim_date!A:A,0)),"")</f>
        <v>3/1-3/7</v>
      </c>
      <c r="P315" s="9" t="str">
        <f t="array" ref="P315">IFERROR(INDEX(dim_kpi!E:E,MATCH(D315,dim_kpi!C:C,0)),"")</f>
        <v>count</v>
      </c>
      <c r="Q315" s="9" t="str">
        <f t="array" ref="Q315">IFERROR(INDEX(dim_kpi!F:F,MATCH(D315,dim_kpi!C:C,0)),"")</f>
        <v>N</v>
      </c>
    </row>
    <row r="316" ht="12.75" customHeight="1">
      <c r="A316" s="20" t="str">
        <f>fact_kpi_weekly!A316</f>
        <v>260315</v>
      </c>
      <c r="B316" s="21">
        <f>fact_kpi_weekly!B316</f>
        <v>46096</v>
      </c>
      <c r="C316" s="9" t="str">
        <f>fact_kpi_weekly!C316</f>
        <v>Growth</v>
      </c>
      <c r="D316" s="9" t="str">
        <f>fact_kpi_weekly!D316</f>
        <v>New Marketable Patients - New Store</v>
      </c>
      <c r="E316" s="9" t="str">
        <f>fact_kpi_weekly!E316</f>
        <v>Actual</v>
      </c>
      <c r="F316" s="9" t="str">
        <f>IF(fact_kpi_weekly!F316="","",fact_kpi_weekly!F316)</f>
        <v/>
      </c>
      <c r="G316" s="9" t="str">
        <f>fact_kpi_weekly!G316</f>
        <v>New Store</v>
      </c>
      <c r="H316" s="9" t="str">
        <f>fact_kpi_weekly!H316</f>
        <v>John</v>
      </c>
      <c r="I316" s="9">
        <f>fact_kpi_weekly!I316</f>
        <v>2621</v>
      </c>
      <c r="J316" s="22">
        <f>fact_kpi_weekly!J316</f>
        <v>2621</v>
      </c>
      <c r="K316" s="20" t="str">
        <f t="array" ref="K316">IFERROR(INDEX(dim_date!H:H,MATCH(A316,dim_date!A:A,0)),"")</f>
        <v>Mar</v>
      </c>
      <c r="L316" s="20" t="str">
        <f t="array" ref="L316">IFERROR(INDEX(dim_date!G:G,MATCH(A316,dim_date!A:A,0)),"")</f>
        <v>03</v>
      </c>
      <c r="M316" s="9" t="str">
        <f t="array" ref="M316">IFERROR(INDEX(dim_date!I:I,MATCH(A316,dim_date!A:A,0)),"")</f>
        <v>Q1</v>
      </c>
      <c r="N316" s="20" t="str">
        <f t="array" ref="N316">IFERROR(INDEX(dim_date!K:K,MATCH(A316,dim_date!A:A,0)),"")</f>
        <v>12</v>
      </c>
      <c r="O316" s="9" t="str">
        <f t="array" ref="O316">IFERROR(INDEX(dim_date!F:F,MATCH(A316,dim_date!A:A,0)),"")</f>
        <v>3/15-3/21</v>
      </c>
      <c r="P316" s="9" t="str">
        <f t="array" ref="P316">IFERROR(INDEX(dim_kpi!E:E,MATCH(D316,dim_kpi!C:C,0)),"")</f>
        <v>count</v>
      </c>
      <c r="Q316" s="9" t="str">
        <f t="array" ref="Q316">IFERROR(INDEX(dim_kpi!F:F,MATCH(D316,dim_kpi!C:C,0)),"")</f>
        <v>N</v>
      </c>
    </row>
    <row r="317" ht="12.75" customHeight="1">
      <c r="A317" s="20" t="str">
        <f>fact_kpi_weekly!A317</f>
        <v>260301</v>
      </c>
      <c r="B317" s="21">
        <f>fact_kpi_weekly!B317</f>
        <v>46082</v>
      </c>
      <c r="C317" s="9" t="str">
        <f>fact_kpi_weekly!C317</f>
        <v>Growth</v>
      </c>
      <c r="D317" s="9" t="str">
        <f>fact_kpi_weekly!D317</f>
        <v>New Marketable Patients - Same Store</v>
      </c>
      <c r="E317" s="9" t="str">
        <f>fact_kpi_weekly!E317</f>
        <v>Forecast</v>
      </c>
      <c r="F317" s="9" t="str">
        <f>IF(fact_kpi_weekly!F317="","",fact_kpi_weekly!F317)</f>
        <v/>
      </c>
      <c r="G317" s="9" t="str">
        <f>fact_kpi_weekly!G317</f>
        <v>Same Store</v>
      </c>
      <c r="H317" s="9" t="str">
        <f>fact_kpi_weekly!H317</f>
        <v>Sheila</v>
      </c>
      <c r="I317" s="9">
        <f>fact_kpi_weekly!I317</f>
        <v>1255.2</v>
      </c>
      <c r="J317" s="22">
        <f>fact_kpi_weekly!J317</f>
        <v>1255.2</v>
      </c>
      <c r="K317" s="20" t="str">
        <f t="array" ref="K317">IFERROR(INDEX(dim_date!H:H,MATCH(A317,dim_date!A:A,0)),"")</f>
        <v>Mar</v>
      </c>
      <c r="L317" s="20" t="str">
        <f t="array" ref="L317">IFERROR(INDEX(dim_date!G:G,MATCH(A317,dim_date!A:A,0)),"")</f>
        <v>03</v>
      </c>
      <c r="M317" s="9" t="str">
        <f t="array" ref="M317">IFERROR(INDEX(dim_date!I:I,MATCH(A317,dim_date!A:A,0)),"")</f>
        <v>Q1</v>
      </c>
      <c r="N317" s="20" t="str">
        <f t="array" ref="N317">IFERROR(INDEX(dim_date!K:K,MATCH(A317,dim_date!A:A,0)),"")</f>
        <v>10</v>
      </c>
      <c r="O317" s="9" t="str">
        <f t="array" ref="O317">IFERROR(INDEX(dim_date!F:F,MATCH(A317,dim_date!A:A,0)),"")</f>
        <v>3/1-3/7</v>
      </c>
      <c r="P317" s="9" t="str">
        <f t="array" ref="P317">IFERROR(INDEX(dim_kpi!E:E,MATCH(D317,dim_kpi!C:C,0)),"")</f>
        <v>count</v>
      </c>
      <c r="Q317" s="9" t="str">
        <f t="array" ref="Q317">IFERROR(INDEX(dim_kpi!F:F,MATCH(D317,dim_kpi!C:C,0)),"")</f>
        <v>N</v>
      </c>
    </row>
    <row r="318" ht="12.75" customHeight="1">
      <c r="A318" s="20" t="str">
        <f>fact_kpi_weekly!A318</f>
        <v>260308</v>
      </c>
      <c r="B318" s="21">
        <f>fact_kpi_weekly!B318</f>
        <v>46089</v>
      </c>
      <c r="C318" s="9" t="str">
        <f>fact_kpi_weekly!C318</f>
        <v>Growth</v>
      </c>
      <c r="D318" s="9" t="str">
        <f>fact_kpi_weekly!D318</f>
        <v>New Marketable Patients - Same Store</v>
      </c>
      <c r="E318" s="9" t="str">
        <f>fact_kpi_weekly!E318</f>
        <v>Forecast</v>
      </c>
      <c r="F318" s="9" t="str">
        <f>IF(fact_kpi_weekly!F318="","",fact_kpi_weekly!F318)</f>
        <v/>
      </c>
      <c r="G318" s="9" t="str">
        <f>fact_kpi_weekly!G318</f>
        <v>Same Store</v>
      </c>
      <c r="H318" s="9" t="str">
        <f>fact_kpi_weekly!H318</f>
        <v>Sheila</v>
      </c>
      <c r="I318" s="9">
        <f>fact_kpi_weekly!I318</f>
        <v>1200</v>
      </c>
      <c r="J318" s="22">
        <f>fact_kpi_weekly!J318</f>
        <v>1200</v>
      </c>
      <c r="K318" s="20" t="str">
        <f t="array" ref="K318">IFERROR(INDEX(dim_date!H:H,MATCH(A318,dim_date!A:A,0)),"")</f>
        <v>Mar</v>
      </c>
      <c r="L318" s="20" t="str">
        <f t="array" ref="L318">IFERROR(INDEX(dim_date!G:G,MATCH(A318,dim_date!A:A,0)),"")</f>
        <v>03</v>
      </c>
      <c r="M318" s="9" t="str">
        <f t="array" ref="M318">IFERROR(INDEX(dim_date!I:I,MATCH(A318,dim_date!A:A,0)),"")</f>
        <v>Q1</v>
      </c>
      <c r="N318" s="20" t="str">
        <f t="array" ref="N318">IFERROR(INDEX(dim_date!K:K,MATCH(A318,dim_date!A:A,0)),"")</f>
        <v>11</v>
      </c>
      <c r="O318" s="9" t="str">
        <f t="array" ref="O318">IFERROR(INDEX(dim_date!F:F,MATCH(A318,dim_date!A:A,0)),"")</f>
        <v>3/8-3/14</v>
      </c>
      <c r="P318" s="9" t="str">
        <f t="array" ref="P318">IFERROR(INDEX(dim_kpi!E:E,MATCH(D318,dim_kpi!C:C,0)),"")</f>
        <v>count</v>
      </c>
      <c r="Q318" s="9" t="str">
        <f t="array" ref="Q318">IFERROR(INDEX(dim_kpi!F:F,MATCH(D318,dim_kpi!C:C,0)),"")</f>
        <v>N</v>
      </c>
    </row>
    <row r="319" ht="12.75" customHeight="1">
      <c r="A319" s="20" t="str">
        <f>fact_kpi_weekly!A319</f>
        <v>260315</v>
      </c>
      <c r="B319" s="21">
        <f>fact_kpi_weekly!B319</f>
        <v>46096</v>
      </c>
      <c r="C319" s="9" t="str">
        <f>fact_kpi_weekly!C319</f>
        <v>Growth</v>
      </c>
      <c r="D319" s="9" t="str">
        <f>fact_kpi_weekly!D319</f>
        <v>New Marketable Patients - Same Store</v>
      </c>
      <c r="E319" s="9" t="str">
        <f>fact_kpi_weekly!E319</f>
        <v>Forecast</v>
      </c>
      <c r="F319" s="9" t="str">
        <f>IF(fact_kpi_weekly!F319="","",fact_kpi_weekly!F319)</f>
        <v/>
      </c>
      <c r="G319" s="9" t="str">
        <f>fact_kpi_weekly!G319</f>
        <v>Same Store</v>
      </c>
      <c r="H319" s="9" t="str">
        <f>fact_kpi_weekly!H319</f>
        <v>Sheila</v>
      </c>
      <c r="I319" s="9">
        <f>fact_kpi_weekly!I319</f>
        <v>1200</v>
      </c>
      <c r="J319" s="22">
        <f>fact_kpi_weekly!J319</f>
        <v>1200</v>
      </c>
      <c r="K319" s="20" t="str">
        <f t="array" ref="K319">IFERROR(INDEX(dim_date!H:H,MATCH(A319,dim_date!A:A,0)),"")</f>
        <v>Mar</v>
      </c>
      <c r="L319" s="20" t="str">
        <f t="array" ref="L319">IFERROR(INDEX(dim_date!G:G,MATCH(A319,dim_date!A:A,0)),"")</f>
        <v>03</v>
      </c>
      <c r="M319" s="9" t="str">
        <f t="array" ref="M319">IFERROR(INDEX(dim_date!I:I,MATCH(A319,dim_date!A:A,0)),"")</f>
        <v>Q1</v>
      </c>
      <c r="N319" s="20" t="str">
        <f t="array" ref="N319">IFERROR(INDEX(dim_date!K:K,MATCH(A319,dim_date!A:A,0)),"")</f>
        <v>12</v>
      </c>
      <c r="O319" s="9" t="str">
        <f t="array" ref="O319">IFERROR(INDEX(dim_date!F:F,MATCH(A319,dim_date!A:A,0)),"")</f>
        <v>3/15-3/21</v>
      </c>
      <c r="P319" s="9" t="str">
        <f t="array" ref="P319">IFERROR(INDEX(dim_kpi!E:E,MATCH(D319,dim_kpi!C:C,0)),"")</f>
        <v>count</v>
      </c>
      <c r="Q319" s="9" t="str">
        <f t="array" ref="Q319">IFERROR(INDEX(dim_kpi!F:F,MATCH(D319,dim_kpi!C:C,0)),"")</f>
        <v>N</v>
      </c>
    </row>
    <row r="320" ht="12.75" customHeight="1">
      <c r="A320" s="20" t="str">
        <f>fact_kpi_weekly!A320</f>
        <v>260322</v>
      </c>
      <c r="B320" s="21">
        <f>fact_kpi_weekly!B320</f>
        <v>46103</v>
      </c>
      <c r="C320" s="9" t="str">
        <f>fact_kpi_weekly!C320</f>
        <v>Growth</v>
      </c>
      <c r="D320" s="9" t="str">
        <f>fact_kpi_weekly!D320</f>
        <v>New Marketable Patients - Same Store</v>
      </c>
      <c r="E320" s="9" t="str">
        <f>fact_kpi_weekly!E320</f>
        <v>Forecast</v>
      </c>
      <c r="F320" s="9" t="str">
        <f>IF(fact_kpi_weekly!F320="","",fact_kpi_weekly!F320)</f>
        <v/>
      </c>
      <c r="G320" s="9" t="str">
        <f>fact_kpi_weekly!G320</f>
        <v>Same Store</v>
      </c>
      <c r="H320" s="9" t="str">
        <f>fact_kpi_weekly!H320</f>
        <v>Sheila</v>
      </c>
      <c r="I320" s="9">
        <f>fact_kpi_weekly!I320</f>
        <v>1200</v>
      </c>
      <c r="J320" s="22">
        <f>fact_kpi_weekly!J320</f>
        <v>1200</v>
      </c>
      <c r="K320" s="20" t="str">
        <f t="array" ref="K320">IFERROR(INDEX(dim_date!H:H,MATCH(A320,dim_date!A:A,0)),"")</f>
        <v>Mar</v>
      </c>
      <c r="L320" s="20" t="str">
        <f t="array" ref="L320">IFERROR(INDEX(dim_date!G:G,MATCH(A320,dim_date!A:A,0)),"")</f>
        <v>03</v>
      </c>
      <c r="M320" s="9" t="str">
        <f t="array" ref="M320">IFERROR(INDEX(dim_date!I:I,MATCH(A320,dim_date!A:A,0)),"")</f>
        <v>Q1</v>
      </c>
      <c r="N320" s="20" t="str">
        <f t="array" ref="N320">IFERROR(INDEX(dim_date!K:K,MATCH(A320,dim_date!A:A,0)),"")</f>
        <v>13</v>
      </c>
      <c r="O320" s="9" t="str">
        <f t="array" ref="O320">IFERROR(INDEX(dim_date!F:F,MATCH(A320,dim_date!A:A,0)),"")</f>
        <v>3/22-3/28</v>
      </c>
      <c r="P320" s="9" t="str">
        <f t="array" ref="P320">IFERROR(INDEX(dim_kpi!E:E,MATCH(D320,dim_kpi!C:C,0)),"")</f>
        <v>count</v>
      </c>
      <c r="Q320" s="9" t="str">
        <f t="array" ref="Q320">IFERROR(INDEX(dim_kpi!F:F,MATCH(D320,dim_kpi!C:C,0)),"")</f>
        <v>N</v>
      </c>
    </row>
    <row r="321" ht="12.75" customHeight="1">
      <c r="A321" s="20" t="str">
        <f>fact_kpi_weekly!A321</f>
        <v>260329</v>
      </c>
      <c r="B321" s="21">
        <f>fact_kpi_weekly!B321</f>
        <v>46110</v>
      </c>
      <c r="C321" s="9" t="str">
        <f>fact_kpi_weekly!C321</f>
        <v>Growth</v>
      </c>
      <c r="D321" s="9" t="str">
        <f>fact_kpi_weekly!D321</f>
        <v>New Marketable Patients - Same Store</v>
      </c>
      <c r="E321" s="9" t="str">
        <f>fact_kpi_weekly!E321</f>
        <v>Forecast</v>
      </c>
      <c r="F321" s="9" t="str">
        <f>IF(fact_kpi_weekly!F321="","",fact_kpi_weekly!F321)</f>
        <v/>
      </c>
      <c r="G321" s="9" t="str">
        <f>fact_kpi_weekly!G321</f>
        <v>Same Store</v>
      </c>
      <c r="H321" s="9" t="str">
        <f>fact_kpi_weekly!H321</f>
        <v>Sheila</v>
      </c>
      <c r="I321" s="9">
        <f>fact_kpi_weekly!I321</f>
        <v>4000</v>
      </c>
      <c r="J321" s="22">
        <f>fact_kpi_weekly!J321</f>
        <v>4000</v>
      </c>
      <c r="K321" s="20" t="str">
        <f t="array" ref="K321">IFERROR(INDEX(dim_date!H:H,MATCH(A321,dim_date!A:A,0)),"")</f>
        <v>Mar</v>
      </c>
      <c r="L321" s="20" t="str">
        <f t="array" ref="L321">IFERROR(INDEX(dim_date!G:G,MATCH(A321,dim_date!A:A,0)),"")</f>
        <v>03</v>
      </c>
      <c r="M321" s="9" t="str">
        <f t="array" ref="M321">IFERROR(INDEX(dim_date!I:I,MATCH(A321,dim_date!A:A,0)),"")</f>
        <v>Q1</v>
      </c>
      <c r="N321" s="20" t="str">
        <f t="array" ref="N321">IFERROR(INDEX(dim_date!K:K,MATCH(A321,dim_date!A:A,0)),"")</f>
        <v>14</v>
      </c>
      <c r="O321" s="9" t="str">
        <f t="array" ref="O321">IFERROR(INDEX(dim_date!F:F,MATCH(A321,dim_date!A:A,0)),"")</f>
        <v>3/29-4/4</v>
      </c>
      <c r="P321" s="9" t="str">
        <f t="array" ref="P321">IFERROR(INDEX(dim_kpi!E:E,MATCH(D321,dim_kpi!C:C,0)),"")</f>
        <v>count</v>
      </c>
      <c r="Q321" s="9" t="str">
        <f t="array" ref="Q321">IFERROR(INDEX(dim_kpi!F:F,MATCH(D321,dim_kpi!C:C,0)),"")</f>
        <v>N</v>
      </c>
    </row>
    <row r="322" ht="12.75" customHeight="1">
      <c r="A322" s="20" t="str">
        <f>fact_kpi_weekly!A322</f>
        <v>260405</v>
      </c>
      <c r="B322" s="21">
        <f>fact_kpi_weekly!B322</f>
        <v>46117</v>
      </c>
      <c r="C322" s="9" t="str">
        <f>fact_kpi_weekly!C322</f>
        <v>Growth</v>
      </c>
      <c r="D322" s="9" t="str">
        <f>fact_kpi_weekly!D322</f>
        <v>New Marketable Patients - Same Store</v>
      </c>
      <c r="E322" s="9" t="str">
        <f>fact_kpi_weekly!E322</f>
        <v>Forecast</v>
      </c>
      <c r="F322" s="9" t="str">
        <f>IF(fact_kpi_weekly!F322="","",fact_kpi_weekly!F322)</f>
        <v/>
      </c>
      <c r="G322" s="9" t="str">
        <f>fact_kpi_weekly!G322</f>
        <v>Same Store</v>
      </c>
      <c r="H322" s="9" t="str">
        <f>fact_kpi_weekly!H322</f>
        <v>Sheila</v>
      </c>
      <c r="I322" s="9">
        <f>fact_kpi_weekly!I322</f>
        <v>1200</v>
      </c>
      <c r="J322" s="22">
        <f>fact_kpi_weekly!J322</f>
        <v>1200</v>
      </c>
      <c r="K322" s="20" t="str">
        <f t="array" ref="K322">IFERROR(INDEX(dim_date!H:H,MATCH(A322,dim_date!A:A,0)),"")</f>
        <v>Apr</v>
      </c>
      <c r="L322" s="20" t="str">
        <f t="array" ref="L322">IFERROR(INDEX(dim_date!G:G,MATCH(A322,dim_date!A:A,0)),"")</f>
        <v>04</v>
      </c>
      <c r="M322" s="9" t="str">
        <f t="array" ref="M322">IFERROR(INDEX(dim_date!I:I,MATCH(A322,dim_date!A:A,0)),"")</f>
        <v>Q2</v>
      </c>
      <c r="N322" s="20" t="str">
        <f t="array" ref="N322">IFERROR(INDEX(dim_date!K:K,MATCH(A322,dim_date!A:A,0)),"")</f>
        <v>15</v>
      </c>
      <c r="O322" s="9" t="str">
        <f t="array" ref="O322">IFERROR(INDEX(dim_date!F:F,MATCH(A322,dim_date!A:A,0)),"")</f>
        <v>4/5-4/11</v>
      </c>
      <c r="P322" s="9" t="str">
        <f t="array" ref="P322">IFERROR(INDEX(dim_kpi!E:E,MATCH(D322,dim_kpi!C:C,0)),"")</f>
        <v>count</v>
      </c>
      <c r="Q322" s="9" t="str">
        <f t="array" ref="Q322">IFERROR(INDEX(dim_kpi!F:F,MATCH(D322,dim_kpi!C:C,0)),"")</f>
        <v>N</v>
      </c>
    </row>
    <row r="323" ht="12.75" customHeight="1">
      <c r="A323" s="20" t="str">
        <f>fact_kpi_weekly!A323</f>
        <v>260412</v>
      </c>
      <c r="B323" s="21">
        <f>fact_kpi_weekly!B323</f>
        <v>46124</v>
      </c>
      <c r="C323" s="9" t="str">
        <f>fact_kpi_weekly!C323</f>
        <v>Growth</v>
      </c>
      <c r="D323" s="9" t="str">
        <f>fact_kpi_weekly!D323</f>
        <v>New Marketable Patients - Same Store</v>
      </c>
      <c r="E323" s="9" t="str">
        <f>fact_kpi_weekly!E323</f>
        <v>Forecast</v>
      </c>
      <c r="F323" s="9" t="str">
        <f>IF(fact_kpi_weekly!F323="","",fact_kpi_weekly!F323)</f>
        <v/>
      </c>
      <c r="G323" s="9" t="str">
        <f>fact_kpi_weekly!G323</f>
        <v>Same Store</v>
      </c>
      <c r="H323" s="9" t="str">
        <f>fact_kpi_weekly!H323</f>
        <v>Sheila</v>
      </c>
      <c r="I323" s="9">
        <f>fact_kpi_weekly!I323</f>
        <v>4092.8</v>
      </c>
      <c r="J323" s="22">
        <f>fact_kpi_weekly!J323</f>
        <v>4092.8</v>
      </c>
      <c r="K323" s="20" t="str">
        <f t="array" ref="K323">IFERROR(INDEX(dim_date!H:H,MATCH(A323,dim_date!A:A,0)),"")</f>
        <v>Apr</v>
      </c>
      <c r="L323" s="20" t="str">
        <f t="array" ref="L323">IFERROR(INDEX(dim_date!G:G,MATCH(A323,dim_date!A:A,0)),"")</f>
        <v>04</v>
      </c>
      <c r="M323" s="9" t="str">
        <f t="array" ref="M323">IFERROR(INDEX(dim_date!I:I,MATCH(A323,dim_date!A:A,0)),"")</f>
        <v>Q2</v>
      </c>
      <c r="N323" s="20" t="str">
        <f t="array" ref="N323">IFERROR(INDEX(dim_date!K:K,MATCH(A323,dim_date!A:A,0)),"")</f>
        <v>16</v>
      </c>
      <c r="O323" s="9" t="str">
        <f t="array" ref="O323">IFERROR(INDEX(dim_date!F:F,MATCH(A323,dim_date!A:A,0)),"")</f>
        <v>4/12-4/18</v>
      </c>
      <c r="P323" s="9" t="str">
        <f t="array" ref="P323">IFERROR(INDEX(dim_kpi!E:E,MATCH(D323,dim_kpi!C:C,0)),"")</f>
        <v>count</v>
      </c>
      <c r="Q323" s="9" t="str">
        <f t="array" ref="Q323">IFERROR(INDEX(dim_kpi!F:F,MATCH(D323,dim_kpi!C:C,0)),"")</f>
        <v>N</v>
      </c>
    </row>
    <row r="324" ht="12.75" customHeight="1">
      <c r="A324" s="20" t="str">
        <f>fact_kpi_weekly!A324</f>
        <v>260419</v>
      </c>
      <c r="B324" s="21">
        <f>fact_kpi_weekly!B324</f>
        <v>46131</v>
      </c>
      <c r="C324" s="9" t="str">
        <f>fact_kpi_weekly!C324</f>
        <v>Growth</v>
      </c>
      <c r="D324" s="9" t="str">
        <f>fact_kpi_weekly!D324</f>
        <v>New Marketable Patients - Same Store</v>
      </c>
      <c r="E324" s="9" t="str">
        <f>fact_kpi_weekly!E324</f>
        <v>Forecast</v>
      </c>
      <c r="F324" s="9" t="str">
        <f>IF(fact_kpi_weekly!F324="","",fact_kpi_weekly!F324)</f>
        <v/>
      </c>
      <c r="G324" s="9" t="str">
        <f>fact_kpi_weekly!G324</f>
        <v>Same Store</v>
      </c>
      <c r="H324" s="9" t="str">
        <f>fact_kpi_weekly!H324</f>
        <v>Sheila</v>
      </c>
      <c r="I324" s="9">
        <f>fact_kpi_weekly!I324</f>
        <v>1200</v>
      </c>
      <c r="J324" s="22">
        <f>fact_kpi_weekly!J324</f>
        <v>1200</v>
      </c>
      <c r="K324" s="20" t="str">
        <f t="array" ref="K324">IFERROR(INDEX(dim_date!H:H,MATCH(A324,dim_date!A:A,0)),"")</f>
        <v>Apr</v>
      </c>
      <c r="L324" s="20" t="str">
        <f t="array" ref="L324">IFERROR(INDEX(dim_date!G:G,MATCH(A324,dim_date!A:A,0)),"")</f>
        <v>04</v>
      </c>
      <c r="M324" s="9" t="str">
        <f t="array" ref="M324">IFERROR(INDEX(dim_date!I:I,MATCH(A324,dim_date!A:A,0)),"")</f>
        <v>Q2</v>
      </c>
      <c r="N324" s="20" t="str">
        <f t="array" ref="N324">IFERROR(INDEX(dim_date!K:K,MATCH(A324,dim_date!A:A,0)),"")</f>
        <v>17</v>
      </c>
      <c r="O324" s="9" t="str">
        <f t="array" ref="O324">IFERROR(INDEX(dim_date!F:F,MATCH(A324,dim_date!A:A,0)),"")</f>
        <v>4/19-4/25</v>
      </c>
      <c r="P324" s="9" t="str">
        <f t="array" ref="P324">IFERROR(INDEX(dim_kpi!E:E,MATCH(D324,dim_kpi!C:C,0)),"")</f>
        <v>count</v>
      </c>
      <c r="Q324" s="9" t="str">
        <f t="array" ref="Q324">IFERROR(INDEX(dim_kpi!F:F,MATCH(D324,dim_kpi!C:C,0)),"")</f>
        <v>N</v>
      </c>
    </row>
    <row r="325" ht="12.75" customHeight="1">
      <c r="A325" s="20" t="str">
        <f>fact_kpi_weekly!A325</f>
        <v>260426</v>
      </c>
      <c r="B325" s="21">
        <f>fact_kpi_weekly!B325</f>
        <v>46138</v>
      </c>
      <c r="C325" s="9" t="str">
        <f>fact_kpi_weekly!C325</f>
        <v>Growth</v>
      </c>
      <c r="D325" s="9" t="str">
        <f>fact_kpi_weekly!D325</f>
        <v>New Marketable Patients - Same Store</v>
      </c>
      <c r="E325" s="9" t="str">
        <f>fact_kpi_weekly!E325</f>
        <v>Forecast</v>
      </c>
      <c r="F325" s="9" t="str">
        <f>IF(fact_kpi_weekly!F325="","",fact_kpi_weekly!F325)</f>
        <v/>
      </c>
      <c r="G325" s="9" t="str">
        <f>fact_kpi_weekly!G325</f>
        <v>Same Store</v>
      </c>
      <c r="H325" s="9" t="str">
        <f>fact_kpi_weekly!H325</f>
        <v>Sheila</v>
      </c>
      <c r="I325" s="9">
        <f>fact_kpi_weekly!I325</f>
        <v>1200</v>
      </c>
      <c r="J325" s="22">
        <f>fact_kpi_weekly!J325</f>
        <v>1200</v>
      </c>
      <c r="K325" s="20" t="str">
        <f t="array" ref="K325">IFERROR(INDEX(dim_date!H:H,MATCH(A325,dim_date!A:A,0)),"")</f>
        <v>Apr</v>
      </c>
      <c r="L325" s="20" t="str">
        <f t="array" ref="L325">IFERROR(INDEX(dim_date!G:G,MATCH(A325,dim_date!A:A,0)),"")</f>
        <v>04</v>
      </c>
      <c r="M325" s="9" t="str">
        <f t="array" ref="M325">IFERROR(INDEX(dim_date!I:I,MATCH(A325,dim_date!A:A,0)),"")</f>
        <v>Q2</v>
      </c>
      <c r="N325" s="20" t="str">
        <f t="array" ref="N325">IFERROR(INDEX(dim_date!K:K,MATCH(A325,dim_date!A:A,0)),"")</f>
        <v>18</v>
      </c>
      <c r="O325" s="9" t="str">
        <f t="array" ref="O325">IFERROR(INDEX(dim_date!F:F,MATCH(A325,dim_date!A:A,0)),"")</f>
        <v>4/26-5/2</v>
      </c>
      <c r="P325" s="9" t="str">
        <f t="array" ref="P325">IFERROR(INDEX(dim_kpi!E:E,MATCH(D325,dim_kpi!C:C,0)),"")</f>
        <v>count</v>
      </c>
      <c r="Q325" s="9" t="str">
        <f t="array" ref="Q325">IFERROR(INDEX(dim_kpi!F:F,MATCH(D325,dim_kpi!C:C,0)),"")</f>
        <v>N</v>
      </c>
    </row>
    <row r="326" ht="12.75" customHeight="1">
      <c r="A326" s="20" t="str">
        <f>fact_kpi_weekly!A326</f>
        <v>260503</v>
      </c>
      <c r="B326" s="21">
        <f>fact_kpi_weekly!B326</f>
        <v>46145</v>
      </c>
      <c r="C326" s="9" t="str">
        <f>fact_kpi_weekly!C326</f>
        <v>Growth</v>
      </c>
      <c r="D326" s="9" t="str">
        <f>fact_kpi_weekly!D326</f>
        <v>New Marketable Patients - Same Store</v>
      </c>
      <c r="E326" s="9" t="str">
        <f>fact_kpi_weekly!E326</f>
        <v>Forecast</v>
      </c>
      <c r="F326" s="9" t="str">
        <f>IF(fact_kpi_weekly!F326="","",fact_kpi_weekly!F326)</f>
        <v/>
      </c>
      <c r="G326" s="9" t="str">
        <f>fact_kpi_weekly!G326</f>
        <v>Same Store</v>
      </c>
      <c r="H326" s="9" t="str">
        <f>fact_kpi_weekly!H326</f>
        <v>Sheila</v>
      </c>
      <c r="I326" s="9">
        <f>fact_kpi_weekly!I326</f>
        <v>1200</v>
      </c>
      <c r="J326" s="22">
        <f>fact_kpi_weekly!J326</f>
        <v>1200</v>
      </c>
      <c r="K326" s="20" t="str">
        <f t="array" ref="K326">IFERROR(INDEX(dim_date!H:H,MATCH(A326,dim_date!A:A,0)),"")</f>
        <v>May</v>
      </c>
      <c r="L326" s="20" t="str">
        <f t="array" ref="L326">IFERROR(INDEX(dim_date!G:G,MATCH(A326,dim_date!A:A,0)),"")</f>
        <v>05</v>
      </c>
      <c r="M326" s="9" t="str">
        <f t="array" ref="M326">IFERROR(INDEX(dim_date!I:I,MATCH(A326,dim_date!A:A,0)),"")</f>
        <v>Q2</v>
      </c>
      <c r="N326" s="20" t="str">
        <f t="array" ref="N326">IFERROR(INDEX(dim_date!K:K,MATCH(A326,dim_date!A:A,0)),"")</f>
        <v>19</v>
      </c>
      <c r="O326" s="9" t="str">
        <f t="array" ref="O326">IFERROR(INDEX(dim_date!F:F,MATCH(A326,dim_date!A:A,0)),"")</f>
        <v>5/3-5/9</v>
      </c>
      <c r="P326" s="9" t="str">
        <f t="array" ref="P326">IFERROR(INDEX(dim_kpi!E:E,MATCH(D326,dim_kpi!C:C,0)),"")</f>
        <v>count</v>
      </c>
      <c r="Q326" s="9" t="str">
        <f t="array" ref="Q326">IFERROR(INDEX(dim_kpi!F:F,MATCH(D326,dim_kpi!C:C,0)),"")</f>
        <v>N</v>
      </c>
    </row>
    <row r="327" ht="12.75" customHeight="1">
      <c r="A327" s="20" t="str">
        <f>fact_kpi_weekly!A327</f>
        <v>260510</v>
      </c>
      <c r="B327" s="21">
        <f>fact_kpi_weekly!B327</f>
        <v>46152</v>
      </c>
      <c r="C327" s="9" t="str">
        <f>fact_kpi_weekly!C327</f>
        <v>Growth</v>
      </c>
      <c r="D327" s="9" t="str">
        <f>fact_kpi_weekly!D327</f>
        <v>New Marketable Patients - Same Store</v>
      </c>
      <c r="E327" s="9" t="str">
        <f>fact_kpi_weekly!E327</f>
        <v>Forecast</v>
      </c>
      <c r="F327" s="9" t="str">
        <f>IF(fact_kpi_weekly!F327="","",fact_kpi_weekly!F327)</f>
        <v/>
      </c>
      <c r="G327" s="9" t="str">
        <f>fact_kpi_weekly!G327</f>
        <v>Same Store</v>
      </c>
      <c r="H327" s="9" t="str">
        <f>fact_kpi_weekly!H327</f>
        <v>Sheila</v>
      </c>
      <c r="I327" s="9">
        <f>fact_kpi_weekly!I327</f>
        <v>1200</v>
      </c>
      <c r="J327" s="22">
        <f>fact_kpi_weekly!J327</f>
        <v>1200</v>
      </c>
      <c r="K327" s="20" t="str">
        <f t="array" ref="K327">IFERROR(INDEX(dim_date!H:H,MATCH(A327,dim_date!A:A,0)),"")</f>
        <v>May</v>
      </c>
      <c r="L327" s="20" t="str">
        <f t="array" ref="L327">IFERROR(INDEX(dim_date!G:G,MATCH(A327,dim_date!A:A,0)),"")</f>
        <v>05</v>
      </c>
      <c r="M327" s="9" t="str">
        <f t="array" ref="M327">IFERROR(INDEX(dim_date!I:I,MATCH(A327,dim_date!A:A,0)),"")</f>
        <v>Q2</v>
      </c>
      <c r="N327" s="20" t="str">
        <f t="array" ref="N327">IFERROR(INDEX(dim_date!K:K,MATCH(A327,dim_date!A:A,0)),"")</f>
        <v>20</v>
      </c>
      <c r="O327" s="9" t="str">
        <f t="array" ref="O327">IFERROR(INDEX(dim_date!F:F,MATCH(A327,dim_date!A:A,0)),"")</f>
        <v>5/10-5/16</v>
      </c>
      <c r="P327" s="9" t="str">
        <f t="array" ref="P327">IFERROR(INDEX(dim_kpi!E:E,MATCH(D327,dim_kpi!C:C,0)),"")</f>
        <v>count</v>
      </c>
      <c r="Q327" s="9" t="str">
        <f t="array" ref="Q327">IFERROR(INDEX(dim_kpi!F:F,MATCH(D327,dim_kpi!C:C,0)),"")</f>
        <v>N</v>
      </c>
    </row>
    <row r="328" ht="12.75" customHeight="1">
      <c r="A328" s="20" t="str">
        <f>fact_kpi_weekly!A328</f>
        <v>260517</v>
      </c>
      <c r="B328" s="21">
        <f>fact_kpi_weekly!B328</f>
        <v>46159</v>
      </c>
      <c r="C328" s="9" t="str">
        <f>fact_kpi_weekly!C328</f>
        <v>Growth</v>
      </c>
      <c r="D328" s="9" t="str">
        <f>fact_kpi_weekly!D328</f>
        <v>New Marketable Patients - Same Store</v>
      </c>
      <c r="E328" s="9" t="str">
        <f>fact_kpi_weekly!E328</f>
        <v>Forecast</v>
      </c>
      <c r="F328" s="9" t="str">
        <f>IF(fact_kpi_weekly!F328="","",fact_kpi_weekly!F328)</f>
        <v/>
      </c>
      <c r="G328" s="9" t="str">
        <f>fact_kpi_weekly!G328</f>
        <v>Same Store</v>
      </c>
      <c r="H328" s="9" t="str">
        <f>fact_kpi_weekly!H328</f>
        <v>Sheila</v>
      </c>
      <c r="I328" s="9">
        <f>fact_kpi_weekly!I328</f>
        <v>1200</v>
      </c>
      <c r="J328" s="22">
        <f>fact_kpi_weekly!J328</f>
        <v>1200</v>
      </c>
      <c r="K328" s="20" t="str">
        <f t="array" ref="K328">IFERROR(INDEX(dim_date!H:H,MATCH(A328,dim_date!A:A,0)),"")</f>
        <v>May</v>
      </c>
      <c r="L328" s="20" t="str">
        <f t="array" ref="L328">IFERROR(INDEX(dim_date!G:G,MATCH(A328,dim_date!A:A,0)),"")</f>
        <v>05</v>
      </c>
      <c r="M328" s="9" t="str">
        <f t="array" ref="M328">IFERROR(INDEX(dim_date!I:I,MATCH(A328,dim_date!A:A,0)),"")</f>
        <v>Q2</v>
      </c>
      <c r="N328" s="20" t="str">
        <f t="array" ref="N328">IFERROR(INDEX(dim_date!K:K,MATCH(A328,dim_date!A:A,0)),"")</f>
        <v>21</v>
      </c>
      <c r="O328" s="9" t="str">
        <f t="array" ref="O328">IFERROR(INDEX(dim_date!F:F,MATCH(A328,dim_date!A:A,0)),"")</f>
        <v>5/17-5/23</v>
      </c>
      <c r="P328" s="9" t="str">
        <f t="array" ref="P328">IFERROR(INDEX(dim_kpi!E:E,MATCH(D328,dim_kpi!C:C,0)),"")</f>
        <v>count</v>
      </c>
      <c r="Q328" s="9" t="str">
        <f t="array" ref="Q328">IFERROR(INDEX(dim_kpi!F:F,MATCH(D328,dim_kpi!C:C,0)),"")</f>
        <v>N</v>
      </c>
    </row>
    <row r="329" ht="12.75" customHeight="1">
      <c r="A329" s="20" t="str">
        <f>fact_kpi_weekly!A329</f>
        <v>260524</v>
      </c>
      <c r="B329" s="21">
        <f>fact_kpi_weekly!B329</f>
        <v>46166</v>
      </c>
      <c r="C329" s="9" t="str">
        <f>fact_kpi_weekly!C329</f>
        <v>Growth</v>
      </c>
      <c r="D329" s="9" t="str">
        <f>fact_kpi_weekly!D329</f>
        <v>New Marketable Patients - Same Store</v>
      </c>
      <c r="E329" s="9" t="str">
        <f>fact_kpi_weekly!E329</f>
        <v>Forecast</v>
      </c>
      <c r="F329" s="9" t="str">
        <f>IF(fact_kpi_weekly!F329="","",fact_kpi_weekly!F329)</f>
        <v/>
      </c>
      <c r="G329" s="9" t="str">
        <f>fact_kpi_weekly!G329</f>
        <v>Same Store</v>
      </c>
      <c r="H329" s="9" t="str">
        <f>fact_kpi_weekly!H329</f>
        <v>Sheila</v>
      </c>
      <c r="I329" s="9">
        <f>fact_kpi_weekly!I329</f>
        <v>1200</v>
      </c>
      <c r="J329" s="22">
        <f>fact_kpi_weekly!J329</f>
        <v>1200</v>
      </c>
      <c r="K329" s="20" t="str">
        <f t="array" ref="K329">IFERROR(INDEX(dim_date!H:H,MATCH(A329,dim_date!A:A,0)),"")</f>
        <v>May</v>
      </c>
      <c r="L329" s="20" t="str">
        <f t="array" ref="L329">IFERROR(INDEX(dim_date!G:G,MATCH(A329,dim_date!A:A,0)),"")</f>
        <v>05</v>
      </c>
      <c r="M329" s="9" t="str">
        <f t="array" ref="M329">IFERROR(INDEX(dim_date!I:I,MATCH(A329,dim_date!A:A,0)),"")</f>
        <v>Q2</v>
      </c>
      <c r="N329" s="20" t="str">
        <f t="array" ref="N329">IFERROR(INDEX(dim_date!K:K,MATCH(A329,dim_date!A:A,0)),"")</f>
        <v>22</v>
      </c>
      <c r="O329" s="9" t="str">
        <f t="array" ref="O329">IFERROR(INDEX(dim_date!F:F,MATCH(A329,dim_date!A:A,0)),"")</f>
        <v>5/24-5/30</v>
      </c>
      <c r="P329" s="9" t="str">
        <f t="array" ref="P329">IFERROR(INDEX(dim_kpi!E:E,MATCH(D329,dim_kpi!C:C,0)),"")</f>
        <v>count</v>
      </c>
      <c r="Q329" s="9" t="str">
        <f t="array" ref="Q329">IFERROR(INDEX(dim_kpi!F:F,MATCH(D329,dim_kpi!C:C,0)),"")</f>
        <v>N</v>
      </c>
    </row>
    <row r="330" ht="12.75" customHeight="1">
      <c r="A330" s="20" t="str">
        <f>fact_kpi_weekly!A330</f>
        <v>260601</v>
      </c>
      <c r="B330" s="21">
        <f>fact_kpi_weekly!B330</f>
        <v>46174</v>
      </c>
      <c r="C330" s="9" t="str">
        <f>fact_kpi_weekly!C330</f>
        <v>Growth</v>
      </c>
      <c r="D330" s="9" t="str">
        <f>fact_kpi_weekly!D330</f>
        <v>New Marketable Patients - Same Store</v>
      </c>
      <c r="E330" s="9" t="str">
        <f>fact_kpi_weekly!E330</f>
        <v>Forecast</v>
      </c>
      <c r="F330" s="9" t="str">
        <f>IF(fact_kpi_weekly!F330="","",fact_kpi_weekly!F330)</f>
        <v/>
      </c>
      <c r="G330" s="9" t="str">
        <f>fact_kpi_weekly!G330</f>
        <v>Same Store</v>
      </c>
      <c r="H330" s="9" t="str">
        <f>fact_kpi_weekly!H330</f>
        <v>Sheila</v>
      </c>
      <c r="I330" s="9">
        <f>fact_kpi_weekly!I330</f>
        <v>1200</v>
      </c>
      <c r="J330" s="22">
        <f>fact_kpi_weekly!J330</f>
        <v>1200</v>
      </c>
      <c r="K330" s="20" t="str">
        <f t="array" ref="K330">IFERROR(INDEX(dim_date!H:H,MATCH(A330,dim_date!A:A,0)),"")</f>
        <v>Jun</v>
      </c>
      <c r="L330" s="20" t="str">
        <f t="array" ref="L330">IFERROR(INDEX(dim_date!G:G,MATCH(A330,dim_date!A:A,0)),"")</f>
        <v>06</v>
      </c>
      <c r="M330" s="9" t="str">
        <f t="array" ref="M330">IFERROR(INDEX(dim_date!I:I,MATCH(A330,dim_date!A:A,0)),"")</f>
        <v>Q2</v>
      </c>
      <c r="N330" s="20" t="str">
        <f t="array" ref="N330">IFERROR(INDEX(dim_date!K:K,MATCH(A330,dim_date!A:A,0)),"")</f>
        <v>23</v>
      </c>
      <c r="O330" s="9" t="str">
        <f t="array" ref="O330">IFERROR(INDEX(dim_date!F:F,MATCH(A330,dim_date!A:A,0)),"")</f>
        <v>5/31-6/6</v>
      </c>
      <c r="P330" s="9" t="str">
        <f t="array" ref="P330">IFERROR(INDEX(dim_kpi!E:E,MATCH(D330,dim_kpi!C:C,0)),"")</f>
        <v>count</v>
      </c>
      <c r="Q330" s="9" t="str">
        <f t="array" ref="Q330">IFERROR(INDEX(dim_kpi!F:F,MATCH(D330,dim_kpi!C:C,0)),"")</f>
        <v>N</v>
      </c>
    </row>
    <row r="331" ht="12.75" customHeight="1">
      <c r="A331" s="20" t="str">
        <f>fact_kpi_weekly!A331</f>
        <v>260607</v>
      </c>
      <c r="B331" s="21">
        <f>fact_kpi_weekly!B331</f>
        <v>46180</v>
      </c>
      <c r="C331" s="9" t="str">
        <f>fact_kpi_weekly!C331</f>
        <v>Growth</v>
      </c>
      <c r="D331" s="9" t="str">
        <f>fact_kpi_weekly!D331</f>
        <v>New Marketable Patients - Same Store</v>
      </c>
      <c r="E331" s="9" t="str">
        <f>fact_kpi_weekly!E331</f>
        <v>Forecast</v>
      </c>
      <c r="F331" s="9" t="str">
        <f>IF(fact_kpi_weekly!F331="","",fact_kpi_weekly!F331)</f>
        <v/>
      </c>
      <c r="G331" s="9" t="str">
        <f>fact_kpi_weekly!G331</f>
        <v>Same Store</v>
      </c>
      <c r="H331" s="9" t="str">
        <f>fact_kpi_weekly!H331</f>
        <v>Sheila</v>
      </c>
      <c r="I331" s="9">
        <f>fact_kpi_weekly!I331</f>
        <v>1200</v>
      </c>
      <c r="J331" s="22">
        <f>fact_kpi_weekly!J331</f>
        <v>1200</v>
      </c>
      <c r="K331" s="20" t="str">
        <f t="array" ref="K331">IFERROR(INDEX(dim_date!H:H,MATCH(A331,dim_date!A:A,0)),"")</f>
        <v>Jun</v>
      </c>
      <c r="L331" s="20" t="str">
        <f t="array" ref="L331">IFERROR(INDEX(dim_date!G:G,MATCH(A331,dim_date!A:A,0)),"")</f>
        <v>06</v>
      </c>
      <c r="M331" s="9" t="str">
        <f t="array" ref="M331">IFERROR(INDEX(dim_date!I:I,MATCH(A331,dim_date!A:A,0)),"")</f>
        <v>Q2</v>
      </c>
      <c r="N331" s="20" t="str">
        <f t="array" ref="N331">IFERROR(INDEX(dim_date!K:K,MATCH(A331,dim_date!A:A,0)),"")</f>
        <v>24</v>
      </c>
      <c r="O331" s="9" t="str">
        <f t="array" ref="O331">IFERROR(INDEX(dim_date!F:F,MATCH(A331,dim_date!A:A,0)),"")</f>
        <v>6/7-6/13</v>
      </c>
      <c r="P331" s="9" t="str">
        <f t="array" ref="P331">IFERROR(INDEX(dim_kpi!E:E,MATCH(D331,dim_kpi!C:C,0)),"")</f>
        <v>count</v>
      </c>
      <c r="Q331" s="9" t="str">
        <f t="array" ref="Q331">IFERROR(INDEX(dim_kpi!F:F,MATCH(D331,dim_kpi!C:C,0)),"")</f>
        <v>N</v>
      </c>
    </row>
    <row r="332" ht="12.75" customHeight="1">
      <c r="A332" s="20" t="str">
        <f>fact_kpi_weekly!A332</f>
        <v>260614</v>
      </c>
      <c r="B332" s="21">
        <f>fact_kpi_weekly!B332</f>
        <v>46187</v>
      </c>
      <c r="C332" s="9" t="str">
        <f>fact_kpi_weekly!C332</f>
        <v>Growth</v>
      </c>
      <c r="D332" s="9" t="str">
        <f>fact_kpi_weekly!D332</f>
        <v>New Marketable Patients - Same Store</v>
      </c>
      <c r="E332" s="9" t="str">
        <f>fact_kpi_weekly!E332</f>
        <v>Forecast</v>
      </c>
      <c r="F332" s="9" t="str">
        <f>IF(fact_kpi_weekly!F332="","",fact_kpi_weekly!F332)</f>
        <v/>
      </c>
      <c r="G332" s="9" t="str">
        <f>fact_kpi_weekly!G332</f>
        <v>Same Store</v>
      </c>
      <c r="H332" s="9" t="str">
        <f>fact_kpi_weekly!H332</f>
        <v>Sheila</v>
      </c>
      <c r="I332" s="9">
        <f>fact_kpi_weekly!I332</f>
        <v>1200</v>
      </c>
      <c r="J332" s="22">
        <f>fact_kpi_weekly!J332</f>
        <v>1200</v>
      </c>
      <c r="K332" s="20" t="str">
        <f t="array" ref="K332">IFERROR(INDEX(dim_date!H:H,MATCH(A332,dim_date!A:A,0)),"")</f>
        <v>Jun</v>
      </c>
      <c r="L332" s="20" t="str">
        <f t="array" ref="L332">IFERROR(INDEX(dim_date!G:G,MATCH(A332,dim_date!A:A,0)),"")</f>
        <v>06</v>
      </c>
      <c r="M332" s="9" t="str">
        <f t="array" ref="M332">IFERROR(INDEX(dim_date!I:I,MATCH(A332,dim_date!A:A,0)),"")</f>
        <v>Q2</v>
      </c>
      <c r="N332" s="20" t="str">
        <f t="array" ref="N332">IFERROR(INDEX(dim_date!K:K,MATCH(A332,dim_date!A:A,0)),"")</f>
        <v>25</v>
      </c>
      <c r="O332" s="9" t="str">
        <f t="array" ref="O332">IFERROR(INDEX(dim_date!F:F,MATCH(A332,dim_date!A:A,0)),"")</f>
        <v>6/14-6/20</v>
      </c>
      <c r="P332" s="9" t="str">
        <f t="array" ref="P332">IFERROR(INDEX(dim_kpi!E:E,MATCH(D332,dim_kpi!C:C,0)),"")</f>
        <v>count</v>
      </c>
      <c r="Q332" s="9" t="str">
        <f t="array" ref="Q332">IFERROR(INDEX(dim_kpi!F:F,MATCH(D332,dim_kpi!C:C,0)),"")</f>
        <v>N</v>
      </c>
    </row>
    <row r="333" ht="12.75" customHeight="1">
      <c r="A333" s="20" t="str">
        <f>fact_kpi_weekly!A333</f>
        <v>260621</v>
      </c>
      <c r="B333" s="21">
        <f>fact_kpi_weekly!B333</f>
        <v>46194</v>
      </c>
      <c r="C333" s="9" t="str">
        <f>fact_kpi_weekly!C333</f>
        <v>Growth</v>
      </c>
      <c r="D333" s="9" t="str">
        <f>fact_kpi_weekly!D333</f>
        <v>New Marketable Patients - Same Store</v>
      </c>
      <c r="E333" s="9" t="str">
        <f>fact_kpi_weekly!E333</f>
        <v>Forecast</v>
      </c>
      <c r="F333" s="9" t="str">
        <f>IF(fact_kpi_weekly!F333="","",fact_kpi_weekly!F333)</f>
        <v/>
      </c>
      <c r="G333" s="9" t="str">
        <f>fact_kpi_weekly!G333</f>
        <v>Same Store</v>
      </c>
      <c r="H333" s="9" t="str">
        <f>fact_kpi_weekly!H333</f>
        <v>Sheila</v>
      </c>
      <c r="I333" s="9">
        <f>fact_kpi_weekly!I333</f>
        <v>1200</v>
      </c>
      <c r="J333" s="22">
        <f>fact_kpi_weekly!J333</f>
        <v>1200</v>
      </c>
      <c r="K333" s="20" t="str">
        <f t="array" ref="K333">IFERROR(INDEX(dim_date!H:H,MATCH(A333,dim_date!A:A,0)),"")</f>
        <v>Jun</v>
      </c>
      <c r="L333" s="20" t="str">
        <f t="array" ref="L333">IFERROR(INDEX(dim_date!G:G,MATCH(A333,dim_date!A:A,0)),"")</f>
        <v>06</v>
      </c>
      <c r="M333" s="9" t="str">
        <f t="array" ref="M333">IFERROR(INDEX(dim_date!I:I,MATCH(A333,dim_date!A:A,0)),"")</f>
        <v>Q2</v>
      </c>
      <c r="N333" s="20" t="str">
        <f t="array" ref="N333">IFERROR(INDEX(dim_date!K:K,MATCH(A333,dim_date!A:A,0)),"")</f>
        <v>26</v>
      </c>
      <c r="O333" s="9" t="str">
        <f t="array" ref="O333">IFERROR(INDEX(dim_date!F:F,MATCH(A333,dim_date!A:A,0)),"")</f>
        <v>6/21-6/27</v>
      </c>
      <c r="P333" s="9" t="str">
        <f t="array" ref="P333">IFERROR(INDEX(dim_kpi!E:E,MATCH(D333,dim_kpi!C:C,0)),"")</f>
        <v>count</v>
      </c>
      <c r="Q333" s="9" t="str">
        <f t="array" ref="Q333">IFERROR(INDEX(dim_kpi!F:F,MATCH(D333,dim_kpi!C:C,0)),"")</f>
        <v>N</v>
      </c>
    </row>
    <row r="334" ht="12.75" customHeight="1">
      <c r="A334" s="20" t="str">
        <f>fact_kpi_weekly!A334</f>
        <v>260628</v>
      </c>
      <c r="B334" s="21">
        <f>fact_kpi_weekly!B334</f>
        <v>46201</v>
      </c>
      <c r="C334" s="9" t="str">
        <f>fact_kpi_weekly!C334</f>
        <v>Growth</v>
      </c>
      <c r="D334" s="9" t="str">
        <f>fact_kpi_weekly!D334</f>
        <v>New Marketable Patients - Same Store</v>
      </c>
      <c r="E334" s="9" t="str">
        <f>fact_kpi_weekly!E334</f>
        <v>Forecast</v>
      </c>
      <c r="F334" s="9" t="str">
        <f>IF(fact_kpi_weekly!F334="","",fact_kpi_weekly!F334)</f>
        <v/>
      </c>
      <c r="G334" s="9" t="str">
        <f>fact_kpi_weekly!G334</f>
        <v>Same Store</v>
      </c>
      <c r="H334" s="9" t="str">
        <f>fact_kpi_weekly!H334</f>
        <v>Sheila</v>
      </c>
      <c r="I334" s="9">
        <f>fact_kpi_weekly!I334</f>
        <v>1400</v>
      </c>
      <c r="J334" s="22">
        <f>fact_kpi_weekly!J334</f>
        <v>1400</v>
      </c>
      <c r="K334" s="20" t="str">
        <f t="array" ref="K334">IFERROR(INDEX(dim_date!H:H,MATCH(A334,dim_date!A:A,0)),"")</f>
        <v>Jun</v>
      </c>
      <c r="L334" s="20" t="str">
        <f t="array" ref="L334">IFERROR(INDEX(dim_date!G:G,MATCH(A334,dim_date!A:A,0)),"")</f>
        <v>06</v>
      </c>
      <c r="M334" s="9" t="str">
        <f t="array" ref="M334">IFERROR(INDEX(dim_date!I:I,MATCH(A334,dim_date!A:A,0)),"")</f>
        <v>Q2</v>
      </c>
      <c r="N334" s="20" t="str">
        <f t="array" ref="N334">IFERROR(INDEX(dim_date!K:K,MATCH(A334,dim_date!A:A,0)),"")</f>
        <v>27</v>
      </c>
      <c r="O334" s="9" t="str">
        <f t="array" ref="O334">IFERROR(INDEX(dim_date!F:F,MATCH(A334,dim_date!A:A,0)),"")</f>
        <v>6/28-7/4</v>
      </c>
      <c r="P334" s="9" t="str">
        <f t="array" ref="P334">IFERROR(INDEX(dim_kpi!E:E,MATCH(D334,dim_kpi!C:C,0)),"")</f>
        <v>count</v>
      </c>
      <c r="Q334" s="9" t="str">
        <f t="array" ref="Q334">IFERROR(INDEX(dim_kpi!F:F,MATCH(D334,dim_kpi!C:C,0)),"")</f>
        <v>N</v>
      </c>
    </row>
    <row r="335" ht="12.75" customHeight="1">
      <c r="A335" s="20" t="str">
        <f>fact_kpi_weekly!A335</f>
        <v>260705</v>
      </c>
      <c r="B335" s="21">
        <f>fact_kpi_weekly!B335</f>
        <v>46208</v>
      </c>
      <c r="C335" s="9" t="str">
        <f>fact_kpi_weekly!C335</f>
        <v>Growth</v>
      </c>
      <c r="D335" s="9" t="str">
        <f>fact_kpi_weekly!D335</f>
        <v>New Marketable Patients - Same Store</v>
      </c>
      <c r="E335" s="9" t="str">
        <f>fact_kpi_weekly!E335</f>
        <v>Forecast</v>
      </c>
      <c r="F335" s="9" t="str">
        <f>IF(fact_kpi_weekly!F335="","",fact_kpi_weekly!F335)</f>
        <v/>
      </c>
      <c r="G335" s="9" t="str">
        <f>fact_kpi_weekly!G335</f>
        <v>Same Store</v>
      </c>
      <c r="H335" s="9" t="str">
        <f>fact_kpi_weekly!H335</f>
        <v>Sheila</v>
      </c>
      <c r="I335" s="9">
        <f>fact_kpi_weekly!I335</f>
        <v>1400</v>
      </c>
      <c r="J335" s="22">
        <f>fact_kpi_weekly!J335</f>
        <v>1400</v>
      </c>
      <c r="K335" s="20" t="str">
        <f t="array" ref="K335">IFERROR(INDEX(dim_date!H:H,MATCH(A335,dim_date!A:A,0)),"")</f>
        <v>Jul</v>
      </c>
      <c r="L335" s="20" t="str">
        <f t="array" ref="L335">IFERROR(INDEX(dim_date!G:G,MATCH(A335,dim_date!A:A,0)),"")</f>
        <v>07</v>
      </c>
      <c r="M335" s="9" t="str">
        <f t="array" ref="M335">IFERROR(INDEX(dim_date!I:I,MATCH(A335,dim_date!A:A,0)),"")</f>
        <v>Q3</v>
      </c>
      <c r="N335" s="20" t="str">
        <f t="array" ref="N335">IFERROR(INDEX(dim_date!K:K,MATCH(A335,dim_date!A:A,0)),"")</f>
        <v>28</v>
      </c>
      <c r="O335" s="9" t="str">
        <f t="array" ref="O335">IFERROR(INDEX(dim_date!F:F,MATCH(A335,dim_date!A:A,0)),"")</f>
        <v>7/5-7/11</v>
      </c>
      <c r="P335" s="9" t="str">
        <f t="array" ref="P335">IFERROR(INDEX(dim_kpi!E:E,MATCH(D335,dim_kpi!C:C,0)),"")</f>
        <v>count</v>
      </c>
      <c r="Q335" s="9" t="str">
        <f t="array" ref="Q335">IFERROR(INDEX(dim_kpi!F:F,MATCH(D335,dim_kpi!C:C,0)),"")</f>
        <v>N</v>
      </c>
    </row>
    <row r="336" ht="12.75" customHeight="1">
      <c r="A336" s="20" t="str">
        <f>fact_kpi_weekly!A336</f>
        <v>260712</v>
      </c>
      <c r="B336" s="21">
        <f>fact_kpi_weekly!B336</f>
        <v>46215</v>
      </c>
      <c r="C336" s="9" t="str">
        <f>fact_kpi_weekly!C336</f>
        <v>Growth</v>
      </c>
      <c r="D336" s="9" t="str">
        <f>fact_kpi_weekly!D336</f>
        <v>New Marketable Patients - Same Store</v>
      </c>
      <c r="E336" s="9" t="str">
        <f>fact_kpi_weekly!E336</f>
        <v>Forecast</v>
      </c>
      <c r="F336" s="9" t="str">
        <f>IF(fact_kpi_weekly!F336="","",fact_kpi_weekly!F336)</f>
        <v/>
      </c>
      <c r="G336" s="9" t="str">
        <f>fact_kpi_weekly!G336</f>
        <v>Same Store</v>
      </c>
      <c r="H336" s="9" t="str">
        <f>fact_kpi_weekly!H336</f>
        <v>Sheila</v>
      </c>
      <c r="I336" s="9">
        <f>fact_kpi_weekly!I336</f>
        <v>1400</v>
      </c>
      <c r="J336" s="22">
        <f>fact_kpi_weekly!J336</f>
        <v>1400</v>
      </c>
      <c r="K336" s="20" t="str">
        <f t="array" ref="K336">IFERROR(INDEX(dim_date!H:H,MATCH(A336,dim_date!A:A,0)),"")</f>
        <v>Jul</v>
      </c>
      <c r="L336" s="20" t="str">
        <f t="array" ref="L336">IFERROR(INDEX(dim_date!G:G,MATCH(A336,dim_date!A:A,0)),"")</f>
        <v>07</v>
      </c>
      <c r="M336" s="9" t="str">
        <f t="array" ref="M336">IFERROR(INDEX(dim_date!I:I,MATCH(A336,dim_date!A:A,0)),"")</f>
        <v>Q3</v>
      </c>
      <c r="N336" s="20" t="str">
        <f t="array" ref="N336">IFERROR(INDEX(dim_date!K:K,MATCH(A336,dim_date!A:A,0)),"")</f>
        <v>29</v>
      </c>
      <c r="O336" s="9" t="str">
        <f t="array" ref="O336">IFERROR(INDEX(dim_date!F:F,MATCH(A336,dim_date!A:A,0)),"")</f>
        <v>7/12-7/18</v>
      </c>
      <c r="P336" s="9" t="str">
        <f t="array" ref="P336">IFERROR(INDEX(dim_kpi!E:E,MATCH(D336,dim_kpi!C:C,0)),"")</f>
        <v>count</v>
      </c>
      <c r="Q336" s="9" t="str">
        <f t="array" ref="Q336">IFERROR(INDEX(dim_kpi!F:F,MATCH(D336,dim_kpi!C:C,0)),"")</f>
        <v>N</v>
      </c>
    </row>
    <row r="337" ht="12.75" customHeight="1">
      <c r="A337" s="20" t="str">
        <f>fact_kpi_weekly!A337</f>
        <v>260719</v>
      </c>
      <c r="B337" s="21">
        <f>fact_kpi_weekly!B337</f>
        <v>46222</v>
      </c>
      <c r="C337" s="9" t="str">
        <f>fact_kpi_weekly!C337</f>
        <v>Growth</v>
      </c>
      <c r="D337" s="9" t="str">
        <f>fact_kpi_weekly!D337</f>
        <v>New Marketable Patients - Same Store</v>
      </c>
      <c r="E337" s="9" t="str">
        <f>fact_kpi_weekly!E337</f>
        <v>Forecast</v>
      </c>
      <c r="F337" s="9" t="str">
        <f>IF(fact_kpi_weekly!F337="","",fact_kpi_weekly!F337)</f>
        <v/>
      </c>
      <c r="G337" s="9" t="str">
        <f>fact_kpi_weekly!G337</f>
        <v>Same Store</v>
      </c>
      <c r="H337" s="9" t="str">
        <f>fact_kpi_weekly!H337</f>
        <v>Sheila</v>
      </c>
      <c r="I337" s="9">
        <f>fact_kpi_weekly!I337</f>
        <v>1400</v>
      </c>
      <c r="J337" s="22">
        <f>fact_kpi_weekly!J337</f>
        <v>1400</v>
      </c>
      <c r="K337" s="20" t="str">
        <f t="array" ref="K337">IFERROR(INDEX(dim_date!H:H,MATCH(A337,dim_date!A:A,0)),"")</f>
        <v>Jul</v>
      </c>
      <c r="L337" s="20" t="str">
        <f t="array" ref="L337">IFERROR(INDEX(dim_date!G:G,MATCH(A337,dim_date!A:A,0)),"")</f>
        <v>07</v>
      </c>
      <c r="M337" s="9" t="str">
        <f t="array" ref="M337">IFERROR(INDEX(dim_date!I:I,MATCH(A337,dim_date!A:A,0)),"")</f>
        <v>Q3</v>
      </c>
      <c r="N337" s="20" t="str">
        <f t="array" ref="N337">IFERROR(INDEX(dim_date!K:K,MATCH(A337,dim_date!A:A,0)),"")</f>
        <v>30</v>
      </c>
      <c r="O337" s="9" t="str">
        <f t="array" ref="O337">IFERROR(INDEX(dim_date!F:F,MATCH(A337,dim_date!A:A,0)),"")</f>
        <v>7/19-7/25</v>
      </c>
      <c r="P337" s="9" t="str">
        <f t="array" ref="P337">IFERROR(INDEX(dim_kpi!E:E,MATCH(D337,dim_kpi!C:C,0)),"")</f>
        <v>count</v>
      </c>
      <c r="Q337" s="9" t="str">
        <f t="array" ref="Q337">IFERROR(INDEX(dim_kpi!F:F,MATCH(D337,dim_kpi!C:C,0)),"")</f>
        <v>N</v>
      </c>
    </row>
    <row r="338" ht="12.75" customHeight="1">
      <c r="A338" s="20" t="str">
        <f>fact_kpi_weekly!A338</f>
        <v>260726</v>
      </c>
      <c r="B338" s="21">
        <f>fact_kpi_weekly!B338</f>
        <v>46229</v>
      </c>
      <c r="C338" s="9" t="str">
        <f>fact_kpi_weekly!C338</f>
        <v>Growth</v>
      </c>
      <c r="D338" s="9" t="str">
        <f>fact_kpi_weekly!D338</f>
        <v>New Marketable Patients - Same Store</v>
      </c>
      <c r="E338" s="9" t="str">
        <f>fact_kpi_weekly!E338</f>
        <v>Forecast</v>
      </c>
      <c r="F338" s="9" t="str">
        <f>IF(fact_kpi_weekly!F338="","",fact_kpi_weekly!F338)</f>
        <v/>
      </c>
      <c r="G338" s="9" t="str">
        <f>fact_kpi_weekly!G338</f>
        <v>Same Store</v>
      </c>
      <c r="H338" s="9" t="str">
        <f>fact_kpi_weekly!H338</f>
        <v>Sheila</v>
      </c>
      <c r="I338" s="9">
        <f>fact_kpi_weekly!I338</f>
        <v>1400</v>
      </c>
      <c r="J338" s="22">
        <f>fact_kpi_weekly!J338</f>
        <v>1400</v>
      </c>
      <c r="K338" s="20" t="str">
        <f t="array" ref="K338">IFERROR(INDEX(dim_date!H:H,MATCH(A338,dim_date!A:A,0)),"")</f>
        <v>Jul</v>
      </c>
      <c r="L338" s="20" t="str">
        <f t="array" ref="L338">IFERROR(INDEX(dim_date!G:G,MATCH(A338,dim_date!A:A,0)),"")</f>
        <v>07</v>
      </c>
      <c r="M338" s="9" t="str">
        <f t="array" ref="M338">IFERROR(INDEX(dim_date!I:I,MATCH(A338,dim_date!A:A,0)),"")</f>
        <v>Q3</v>
      </c>
      <c r="N338" s="20" t="str">
        <f t="array" ref="N338">IFERROR(INDEX(dim_date!K:K,MATCH(A338,dim_date!A:A,0)),"")</f>
        <v>31</v>
      </c>
      <c r="O338" s="9" t="str">
        <f t="array" ref="O338">IFERROR(INDEX(dim_date!F:F,MATCH(A338,dim_date!A:A,0)),"")</f>
        <v>7/26-8/1</v>
      </c>
      <c r="P338" s="9" t="str">
        <f t="array" ref="P338">IFERROR(INDEX(dim_kpi!E:E,MATCH(D338,dim_kpi!C:C,0)),"")</f>
        <v>count</v>
      </c>
      <c r="Q338" s="9" t="str">
        <f t="array" ref="Q338">IFERROR(INDEX(dim_kpi!F:F,MATCH(D338,dim_kpi!C:C,0)),"")</f>
        <v>N</v>
      </c>
    </row>
    <row r="339" ht="12.75" customHeight="1">
      <c r="A339" s="20" t="str">
        <f>fact_kpi_weekly!A339</f>
        <v>260802</v>
      </c>
      <c r="B339" s="21">
        <f>fact_kpi_weekly!B339</f>
        <v>46236</v>
      </c>
      <c r="C339" s="9" t="str">
        <f>fact_kpi_weekly!C339</f>
        <v>Growth</v>
      </c>
      <c r="D339" s="9" t="str">
        <f>fact_kpi_weekly!D339</f>
        <v>New Marketable Patients - Same Store</v>
      </c>
      <c r="E339" s="9" t="str">
        <f>fact_kpi_weekly!E339</f>
        <v>Forecast</v>
      </c>
      <c r="F339" s="9" t="str">
        <f>IF(fact_kpi_weekly!F339="","",fact_kpi_weekly!F339)</f>
        <v/>
      </c>
      <c r="G339" s="9" t="str">
        <f>fact_kpi_weekly!G339</f>
        <v>Same Store</v>
      </c>
      <c r="H339" s="9" t="str">
        <f>fact_kpi_weekly!H339</f>
        <v>Sheila</v>
      </c>
      <c r="I339" s="9">
        <f>fact_kpi_weekly!I339</f>
        <v>1400</v>
      </c>
      <c r="J339" s="22">
        <f>fact_kpi_weekly!J339</f>
        <v>1400</v>
      </c>
      <c r="K339" s="20" t="str">
        <f t="array" ref="K339">IFERROR(INDEX(dim_date!H:H,MATCH(A339,dim_date!A:A,0)),"")</f>
        <v>Aug</v>
      </c>
      <c r="L339" s="20" t="str">
        <f t="array" ref="L339">IFERROR(INDEX(dim_date!G:G,MATCH(A339,dim_date!A:A,0)),"")</f>
        <v>08</v>
      </c>
      <c r="M339" s="9" t="str">
        <f t="array" ref="M339">IFERROR(INDEX(dim_date!I:I,MATCH(A339,dim_date!A:A,0)),"")</f>
        <v>Q3</v>
      </c>
      <c r="N339" s="20" t="str">
        <f t="array" ref="N339">IFERROR(INDEX(dim_date!K:K,MATCH(A339,dim_date!A:A,0)),"")</f>
        <v>32</v>
      </c>
      <c r="O339" s="9" t="str">
        <f t="array" ref="O339">IFERROR(INDEX(dim_date!F:F,MATCH(A339,dim_date!A:A,0)),"")</f>
        <v>8/2-8/8</v>
      </c>
      <c r="P339" s="9" t="str">
        <f t="array" ref="P339">IFERROR(INDEX(dim_kpi!E:E,MATCH(D339,dim_kpi!C:C,0)),"")</f>
        <v>count</v>
      </c>
      <c r="Q339" s="9" t="str">
        <f t="array" ref="Q339">IFERROR(INDEX(dim_kpi!F:F,MATCH(D339,dim_kpi!C:C,0)),"")</f>
        <v>N</v>
      </c>
    </row>
    <row r="340" ht="12.75" customHeight="1">
      <c r="A340" s="20" t="str">
        <f>fact_kpi_weekly!A340</f>
        <v>260809</v>
      </c>
      <c r="B340" s="21">
        <f>fact_kpi_weekly!B340</f>
        <v>46243</v>
      </c>
      <c r="C340" s="9" t="str">
        <f>fact_kpi_weekly!C340</f>
        <v>Growth</v>
      </c>
      <c r="D340" s="9" t="str">
        <f>fact_kpi_weekly!D340</f>
        <v>New Marketable Patients - Same Store</v>
      </c>
      <c r="E340" s="9" t="str">
        <f>fact_kpi_weekly!E340</f>
        <v>Forecast</v>
      </c>
      <c r="F340" s="9" t="str">
        <f>IF(fact_kpi_weekly!F340="","",fact_kpi_weekly!F340)</f>
        <v/>
      </c>
      <c r="G340" s="9" t="str">
        <f>fact_kpi_weekly!G340</f>
        <v>Same Store</v>
      </c>
      <c r="H340" s="9" t="str">
        <f>fact_kpi_weekly!H340</f>
        <v>Sheila</v>
      </c>
      <c r="I340" s="9">
        <f>fact_kpi_weekly!I340</f>
        <v>1400</v>
      </c>
      <c r="J340" s="22">
        <f>fact_kpi_weekly!J340</f>
        <v>1400</v>
      </c>
      <c r="K340" s="20" t="str">
        <f t="array" ref="K340">IFERROR(INDEX(dim_date!H:H,MATCH(A340,dim_date!A:A,0)),"")</f>
        <v>Aug</v>
      </c>
      <c r="L340" s="20" t="str">
        <f t="array" ref="L340">IFERROR(INDEX(dim_date!G:G,MATCH(A340,dim_date!A:A,0)),"")</f>
        <v>08</v>
      </c>
      <c r="M340" s="9" t="str">
        <f t="array" ref="M340">IFERROR(INDEX(dim_date!I:I,MATCH(A340,dim_date!A:A,0)),"")</f>
        <v>Q3</v>
      </c>
      <c r="N340" s="20" t="str">
        <f t="array" ref="N340">IFERROR(INDEX(dim_date!K:K,MATCH(A340,dim_date!A:A,0)),"")</f>
        <v>33</v>
      </c>
      <c r="O340" s="9" t="str">
        <f t="array" ref="O340">IFERROR(INDEX(dim_date!F:F,MATCH(A340,dim_date!A:A,0)),"")</f>
        <v>8/9-8/15</v>
      </c>
      <c r="P340" s="9" t="str">
        <f t="array" ref="P340">IFERROR(INDEX(dim_kpi!E:E,MATCH(D340,dim_kpi!C:C,0)),"")</f>
        <v>count</v>
      </c>
      <c r="Q340" s="9" t="str">
        <f t="array" ref="Q340">IFERROR(INDEX(dim_kpi!F:F,MATCH(D340,dim_kpi!C:C,0)),"")</f>
        <v>N</v>
      </c>
    </row>
    <row r="341" ht="12.75" customHeight="1">
      <c r="A341" s="20" t="str">
        <f>fact_kpi_weekly!A341</f>
        <v>260816</v>
      </c>
      <c r="B341" s="21">
        <f>fact_kpi_weekly!B341</f>
        <v>46250</v>
      </c>
      <c r="C341" s="9" t="str">
        <f>fact_kpi_weekly!C341</f>
        <v>Growth</v>
      </c>
      <c r="D341" s="9" t="str">
        <f>fact_kpi_weekly!D341</f>
        <v>New Marketable Patients - Same Store</v>
      </c>
      <c r="E341" s="9" t="str">
        <f>fact_kpi_weekly!E341</f>
        <v>Forecast</v>
      </c>
      <c r="F341" s="9" t="str">
        <f>IF(fact_kpi_weekly!F341="","",fact_kpi_weekly!F341)</f>
        <v/>
      </c>
      <c r="G341" s="9" t="str">
        <f>fact_kpi_weekly!G341</f>
        <v>Same Store</v>
      </c>
      <c r="H341" s="9" t="str">
        <f>fact_kpi_weekly!H341</f>
        <v>Sheila</v>
      </c>
      <c r="I341" s="9">
        <f>fact_kpi_weekly!I341</f>
        <v>1400</v>
      </c>
      <c r="J341" s="22">
        <f>fact_kpi_weekly!J341</f>
        <v>1400</v>
      </c>
      <c r="K341" s="20" t="str">
        <f t="array" ref="K341">IFERROR(INDEX(dim_date!H:H,MATCH(A341,dim_date!A:A,0)),"")</f>
        <v>Aug</v>
      </c>
      <c r="L341" s="20" t="str">
        <f t="array" ref="L341">IFERROR(INDEX(dim_date!G:G,MATCH(A341,dim_date!A:A,0)),"")</f>
        <v>08</v>
      </c>
      <c r="M341" s="9" t="str">
        <f t="array" ref="M341">IFERROR(INDEX(dim_date!I:I,MATCH(A341,dim_date!A:A,0)),"")</f>
        <v>Q3</v>
      </c>
      <c r="N341" s="20" t="str">
        <f t="array" ref="N341">IFERROR(INDEX(dim_date!K:K,MATCH(A341,dim_date!A:A,0)),"")</f>
        <v>34</v>
      </c>
      <c r="O341" s="9" t="str">
        <f t="array" ref="O341">IFERROR(INDEX(dim_date!F:F,MATCH(A341,dim_date!A:A,0)),"")</f>
        <v>8/16-8/22</v>
      </c>
      <c r="P341" s="9" t="str">
        <f t="array" ref="P341">IFERROR(INDEX(dim_kpi!E:E,MATCH(D341,dim_kpi!C:C,0)),"")</f>
        <v>count</v>
      </c>
      <c r="Q341" s="9" t="str">
        <f t="array" ref="Q341">IFERROR(INDEX(dim_kpi!F:F,MATCH(D341,dim_kpi!C:C,0)),"")</f>
        <v>N</v>
      </c>
    </row>
    <row r="342" ht="12.75" customHeight="1">
      <c r="A342" s="20" t="str">
        <f>fact_kpi_weekly!A342</f>
        <v>260823</v>
      </c>
      <c r="B342" s="21">
        <f>fact_kpi_weekly!B342</f>
        <v>46257</v>
      </c>
      <c r="C342" s="9" t="str">
        <f>fact_kpi_weekly!C342</f>
        <v>Growth</v>
      </c>
      <c r="D342" s="9" t="str">
        <f>fact_kpi_weekly!D342</f>
        <v>New Marketable Patients - Same Store</v>
      </c>
      <c r="E342" s="9" t="str">
        <f>fact_kpi_weekly!E342</f>
        <v>Forecast</v>
      </c>
      <c r="F342" s="9" t="str">
        <f>IF(fact_kpi_weekly!F342="","",fact_kpi_weekly!F342)</f>
        <v/>
      </c>
      <c r="G342" s="9" t="str">
        <f>fact_kpi_weekly!G342</f>
        <v>Same Store</v>
      </c>
      <c r="H342" s="9" t="str">
        <f>fact_kpi_weekly!H342</f>
        <v>Sheila</v>
      </c>
      <c r="I342" s="9">
        <f>fact_kpi_weekly!I342</f>
        <v>1400</v>
      </c>
      <c r="J342" s="22">
        <f>fact_kpi_weekly!J342</f>
        <v>1400</v>
      </c>
      <c r="K342" s="20" t="str">
        <f t="array" ref="K342">IFERROR(INDEX(dim_date!H:H,MATCH(A342,dim_date!A:A,0)),"")</f>
        <v>Aug</v>
      </c>
      <c r="L342" s="20" t="str">
        <f t="array" ref="L342">IFERROR(INDEX(dim_date!G:G,MATCH(A342,dim_date!A:A,0)),"")</f>
        <v>08</v>
      </c>
      <c r="M342" s="9" t="str">
        <f t="array" ref="M342">IFERROR(INDEX(dim_date!I:I,MATCH(A342,dim_date!A:A,0)),"")</f>
        <v>Q3</v>
      </c>
      <c r="N342" s="20" t="str">
        <f t="array" ref="N342">IFERROR(INDEX(dim_date!K:K,MATCH(A342,dim_date!A:A,0)),"")</f>
        <v>35</v>
      </c>
      <c r="O342" s="9" t="str">
        <f t="array" ref="O342">IFERROR(INDEX(dim_date!F:F,MATCH(A342,dim_date!A:A,0)),"")</f>
        <v>8/23-8/29</v>
      </c>
      <c r="P342" s="9" t="str">
        <f t="array" ref="P342">IFERROR(INDEX(dim_kpi!E:E,MATCH(D342,dim_kpi!C:C,0)),"")</f>
        <v>count</v>
      </c>
      <c r="Q342" s="9" t="str">
        <f t="array" ref="Q342">IFERROR(INDEX(dim_kpi!F:F,MATCH(D342,dim_kpi!C:C,0)),"")</f>
        <v>N</v>
      </c>
    </row>
    <row r="343" ht="12.75" customHeight="1">
      <c r="A343" s="20" t="str">
        <f>fact_kpi_weekly!A343</f>
        <v>260830</v>
      </c>
      <c r="B343" s="21">
        <f>fact_kpi_weekly!B343</f>
        <v>46264</v>
      </c>
      <c r="C343" s="9" t="str">
        <f>fact_kpi_weekly!C343</f>
        <v>Growth</v>
      </c>
      <c r="D343" s="9" t="str">
        <f>fact_kpi_weekly!D343</f>
        <v>New Marketable Patients - Same Store</v>
      </c>
      <c r="E343" s="9" t="str">
        <f>fact_kpi_weekly!E343</f>
        <v>Forecast</v>
      </c>
      <c r="F343" s="9" t="str">
        <f>IF(fact_kpi_weekly!F343="","",fact_kpi_weekly!F343)</f>
        <v/>
      </c>
      <c r="G343" s="9" t="str">
        <f>fact_kpi_weekly!G343</f>
        <v>Same Store</v>
      </c>
      <c r="H343" s="9" t="str">
        <f>fact_kpi_weekly!H343</f>
        <v>Sheila</v>
      </c>
      <c r="I343" s="9">
        <f>fact_kpi_weekly!I343</f>
        <v>2000</v>
      </c>
      <c r="J343" s="22">
        <f>fact_kpi_weekly!J343</f>
        <v>2000</v>
      </c>
      <c r="K343" s="20" t="str">
        <f t="array" ref="K343">IFERROR(INDEX(dim_date!H:H,MATCH(A343,dim_date!A:A,0)),"")</f>
        <v>Aug</v>
      </c>
      <c r="L343" s="20" t="str">
        <f t="array" ref="L343">IFERROR(INDEX(dim_date!G:G,MATCH(A343,dim_date!A:A,0)),"")</f>
        <v>08</v>
      </c>
      <c r="M343" s="9" t="str">
        <f t="array" ref="M343">IFERROR(INDEX(dim_date!I:I,MATCH(A343,dim_date!A:A,0)),"")</f>
        <v>Q3</v>
      </c>
      <c r="N343" s="20" t="str">
        <f t="array" ref="N343">IFERROR(INDEX(dim_date!K:K,MATCH(A343,dim_date!A:A,0)),"")</f>
        <v>36</v>
      </c>
      <c r="O343" s="9" t="str">
        <f t="array" ref="O343">IFERROR(INDEX(dim_date!F:F,MATCH(A343,dim_date!A:A,0)),"")</f>
        <v>8/30-9/5</v>
      </c>
      <c r="P343" s="9" t="str">
        <f t="array" ref="P343">IFERROR(INDEX(dim_kpi!E:E,MATCH(D343,dim_kpi!C:C,0)),"")</f>
        <v>count</v>
      </c>
      <c r="Q343" s="9" t="str">
        <f t="array" ref="Q343">IFERROR(INDEX(dim_kpi!F:F,MATCH(D343,dim_kpi!C:C,0)),"")</f>
        <v>N</v>
      </c>
    </row>
    <row r="344" ht="12.75" customHeight="1">
      <c r="A344" s="20" t="str">
        <f>fact_kpi_weekly!A344</f>
        <v>260906</v>
      </c>
      <c r="B344" s="21">
        <f>fact_kpi_weekly!B344</f>
        <v>46271</v>
      </c>
      <c r="C344" s="9" t="str">
        <f>fact_kpi_weekly!C344</f>
        <v>Growth</v>
      </c>
      <c r="D344" s="9" t="str">
        <f>fact_kpi_weekly!D344</f>
        <v>New Marketable Patients - Same Store</v>
      </c>
      <c r="E344" s="9" t="str">
        <f>fact_kpi_weekly!E344</f>
        <v>Forecast</v>
      </c>
      <c r="F344" s="9" t="str">
        <f>IF(fact_kpi_weekly!F344="","",fact_kpi_weekly!F344)</f>
        <v/>
      </c>
      <c r="G344" s="9" t="str">
        <f>fact_kpi_weekly!G344</f>
        <v>Same Store</v>
      </c>
      <c r="H344" s="9" t="str">
        <f>fact_kpi_weekly!H344</f>
        <v>Sheila</v>
      </c>
      <c r="I344" s="9">
        <f>fact_kpi_weekly!I344</f>
        <v>2000</v>
      </c>
      <c r="J344" s="22">
        <f>fact_kpi_weekly!J344</f>
        <v>2000</v>
      </c>
      <c r="K344" s="20" t="str">
        <f t="array" ref="K344">IFERROR(INDEX(dim_date!H:H,MATCH(A344,dim_date!A:A,0)),"")</f>
        <v>Sep</v>
      </c>
      <c r="L344" s="20" t="str">
        <f t="array" ref="L344">IFERROR(INDEX(dim_date!G:G,MATCH(A344,dim_date!A:A,0)),"")</f>
        <v>09</v>
      </c>
      <c r="M344" s="9" t="str">
        <f t="array" ref="M344">IFERROR(INDEX(dim_date!I:I,MATCH(A344,dim_date!A:A,0)),"")</f>
        <v>Q3</v>
      </c>
      <c r="N344" s="20" t="str">
        <f t="array" ref="N344">IFERROR(INDEX(dim_date!K:K,MATCH(A344,dim_date!A:A,0)),"")</f>
        <v>37</v>
      </c>
      <c r="O344" s="9" t="str">
        <f t="array" ref="O344">IFERROR(INDEX(dim_date!F:F,MATCH(A344,dim_date!A:A,0)),"")</f>
        <v>9/6-9/12</v>
      </c>
      <c r="P344" s="9" t="str">
        <f t="array" ref="P344">IFERROR(INDEX(dim_kpi!E:E,MATCH(D344,dim_kpi!C:C,0)),"")</f>
        <v>count</v>
      </c>
      <c r="Q344" s="9" t="str">
        <f t="array" ref="Q344">IFERROR(INDEX(dim_kpi!F:F,MATCH(D344,dim_kpi!C:C,0)),"")</f>
        <v>N</v>
      </c>
    </row>
    <row r="345" ht="12.75" customHeight="1">
      <c r="A345" s="20" t="str">
        <f>fact_kpi_weekly!A345</f>
        <v>260913</v>
      </c>
      <c r="B345" s="21">
        <f>fact_kpi_weekly!B345</f>
        <v>46278</v>
      </c>
      <c r="C345" s="9" t="str">
        <f>fact_kpi_weekly!C345</f>
        <v>Growth</v>
      </c>
      <c r="D345" s="9" t="str">
        <f>fact_kpi_weekly!D345</f>
        <v>New Marketable Patients - Same Store</v>
      </c>
      <c r="E345" s="9" t="str">
        <f>fact_kpi_weekly!E345</f>
        <v>Forecast</v>
      </c>
      <c r="F345" s="9" t="str">
        <f>IF(fact_kpi_weekly!F345="","",fact_kpi_weekly!F345)</f>
        <v/>
      </c>
      <c r="G345" s="9" t="str">
        <f>fact_kpi_weekly!G345</f>
        <v>Same Store</v>
      </c>
      <c r="H345" s="9" t="str">
        <f>fact_kpi_weekly!H345</f>
        <v>Sheila</v>
      </c>
      <c r="I345" s="9">
        <f>fact_kpi_weekly!I345</f>
        <v>2000</v>
      </c>
      <c r="J345" s="22">
        <f>fact_kpi_weekly!J345</f>
        <v>2000</v>
      </c>
      <c r="K345" s="20" t="str">
        <f t="array" ref="K345">IFERROR(INDEX(dim_date!H:H,MATCH(A345,dim_date!A:A,0)),"")</f>
        <v>Sep</v>
      </c>
      <c r="L345" s="20" t="str">
        <f t="array" ref="L345">IFERROR(INDEX(dim_date!G:G,MATCH(A345,dim_date!A:A,0)),"")</f>
        <v>09</v>
      </c>
      <c r="M345" s="9" t="str">
        <f t="array" ref="M345">IFERROR(INDEX(dim_date!I:I,MATCH(A345,dim_date!A:A,0)),"")</f>
        <v>Q3</v>
      </c>
      <c r="N345" s="20" t="str">
        <f t="array" ref="N345">IFERROR(INDEX(dim_date!K:K,MATCH(A345,dim_date!A:A,0)),"")</f>
        <v>38</v>
      </c>
      <c r="O345" s="9" t="str">
        <f t="array" ref="O345">IFERROR(INDEX(dim_date!F:F,MATCH(A345,dim_date!A:A,0)),"")</f>
        <v>9/13-9/19</v>
      </c>
      <c r="P345" s="9" t="str">
        <f t="array" ref="P345">IFERROR(INDEX(dim_kpi!E:E,MATCH(D345,dim_kpi!C:C,0)),"")</f>
        <v>count</v>
      </c>
      <c r="Q345" s="9" t="str">
        <f t="array" ref="Q345">IFERROR(INDEX(dim_kpi!F:F,MATCH(D345,dim_kpi!C:C,0)),"")</f>
        <v>N</v>
      </c>
    </row>
    <row r="346" ht="12.75" customHeight="1">
      <c r="A346" s="20" t="str">
        <f>fact_kpi_weekly!A346</f>
        <v>260920</v>
      </c>
      <c r="B346" s="21">
        <f>fact_kpi_weekly!B346</f>
        <v>46285</v>
      </c>
      <c r="C346" s="9" t="str">
        <f>fact_kpi_weekly!C346</f>
        <v>Growth</v>
      </c>
      <c r="D346" s="9" t="str">
        <f>fact_kpi_weekly!D346</f>
        <v>New Marketable Patients - Same Store</v>
      </c>
      <c r="E346" s="9" t="str">
        <f>fact_kpi_weekly!E346</f>
        <v>Forecast</v>
      </c>
      <c r="F346" s="9" t="str">
        <f>IF(fact_kpi_weekly!F346="","",fact_kpi_weekly!F346)</f>
        <v/>
      </c>
      <c r="G346" s="9" t="str">
        <f>fact_kpi_weekly!G346</f>
        <v>Same Store</v>
      </c>
      <c r="H346" s="9" t="str">
        <f>fact_kpi_weekly!H346</f>
        <v>Sheila</v>
      </c>
      <c r="I346" s="9">
        <f>fact_kpi_weekly!I346</f>
        <v>2000</v>
      </c>
      <c r="J346" s="22">
        <f>fact_kpi_weekly!J346</f>
        <v>2000</v>
      </c>
      <c r="K346" s="20" t="str">
        <f t="array" ref="K346">IFERROR(INDEX(dim_date!H:H,MATCH(A346,dim_date!A:A,0)),"")</f>
        <v>Sep</v>
      </c>
      <c r="L346" s="20" t="str">
        <f t="array" ref="L346">IFERROR(INDEX(dim_date!G:G,MATCH(A346,dim_date!A:A,0)),"")</f>
        <v>09</v>
      </c>
      <c r="M346" s="9" t="str">
        <f t="array" ref="M346">IFERROR(INDEX(dim_date!I:I,MATCH(A346,dim_date!A:A,0)),"")</f>
        <v>Q3</v>
      </c>
      <c r="N346" s="20" t="str">
        <f t="array" ref="N346">IFERROR(INDEX(dim_date!K:K,MATCH(A346,dim_date!A:A,0)),"")</f>
        <v>39</v>
      </c>
      <c r="O346" s="9" t="str">
        <f t="array" ref="O346">IFERROR(INDEX(dim_date!F:F,MATCH(A346,dim_date!A:A,0)),"")</f>
        <v>9/20-9/26</v>
      </c>
      <c r="P346" s="9" t="str">
        <f t="array" ref="P346">IFERROR(INDEX(dim_kpi!E:E,MATCH(D346,dim_kpi!C:C,0)),"")</f>
        <v>count</v>
      </c>
      <c r="Q346" s="9" t="str">
        <f t="array" ref="Q346">IFERROR(INDEX(dim_kpi!F:F,MATCH(D346,dim_kpi!C:C,0)),"")</f>
        <v>N</v>
      </c>
    </row>
    <row r="347" ht="12.75" customHeight="1">
      <c r="A347" s="20" t="str">
        <f>fact_kpi_weekly!A347</f>
        <v>260927</v>
      </c>
      <c r="B347" s="21">
        <f>fact_kpi_weekly!B347</f>
        <v>46292</v>
      </c>
      <c r="C347" s="9" t="str">
        <f>fact_kpi_weekly!C347</f>
        <v>Growth</v>
      </c>
      <c r="D347" s="9" t="str">
        <f>fact_kpi_weekly!D347</f>
        <v>New Marketable Patients - Same Store</v>
      </c>
      <c r="E347" s="9" t="str">
        <f>fact_kpi_weekly!E347</f>
        <v>Forecast</v>
      </c>
      <c r="F347" s="9" t="str">
        <f>IF(fact_kpi_weekly!F347="","",fact_kpi_weekly!F347)</f>
        <v/>
      </c>
      <c r="G347" s="9" t="str">
        <f>fact_kpi_weekly!G347</f>
        <v>Same Store</v>
      </c>
      <c r="H347" s="9" t="str">
        <f>fact_kpi_weekly!H347</f>
        <v>Sheila</v>
      </c>
      <c r="I347" s="9">
        <f>fact_kpi_weekly!I347</f>
        <v>2000</v>
      </c>
      <c r="J347" s="22">
        <f>fact_kpi_weekly!J347</f>
        <v>2000</v>
      </c>
      <c r="K347" s="20" t="str">
        <f t="array" ref="K347">IFERROR(INDEX(dim_date!H:H,MATCH(A347,dim_date!A:A,0)),"")</f>
        <v>Sep</v>
      </c>
      <c r="L347" s="20" t="str">
        <f t="array" ref="L347">IFERROR(INDEX(dim_date!G:G,MATCH(A347,dim_date!A:A,0)),"")</f>
        <v>09</v>
      </c>
      <c r="M347" s="9" t="str">
        <f t="array" ref="M347">IFERROR(INDEX(dim_date!I:I,MATCH(A347,dim_date!A:A,0)),"")</f>
        <v>Q3</v>
      </c>
      <c r="N347" s="20" t="str">
        <f t="array" ref="N347">IFERROR(INDEX(dim_date!K:K,MATCH(A347,dim_date!A:A,0)),"")</f>
        <v>40</v>
      </c>
      <c r="O347" s="9" t="str">
        <f t="array" ref="O347">IFERROR(INDEX(dim_date!F:F,MATCH(A347,dim_date!A:A,0)),"")</f>
        <v>9/27-10/3</v>
      </c>
      <c r="P347" s="9" t="str">
        <f t="array" ref="P347">IFERROR(INDEX(dim_kpi!E:E,MATCH(D347,dim_kpi!C:C,0)),"")</f>
        <v>count</v>
      </c>
      <c r="Q347" s="9" t="str">
        <f t="array" ref="Q347">IFERROR(INDEX(dim_kpi!F:F,MATCH(D347,dim_kpi!C:C,0)),"")</f>
        <v>N</v>
      </c>
    </row>
    <row r="348" ht="12.75" customHeight="1">
      <c r="A348" s="20" t="str">
        <f>fact_kpi_weekly!A348</f>
        <v>261004</v>
      </c>
      <c r="B348" s="21">
        <f>fact_kpi_weekly!B348</f>
        <v>46299</v>
      </c>
      <c r="C348" s="9" t="str">
        <f>fact_kpi_weekly!C348</f>
        <v>Growth</v>
      </c>
      <c r="D348" s="9" t="str">
        <f>fact_kpi_weekly!D348</f>
        <v>New Marketable Patients - Same Store</v>
      </c>
      <c r="E348" s="9" t="str">
        <f>fact_kpi_weekly!E348</f>
        <v>Forecast</v>
      </c>
      <c r="F348" s="9" t="str">
        <f>IF(fact_kpi_weekly!F348="","",fact_kpi_weekly!F348)</f>
        <v/>
      </c>
      <c r="G348" s="9" t="str">
        <f>fact_kpi_weekly!G348</f>
        <v>Same Store</v>
      </c>
      <c r="H348" s="9" t="str">
        <f>fact_kpi_weekly!H348</f>
        <v>Sheila</v>
      </c>
      <c r="I348" s="9">
        <f>fact_kpi_weekly!I348</f>
        <v>2000</v>
      </c>
      <c r="J348" s="22">
        <f>fact_kpi_weekly!J348</f>
        <v>2000</v>
      </c>
      <c r="K348" s="20" t="str">
        <f t="array" ref="K348">IFERROR(INDEX(dim_date!H:H,MATCH(A348,dim_date!A:A,0)),"")</f>
        <v>Oct</v>
      </c>
      <c r="L348" s="20" t="str">
        <f t="array" ref="L348">IFERROR(INDEX(dim_date!G:G,MATCH(A348,dim_date!A:A,0)),"")</f>
        <v>10</v>
      </c>
      <c r="M348" s="9" t="str">
        <f t="array" ref="M348">IFERROR(INDEX(dim_date!I:I,MATCH(A348,dim_date!A:A,0)),"")</f>
        <v>Q4</v>
      </c>
      <c r="N348" s="20" t="str">
        <f t="array" ref="N348">IFERROR(INDEX(dim_date!K:K,MATCH(A348,dim_date!A:A,0)),"")</f>
        <v>41</v>
      </c>
      <c r="O348" s="9" t="str">
        <f t="array" ref="O348">IFERROR(INDEX(dim_date!F:F,MATCH(A348,dim_date!A:A,0)),"")</f>
        <v>10/4-10/10</v>
      </c>
      <c r="P348" s="9" t="str">
        <f t="array" ref="P348">IFERROR(INDEX(dim_kpi!E:E,MATCH(D348,dim_kpi!C:C,0)),"")</f>
        <v>count</v>
      </c>
      <c r="Q348" s="9" t="str">
        <f t="array" ref="Q348">IFERROR(INDEX(dim_kpi!F:F,MATCH(D348,dim_kpi!C:C,0)),"")</f>
        <v>N</v>
      </c>
    </row>
    <row r="349" ht="12.75" customHeight="1">
      <c r="A349" s="20" t="str">
        <f>fact_kpi_weekly!A349</f>
        <v>261011</v>
      </c>
      <c r="B349" s="21">
        <f>fact_kpi_weekly!B349</f>
        <v>46306</v>
      </c>
      <c r="C349" s="9" t="str">
        <f>fact_kpi_weekly!C349</f>
        <v>Growth</v>
      </c>
      <c r="D349" s="9" t="str">
        <f>fact_kpi_weekly!D349</f>
        <v>New Marketable Patients - Same Store</v>
      </c>
      <c r="E349" s="9" t="str">
        <f>fact_kpi_weekly!E349</f>
        <v>Forecast</v>
      </c>
      <c r="F349" s="9" t="str">
        <f>IF(fact_kpi_weekly!F349="","",fact_kpi_weekly!F349)</f>
        <v/>
      </c>
      <c r="G349" s="9" t="str">
        <f>fact_kpi_weekly!G349</f>
        <v>Same Store</v>
      </c>
      <c r="H349" s="9" t="str">
        <f>fact_kpi_weekly!H349</f>
        <v>Sheila</v>
      </c>
      <c r="I349" s="9">
        <f>fact_kpi_weekly!I349</f>
        <v>2000</v>
      </c>
      <c r="J349" s="22">
        <f>fact_kpi_weekly!J349</f>
        <v>2000</v>
      </c>
      <c r="K349" s="20" t="str">
        <f t="array" ref="K349">IFERROR(INDEX(dim_date!H:H,MATCH(A349,dim_date!A:A,0)),"")</f>
        <v>Oct</v>
      </c>
      <c r="L349" s="20" t="str">
        <f t="array" ref="L349">IFERROR(INDEX(dim_date!G:G,MATCH(A349,dim_date!A:A,0)),"")</f>
        <v>10</v>
      </c>
      <c r="M349" s="9" t="str">
        <f t="array" ref="M349">IFERROR(INDEX(dim_date!I:I,MATCH(A349,dim_date!A:A,0)),"")</f>
        <v>Q4</v>
      </c>
      <c r="N349" s="20" t="str">
        <f t="array" ref="N349">IFERROR(INDEX(dim_date!K:K,MATCH(A349,dim_date!A:A,0)),"")</f>
        <v>42</v>
      </c>
      <c r="O349" s="9" t="str">
        <f t="array" ref="O349">IFERROR(INDEX(dim_date!F:F,MATCH(A349,dim_date!A:A,0)),"")</f>
        <v>10/11-10/17</v>
      </c>
      <c r="P349" s="9" t="str">
        <f t="array" ref="P349">IFERROR(INDEX(dim_kpi!E:E,MATCH(D349,dim_kpi!C:C,0)),"")</f>
        <v>count</v>
      </c>
      <c r="Q349" s="9" t="str">
        <f t="array" ref="Q349">IFERROR(INDEX(dim_kpi!F:F,MATCH(D349,dim_kpi!C:C,0)),"")</f>
        <v>N</v>
      </c>
    </row>
    <row r="350" ht="12.75" customHeight="1">
      <c r="A350" s="20" t="str">
        <f>fact_kpi_weekly!A350</f>
        <v>261018</v>
      </c>
      <c r="B350" s="21">
        <f>fact_kpi_weekly!B350</f>
        <v>46313</v>
      </c>
      <c r="C350" s="9" t="str">
        <f>fact_kpi_weekly!C350</f>
        <v>Growth</v>
      </c>
      <c r="D350" s="9" t="str">
        <f>fact_kpi_weekly!D350</f>
        <v>New Marketable Patients - Same Store</v>
      </c>
      <c r="E350" s="9" t="str">
        <f>fact_kpi_weekly!E350</f>
        <v>Forecast</v>
      </c>
      <c r="F350" s="9" t="str">
        <f>IF(fact_kpi_weekly!F350="","",fact_kpi_weekly!F350)</f>
        <v/>
      </c>
      <c r="G350" s="9" t="str">
        <f>fact_kpi_weekly!G350</f>
        <v>Same Store</v>
      </c>
      <c r="H350" s="9" t="str">
        <f>fact_kpi_weekly!H350</f>
        <v>Sheila</v>
      </c>
      <c r="I350" s="9">
        <f>fact_kpi_weekly!I350</f>
        <v>2000</v>
      </c>
      <c r="J350" s="22">
        <f>fact_kpi_weekly!J350</f>
        <v>2000</v>
      </c>
      <c r="K350" s="20" t="str">
        <f t="array" ref="K350">IFERROR(INDEX(dim_date!H:H,MATCH(A350,dim_date!A:A,0)),"")</f>
        <v>Oct</v>
      </c>
      <c r="L350" s="20" t="str">
        <f t="array" ref="L350">IFERROR(INDEX(dim_date!G:G,MATCH(A350,dim_date!A:A,0)),"")</f>
        <v>10</v>
      </c>
      <c r="M350" s="9" t="str">
        <f t="array" ref="M350">IFERROR(INDEX(dim_date!I:I,MATCH(A350,dim_date!A:A,0)),"")</f>
        <v>Q4</v>
      </c>
      <c r="N350" s="20" t="str">
        <f t="array" ref="N350">IFERROR(INDEX(dim_date!K:K,MATCH(A350,dim_date!A:A,0)),"")</f>
        <v>43</v>
      </c>
      <c r="O350" s="9" t="str">
        <f t="array" ref="O350">IFERROR(INDEX(dim_date!F:F,MATCH(A350,dim_date!A:A,0)),"")</f>
        <v>10/18-10/24</v>
      </c>
      <c r="P350" s="9" t="str">
        <f t="array" ref="P350">IFERROR(INDEX(dim_kpi!E:E,MATCH(D350,dim_kpi!C:C,0)),"")</f>
        <v>count</v>
      </c>
      <c r="Q350" s="9" t="str">
        <f t="array" ref="Q350">IFERROR(INDEX(dim_kpi!F:F,MATCH(D350,dim_kpi!C:C,0)),"")</f>
        <v>N</v>
      </c>
    </row>
    <row r="351" ht="12.75" customHeight="1">
      <c r="A351" s="20" t="str">
        <f>fact_kpi_weekly!A351</f>
        <v>261025</v>
      </c>
      <c r="B351" s="21">
        <f>fact_kpi_weekly!B351</f>
        <v>46320</v>
      </c>
      <c r="C351" s="9" t="str">
        <f>fact_kpi_weekly!C351</f>
        <v>Growth</v>
      </c>
      <c r="D351" s="9" t="str">
        <f>fact_kpi_weekly!D351</f>
        <v>New Marketable Patients - Same Store</v>
      </c>
      <c r="E351" s="9" t="str">
        <f>fact_kpi_weekly!E351</f>
        <v>Forecast</v>
      </c>
      <c r="F351" s="9" t="str">
        <f>IF(fact_kpi_weekly!F351="","",fact_kpi_weekly!F351)</f>
        <v/>
      </c>
      <c r="G351" s="9" t="str">
        <f>fact_kpi_weekly!G351</f>
        <v>Same Store</v>
      </c>
      <c r="H351" s="9" t="str">
        <f>fact_kpi_weekly!H351</f>
        <v>Sheila</v>
      </c>
      <c r="I351" s="9">
        <f>fact_kpi_weekly!I351</f>
        <v>2000</v>
      </c>
      <c r="J351" s="22">
        <f>fact_kpi_weekly!J351</f>
        <v>2000</v>
      </c>
      <c r="K351" s="20" t="str">
        <f t="array" ref="K351">IFERROR(INDEX(dim_date!H:H,MATCH(A351,dim_date!A:A,0)),"")</f>
        <v>Oct</v>
      </c>
      <c r="L351" s="20" t="str">
        <f t="array" ref="L351">IFERROR(INDEX(dim_date!G:G,MATCH(A351,dim_date!A:A,0)),"")</f>
        <v>10</v>
      </c>
      <c r="M351" s="9" t="str">
        <f t="array" ref="M351">IFERROR(INDEX(dim_date!I:I,MATCH(A351,dim_date!A:A,0)),"")</f>
        <v>Q4</v>
      </c>
      <c r="N351" s="20" t="str">
        <f t="array" ref="N351">IFERROR(INDEX(dim_date!K:K,MATCH(A351,dim_date!A:A,0)),"")</f>
        <v>44</v>
      </c>
      <c r="O351" s="9" t="str">
        <f t="array" ref="O351">IFERROR(INDEX(dim_date!F:F,MATCH(A351,dim_date!A:A,0)),"")</f>
        <v>10/25-10/31</v>
      </c>
      <c r="P351" s="9" t="str">
        <f t="array" ref="P351">IFERROR(INDEX(dim_kpi!E:E,MATCH(D351,dim_kpi!C:C,0)),"")</f>
        <v>count</v>
      </c>
      <c r="Q351" s="9" t="str">
        <f t="array" ref="Q351">IFERROR(INDEX(dim_kpi!F:F,MATCH(D351,dim_kpi!C:C,0)),"")</f>
        <v>N</v>
      </c>
    </row>
    <row r="352" ht="12.75" customHeight="1">
      <c r="A352" s="20" t="str">
        <f>fact_kpi_weekly!A352</f>
        <v>261101</v>
      </c>
      <c r="B352" s="21">
        <f>fact_kpi_weekly!B352</f>
        <v>46327</v>
      </c>
      <c r="C352" s="9" t="str">
        <f>fact_kpi_weekly!C352</f>
        <v>Growth</v>
      </c>
      <c r="D352" s="9" t="str">
        <f>fact_kpi_weekly!D352</f>
        <v>New Marketable Patients - Same Store</v>
      </c>
      <c r="E352" s="9" t="str">
        <f>fact_kpi_weekly!E352</f>
        <v>Forecast</v>
      </c>
      <c r="F352" s="9" t="str">
        <f>IF(fact_kpi_weekly!F352="","",fact_kpi_weekly!F352)</f>
        <v/>
      </c>
      <c r="G352" s="9" t="str">
        <f>fact_kpi_weekly!G352</f>
        <v>Same Store</v>
      </c>
      <c r="H352" s="9" t="str">
        <f>fact_kpi_weekly!H352</f>
        <v>Sheila</v>
      </c>
      <c r="I352" s="9">
        <f>fact_kpi_weekly!I352</f>
        <v>2000</v>
      </c>
      <c r="J352" s="22">
        <f>fact_kpi_weekly!J352</f>
        <v>2000</v>
      </c>
      <c r="K352" s="20" t="str">
        <f t="array" ref="K352">IFERROR(INDEX(dim_date!H:H,MATCH(A352,dim_date!A:A,0)),"")</f>
        <v>Nov</v>
      </c>
      <c r="L352" s="20" t="str">
        <f t="array" ref="L352">IFERROR(INDEX(dim_date!G:G,MATCH(A352,dim_date!A:A,0)),"")</f>
        <v>11</v>
      </c>
      <c r="M352" s="9" t="str">
        <f t="array" ref="M352">IFERROR(INDEX(dim_date!I:I,MATCH(A352,dim_date!A:A,0)),"")</f>
        <v>Q4</v>
      </c>
      <c r="N352" s="20" t="str">
        <f t="array" ref="N352">IFERROR(INDEX(dim_date!K:K,MATCH(A352,dim_date!A:A,0)),"")</f>
        <v>45</v>
      </c>
      <c r="O352" s="9" t="str">
        <f t="array" ref="O352">IFERROR(INDEX(dim_date!F:F,MATCH(A352,dim_date!A:A,0)),"")</f>
        <v>11/1-11/7</v>
      </c>
      <c r="P352" s="9" t="str">
        <f t="array" ref="P352">IFERROR(INDEX(dim_kpi!E:E,MATCH(D352,dim_kpi!C:C,0)),"")</f>
        <v>count</v>
      </c>
      <c r="Q352" s="9" t="str">
        <f t="array" ref="Q352">IFERROR(INDEX(dim_kpi!F:F,MATCH(D352,dim_kpi!C:C,0)),"")</f>
        <v>N</v>
      </c>
    </row>
    <row r="353" ht="12.75" customHeight="1">
      <c r="A353" s="20" t="str">
        <f>fact_kpi_weekly!A353</f>
        <v>261108</v>
      </c>
      <c r="B353" s="21">
        <f>fact_kpi_weekly!B353</f>
        <v>46334</v>
      </c>
      <c r="C353" s="9" t="str">
        <f>fact_kpi_weekly!C353</f>
        <v>Growth</v>
      </c>
      <c r="D353" s="9" t="str">
        <f>fact_kpi_weekly!D353</f>
        <v>New Marketable Patients - Same Store</v>
      </c>
      <c r="E353" s="9" t="str">
        <f>fact_kpi_weekly!E353</f>
        <v>Forecast</v>
      </c>
      <c r="F353" s="9" t="str">
        <f>IF(fact_kpi_weekly!F353="","",fact_kpi_weekly!F353)</f>
        <v/>
      </c>
      <c r="G353" s="9" t="str">
        <f>fact_kpi_weekly!G353</f>
        <v>Same Store</v>
      </c>
      <c r="H353" s="9" t="str">
        <f>fact_kpi_weekly!H353</f>
        <v>Sheila</v>
      </c>
      <c r="I353" s="9">
        <f>fact_kpi_weekly!I353</f>
        <v>2000</v>
      </c>
      <c r="J353" s="22">
        <f>fact_kpi_weekly!J353</f>
        <v>2000</v>
      </c>
      <c r="K353" s="20" t="str">
        <f t="array" ref="K353">IFERROR(INDEX(dim_date!H:H,MATCH(A353,dim_date!A:A,0)),"")</f>
        <v>Nov</v>
      </c>
      <c r="L353" s="20" t="str">
        <f t="array" ref="L353">IFERROR(INDEX(dim_date!G:G,MATCH(A353,dim_date!A:A,0)),"")</f>
        <v>11</v>
      </c>
      <c r="M353" s="9" t="str">
        <f t="array" ref="M353">IFERROR(INDEX(dim_date!I:I,MATCH(A353,dim_date!A:A,0)),"")</f>
        <v>Q4</v>
      </c>
      <c r="N353" s="20" t="str">
        <f t="array" ref="N353">IFERROR(INDEX(dim_date!K:K,MATCH(A353,dim_date!A:A,0)),"")</f>
        <v>46</v>
      </c>
      <c r="O353" s="9" t="str">
        <f t="array" ref="O353">IFERROR(INDEX(dim_date!F:F,MATCH(A353,dim_date!A:A,0)),"")</f>
        <v>11/8-11/14</v>
      </c>
      <c r="P353" s="9" t="str">
        <f t="array" ref="P353">IFERROR(INDEX(dim_kpi!E:E,MATCH(D353,dim_kpi!C:C,0)),"")</f>
        <v>count</v>
      </c>
      <c r="Q353" s="9" t="str">
        <f t="array" ref="Q353">IFERROR(INDEX(dim_kpi!F:F,MATCH(D353,dim_kpi!C:C,0)),"")</f>
        <v>N</v>
      </c>
    </row>
    <row r="354" ht="12.75" customHeight="1">
      <c r="A354" s="20" t="str">
        <f>fact_kpi_weekly!A354</f>
        <v>261115</v>
      </c>
      <c r="B354" s="21">
        <f>fact_kpi_weekly!B354</f>
        <v>46341</v>
      </c>
      <c r="C354" s="9" t="str">
        <f>fact_kpi_weekly!C354</f>
        <v>Growth</v>
      </c>
      <c r="D354" s="9" t="str">
        <f>fact_kpi_weekly!D354</f>
        <v>New Marketable Patients - Same Store</v>
      </c>
      <c r="E354" s="9" t="str">
        <f>fact_kpi_weekly!E354</f>
        <v>Forecast</v>
      </c>
      <c r="F354" s="9" t="str">
        <f>IF(fact_kpi_weekly!F354="","",fact_kpi_weekly!F354)</f>
        <v/>
      </c>
      <c r="G354" s="9" t="str">
        <f>fact_kpi_weekly!G354</f>
        <v>Same Store</v>
      </c>
      <c r="H354" s="9" t="str">
        <f>fact_kpi_weekly!H354</f>
        <v>Sheila</v>
      </c>
      <c r="I354" s="9">
        <f>fact_kpi_weekly!I354</f>
        <v>2000</v>
      </c>
      <c r="J354" s="22">
        <f>fact_kpi_weekly!J354</f>
        <v>2000</v>
      </c>
      <c r="K354" s="20" t="str">
        <f t="array" ref="K354">IFERROR(INDEX(dim_date!H:H,MATCH(A354,dim_date!A:A,0)),"")</f>
        <v>Nov</v>
      </c>
      <c r="L354" s="20" t="str">
        <f t="array" ref="L354">IFERROR(INDEX(dim_date!G:G,MATCH(A354,dim_date!A:A,0)),"")</f>
        <v>11</v>
      </c>
      <c r="M354" s="9" t="str">
        <f t="array" ref="M354">IFERROR(INDEX(dim_date!I:I,MATCH(A354,dim_date!A:A,0)),"")</f>
        <v>Q4</v>
      </c>
      <c r="N354" s="20" t="str">
        <f t="array" ref="N354">IFERROR(INDEX(dim_date!K:K,MATCH(A354,dim_date!A:A,0)),"")</f>
        <v>47</v>
      </c>
      <c r="O354" s="9" t="str">
        <f t="array" ref="O354">IFERROR(INDEX(dim_date!F:F,MATCH(A354,dim_date!A:A,0)),"")</f>
        <v>11/15-11/21</v>
      </c>
      <c r="P354" s="9" t="str">
        <f t="array" ref="P354">IFERROR(INDEX(dim_kpi!E:E,MATCH(D354,dim_kpi!C:C,0)),"")</f>
        <v>count</v>
      </c>
      <c r="Q354" s="9" t="str">
        <f t="array" ref="Q354">IFERROR(INDEX(dim_kpi!F:F,MATCH(D354,dim_kpi!C:C,0)),"")</f>
        <v>N</v>
      </c>
    </row>
    <row r="355" ht="12.75" customHeight="1">
      <c r="A355" s="20" t="str">
        <f>fact_kpi_weekly!A355</f>
        <v>261122</v>
      </c>
      <c r="B355" s="21">
        <f>fact_kpi_weekly!B355</f>
        <v>46348</v>
      </c>
      <c r="C355" s="9" t="str">
        <f>fact_kpi_weekly!C355</f>
        <v>Growth</v>
      </c>
      <c r="D355" s="9" t="str">
        <f>fact_kpi_weekly!D355</f>
        <v>New Marketable Patients - Same Store</v>
      </c>
      <c r="E355" s="9" t="str">
        <f>fact_kpi_weekly!E355</f>
        <v>Forecast</v>
      </c>
      <c r="F355" s="9" t="str">
        <f>IF(fact_kpi_weekly!F355="","",fact_kpi_weekly!F355)</f>
        <v/>
      </c>
      <c r="G355" s="9" t="str">
        <f>fact_kpi_weekly!G355</f>
        <v>Same Store</v>
      </c>
      <c r="H355" s="9" t="str">
        <f>fact_kpi_weekly!H355</f>
        <v>Sheila</v>
      </c>
      <c r="I355" s="9">
        <f>fact_kpi_weekly!I355</f>
        <v>0</v>
      </c>
      <c r="J355" s="22">
        <f>fact_kpi_weekly!J355</f>
        <v>0</v>
      </c>
      <c r="K355" s="20" t="str">
        <f t="array" ref="K355">IFERROR(INDEX(dim_date!H:H,MATCH(A355,dim_date!A:A,0)),"")</f>
        <v>Nov</v>
      </c>
      <c r="L355" s="20" t="str">
        <f t="array" ref="L355">IFERROR(INDEX(dim_date!G:G,MATCH(A355,dim_date!A:A,0)),"")</f>
        <v>11</v>
      </c>
      <c r="M355" s="9" t="str">
        <f t="array" ref="M355">IFERROR(INDEX(dim_date!I:I,MATCH(A355,dim_date!A:A,0)),"")</f>
        <v>Q4</v>
      </c>
      <c r="N355" s="20" t="str">
        <f t="array" ref="N355">IFERROR(INDEX(dim_date!K:K,MATCH(A355,dim_date!A:A,0)),"")</f>
        <v>48</v>
      </c>
      <c r="O355" s="9" t="str">
        <f t="array" ref="O355">IFERROR(INDEX(dim_date!F:F,MATCH(A355,dim_date!A:A,0)),"")</f>
        <v>11/22-11/28</v>
      </c>
      <c r="P355" s="9" t="str">
        <f t="array" ref="P355">IFERROR(INDEX(dim_kpi!E:E,MATCH(D355,dim_kpi!C:C,0)),"")</f>
        <v>count</v>
      </c>
      <c r="Q355" s="9" t="str">
        <f t="array" ref="Q355">IFERROR(INDEX(dim_kpi!F:F,MATCH(D355,dim_kpi!C:C,0)),"")</f>
        <v>N</v>
      </c>
    </row>
    <row r="356" ht="12.75" customHeight="1">
      <c r="A356" s="20" t="str">
        <f>fact_kpi_weekly!A356</f>
        <v>261129</v>
      </c>
      <c r="B356" s="21">
        <f>fact_kpi_weekly!B356</f>
        <v>46355</v>
      </c>
      <c r="C356" s="9" t="str">
        <f>fact_kpi_weekly!C356</f>
        <v>Growth</v>
      </c>
      <c r="D356" s="9" t="str">
        <f>fact_kpi_weekly!D356</f>
        <v>New Marketable Patients - Same Store</v>
      </c>
      <c r="E356" s="9" t="str">
        <f>fact_kpi_weekly!E356</f>
        <v>Forecast</v>
      </c>
      <c r="F356" s="9" t="str">
        <f>IF(fact_kpi_weekly!F356="","",fact_kpi_weekly!F356)</f>
        <v/>
      </c>
      <c r="G356" s="9" t="str">
        <f>fact_kpi_weekly!G356</f>
        <v>Same Store</v>
      </c>
      <c r="H356" s="9" t="str">
        <f>fact_kpi_weekly!H356</f>
        <v>Sheila</v>
      </c>
      <c r="I356" s="9">
        <f>fact_kpi_weekly!I356</f>
        <v>0</v>
      </c>
      <c r="J356" s="22">
        <f>fact_kpi_weekly!J356</f>
        <v>0</v>
      </c>
      <c r="K356" s="20" t="str">
        <f t="array" ref="K356">IFERROR(INDEX(dim_date!H:H,MATCH(A356,dim_date!A:A,0)),"")</f>
        <v>Nov</v>
      </c>
      <c r="L356" s="20" t="str">
        <f t="array" ref="L356">IFERROR(INDEX(dim_date!G:G,MATCH(A356,dim_date!A:A,0)),"")</f>
        <v>11</v>
      </c>
      <c r="M356" s="9" t="str">
        <f t="array" ref="M356">IFERROR(INDEX(dim_date!I:I,MATCH(A356,dim_date!A:A,0)),"")</f>
        <v>Q4</v>
      </c>
      <c r="N356" s="20" t="str">
        <f t="array" ref="N356">IFERROR(INDEX(dim_date!K:K,MATCH(A356,dim_date!A:A,0)),"")</f>
        <v>49</v>
      </c>
      <c r="O356" s="9" t="str">
        <f t="array" ref="O356">IFERROR(INDEX(dim_date!F:F,MATCH(A356,dim_date!A:A,0)),"")</f>
        <v>11/29-12/5</v>
      </c>
      <c r="P356" s="9" t="str">
        <f t="array" ref="P356">IFERROR(INDEX(dim_kpi!E:E,MATCH(D356,dim_kpi!C:C,0)),"")</f>
        <v>count</v>
      </c>
      <c r="Q356" s="9" t="str">
        <f t="array" ref="Q356">IFERROR(INDEX(dim_kpi!F:F,MATCH(D356,dim_kpi!C:C,0)),"")</f>
        <v>N</v>
      </c>
    </row>
    <row r="357" ht="12.75" customHeight="1">
      <c r="A357" s="20" t="str">
        <f>fact_kpi_weekly!A357</f>
        <v>261206</v>
      </c>
      <c r="B357" s="21">
        <f>fact_kpi_weekly!B357</f>
        <v>46362</v>
      </c>
      <c r="C357" s="9" t="str">
        <f>fact_kpi_weekly!C357</f>
        <v>Growth</v>
      </c>
      <c r="D357" s="9" t="str">
        <f>fact_kpi_weekly!D357</f>
        <v>New Marketable Patients - Same Store</v>
      </c>
      <c r="E357" s="9" t="str">
        <f>fact_kpi_weekly!E357</f>
        <v>Forecast</v>
      </c>
      <c r="F357" s="9" t="str">
        <f>IF(fact_kpi_weekly!F357="","",fact_kpi_weekly!F357)</f>
        <v/>
      </c>
      <c r="G357" s="9" t="str">
        <f>fact_kpi_weekly!G357</f>
        <v>Same Store</v>
      </c>
      <c r="H357" s="9" t="str">
        <f>fact_kpi_weekly!H357</f>
        <v>Sheila</v>
      </c>
      <c r="I357" s="9">
        <f>fact_kpi_weekly!I357</f>
        <v>0</v>
      </c>
      <c r="J357" s="22">
        <f>fact_kpi_weekly!J357</f>
        <v>0</v>
      </c>
      <c r="K357" s="20" t="str">
        <f t="array" ref="K357">IFERROR(INDEX(dim_date!H:H,MATCH(A357,dim_date!A:A,0)),"")</f>
        <v>Dec</v>
      </c>
      <c r="L357" s="20" t="str">
        <f t="array" ref="L357">IFERROR(INDEX(dim_date!G:G,MATCH(A357,dim_date!A:A,0)),"")</f>
        <v>12</v>
      </c>
      <c r="M357" s="9" t="str">
        <f t="array" ref="M357">IFERROR(INDEX(dim_date!I:I,MATCH(A357,dim_date!A:A,0)),"")</f>
        <v>Q4</v>
      </c>
      <c r="N357" s="20" t="str">
        <f t="array" ref="N357">IFERROR(INDEX(dim_date!K:K,MATCH(A357,dim_date!A:A,0)),"")</f>
        <v>50</v>
      </c>
      <c r="O357" s="9" t="str">
        <f t="array" ref="O357">IFERROR(INDEX(dim_date!F:F,MATCH(A357,dim_date!A:A,0)),"")</f>
        <v>12/6-12/12</v>
      </c>
      <c r="P357" s="9" t="str">
        <f t="array" ref="P357">IFERROR(INDEX(dim_kpi!E:E,MATCH(D357,dim_kpi!C:C,0)),"")</f>
        <v>count</v>
      </c>
      <c r="Q357" s="9" t="str">
        <f t="array" ref="Q357">IFERROR(INDEX(dim_kpi!F:F,MATCH(D357,dim_kpi!C:C,0)),"")</f>
        <v>N</v>
      </c>
    </row>
    <row r="358" ht="12.75" customHeight="1">
      <c r="A358" s="20" t="str">
        <f>fact_kpi_weekly!A358</f>
        <v>261213</v>
      </c>
      <c r="B358" s="21">
        <f>fact_kpi_weekly!B358</f>
        <v>46369</v>
      </c>
      <c r="C358" s="9" t="str">
        <f>fact_kpi_weekly!C358</f>
        <v>Growth</v>
      </c>
      <c r="D358" s="9" t="str">
        <f>fact_kpi_weekly!D358</f>
        <v>New Marketable Patients - Same Store</v>
      </c>
      <c r="E358" s="9" t="str">
        <f>fact_kpi_weekly!E358</f>
        <v>Forecast</v>
      </c>
      <c r="F358" s="9" t="str">
        <f>IF(fact_kpi_weekly!F358="","",fact_kpi_weekly!F358)</f>
        <v/>
      </c>
      <c r="G358" s="9" t="str">
        <f>fact_kpi_weekly!G358</f>
        <v>Same Store</v>
      </c>
      <c r="H358" s="9" t="str">
        <f>fact_kpi_weekly!H358</f>
        <v>Sheila</v>
      </c>
      <c r="I358" s="9">
        <f>fact_kpi_weekly!I358</f>
        <v>0</v>
      </c>
      <c r="J358" s="22">
        <f>fact_kpi_weekly!J358</f>
        <v>0</v>
      </c>
      <c r="K358" s="20" t="str">
        <f t="array" ref="K358">IFERROR(INDEX(dim_date!H:H,MATCH(A358,dim_date!A:A,0)),"")</f>
        <v>Dec</v>
      </c>
      <c r="L358" s="20" t="str">
        <f t="array" ref="L358">IFERROR(INDEX(dim_date!G:G,MATCH(A358,dim_date!A:A,0)),"")</f>
        <v>12</v>
      </c>
      <c r="M358" s="9" t="str">
        <f t="array" ref="M358">IFERROR(INDEX(dim_date!I:I,MATCH(A358,dim_date!A:A,0)),"")</f>
        <v>Q4</v>
      </c>
      <c r="N358" s="20" t="str">
        <f t="array" ref="N358">IFERROR(INDEX(dim_date!K:K,MATCH(A358,dim_date!A:A,0)),"")</f>
        <v>51</v>
      </c>
      <c r="O358" s="9" t="str">
        <f t="array" ref="O358">IFERROR(INDEX(dim_date!F:F,MATCH(A358,dim_date!A:A,0)),"")</f>
        <v>12/13-12/19</v>
      </c>
      <c r="P358" s="9" t="str">
        <f t="array" ref="P358">IFERROR(INDEX(dim_kpi!E:E,MATCH(D358,dim_kpi!C:C,0)),"")</f>
        <v>count</v>
      </c>
      <c r="Q358" s="9" t="str">
        <f t="array" ref="Q358">IFERROR(INDEX(dim_kpi!F:F,MATCH(D358,dim_kpi!C:C,0)),"")</f>
        <v>N</v>
      </c>
    </row>
    <row r="359" ht="12.75" customHeight="1">
      <c r="A359" s="20" t="str">
        <f>fact_kpi_weekly!A359</f>
        <v>261220</v>
      </c>
      <c r="B359" s="21">
        <f>fact_kpi_weekly!B359</f>
        <v>46376</v>
      </c>
      <c r="C359" s="9" t="str">
        <f>fact_kpi_weekly!C359</f>
        <v>Growth</v>
      </c>
      <c r="D359" s="9" t="str">
        <f>fact_kpi_weekly!D359</f>
        <v>New Marketable Patients - Same Store</v>
      </c>
      <c r="E359" s="9" t="str">
        <f>fact_kpi_weekly!E359</f>
        <v>Forecast</v>
      </c>
      <c r="F359" s="9" t="str">
        <f>IF(fact_kpi_weekly!F359="","",fact_kpi_weekly!F359)</f>
        <v/>
      </c>
      <c r="G359" s="9" t="str">
        <f>fact_kpi_weekly!G359</f>
        <v>Same Store</v>
      </c>
      <c r="H359" s="9" t="str">
        <f>fact_kpi_weekly!H359</f>
        <v>Sheila</v>
      </c>
      <c r="I359" s="9">
        <f>fact_kpi_weekly!I359</f>
        <v>0</v>
      </c>
      <c r="J359" s="22">
        <f>fact_kpi_weekly!J359</f>
        <v>0</v>
      </c>
      <c r="K359" s="20" t="str">
        <f t="array" ref="K359">IFERROR(INDEX(dim_date!H:H,MATCH(A359,dim_date!A:A,0)),"")</f>
        <v>Dec</v>
      </c>
      <c r="L359" s="20" t="str">
        <f t="array" ref="L359">IFERROR(INDEX(dim_date!G:G,MATCH(A359,dim_date!A:A,0)),"")</f>
        <v>12</v>
      </c>
      <c r="M359" s="9" t="str">
        <f t="array" ref="M359">IFERROR(INDEX(dim_date!I:I,MATCH(A359,dim_date!A:A,0)),"")</f>
        <v>Q4</v>
      </c>
      <c r="N359" s="20" t="str">
        <f t="array" ref="N359">IFERROR(INDEX(dim_date!K:K,MATCH(A359,dim_date!A:A,0)),"")</f>
        <v>52</v>
      </c>
      <c r="O359" s="9" t="str">
        <f t="array" ref="O359">IFERROR(INDEX(dim_date!F:F,MATCH(A359,dim_date!A:A,0)),"")</f>
        <v>12/20-12/26</v>
      </c>
      <c r="P359" s="9" t="str">
        <f t="array" ref="P359">IFERROR(INDEX(dim_kpi!E:E,MATCH(D359,dim_kpi!C:C,0)),"")</f>
        <v>count</v>
      </c>
      <c r="Q359" s="9" t="str">
        <f t="array" ref="Q359">IFERROR(INDEX(dim_kpi!F:F,MATCH(D359,dim_kpi!C:C,0)),"")</f>
        <v>N</v>
      </c>
    </row>
    <row r="360" ht="12.75" customHeight="1">
      <c r="A360" s="20" t="str">
        <f>fact_kpi_weekly!A360</f>
        <v>261227</v>
      </c>
      <c r="B360" s="21">
        <f>fact_kpi_weekly!B360</f>
        <v>46383</v>
      </c>
      <c r="C360" s="9" t="str">
        <f>fact_kpi_weekly!C360</f>
        <v>Growth</v>
      </c>
      <c r="D360" s="9" t="str">
        <f>fact_kpi_weekly!D360</f>
        <v>New Marketable Patients - Same Store</v>
      </c>
      <c r="E360" s="9" t="str">
        <f>fact_kpi_weekly!E360</f>
        <v>Forecast</v>
      </c>
      <c r="F360" s="9" t="str">
        <f>IF(fact_kpi_weekly!F360="","",fact_kpi_weekly!F360)</f>
        <v/>
      </c>
      <c r="G360" s="9" t="str">
        <f>fact_kpi_weekly!G360</f>
        <v>Same Store</v>
      </c>
      <c r="H360" s="9" t="str">
        <f>fact_kpi_weekly!H360</f>
        <v>Sheila</v>
      </c>
      <c r="I360" s="9">
        <f>fact_kpi_weekly!I360</f>
        <v>0</v>
      </c>
      <c r="J360" s="22">
        <f>fact_kpi_weekly!J360</f>
        <v>0</v>
      </c>
      <c r="K360" s="20" t="str">
        <f t="array" ref="K360">IFERROR(INDEX(dim_date!H:H,MATCH(A360,dim_date!A:A,0)),"")</f>
        <v>Dec</v>
      </c>
      <c r="L360" s="20" t="str">
        <f t="array" ref="L360">IFERROR(INDEX(dim_date!G:G,MATCH(A360,dim_date!A:A,0)),"")</f>
        <v>12</v>
      </c>
      <c r="M360" s="9" t="str">
        <f t="array" ref="M360">IFERROR(INDEX(dim_date!I:I,MATCH(A360,dim_date!A:A,0)),"")</f>
        <v>Q4</v>
      </c>
      <c r="N360" s="20" t="str">
        <f t="array" ref="N360">IFERROR(INDEX(dim_date!K:K,MATCH(A360,dim_date!A:A,0)),"")</f>
        <v>53</v>
      </c>
      <c r="O360" s="9" t="str">
        <f t="array" ref="O360">IFERROR(INDEX(dim_date!F:F,MATCH(A360,dim_date!A:A,0)),"")</f>
        <v>12/27-1/2</v>
      </c>
      <c r="P360" s="9" t="str">
        <f t="array" ref="P360">IFERROR(INDEX(dim_kpi!E:E,MATCH(D360,dim_kpi!C:C,0)),"")</f>
        <v>count</v>
      </c>
      <c r="Q360" s="9" t="str">
        <f t="array" ref="Q360">IFERROR(INDEX(dim_kpi!F:F,MATCH(D360,dim_kpi!C:C,0)),"")</f>
        <v>N</v>
      </c>
    </row>
    <row r="361" ht="12.75" customHeight="1">
      <c r="A361" s="20" t="str">
        <f>fact_kpi_weekly!A361</f>
        <v>260301</v>
      </c>
      <c r="B361" s="21">
        <f>fact_kpi_weekly!B361</f>
        <v>46082</v>
      </c>
      <c r="C361" s="9" t="str">
        <f>fact_kpi_weekly!C361</f>
        <v>Growth</v>
      </c>
      <c r="D361" s="9" t="str">
        <f>fact_kpi_weekly!D361</f>
        <v>New Marketable Patients - Same Store</v>
      </c>
      <c r="E361" s="9" t="str">
        <f>fact_kpi_weekly!E361</f>
        <v>Actual</v>
      </c>
      <c r="F361" s="9" t="str">
        <f>IF(fact_kpi_weekly!F361="","",fact_kpi_weekly!F361)</f>
        <v/>
      </c>
      <c r="G361" s="9" t="str">
        <f>fact_kpi_weekly!G361</f>
        <v>Same Store</v>
      </c>
      <c r="H361" s="9" t="str">
        <f>fact_kpi_weekly!H361</f>
        <v>Sheila</v>
      </c>
      <c r="I361" s="9">
        <f>fact_kpi_weekly!I361</f>
        <v>1500</v>
      </c>
      <c r="J361" s="22">
        <f>fact_kpi_weekly!J361</f>
        <v>1500</v>
      </c>
      <c r="K361" s="20" t="str">
        <f t="array" ref="K361">IFERROR(INDEX(dim_date!H:H,MATCH(A361,dim_date!A:A,0)),"")</f>
        <v>Mar</v>
      </c>
      <c r="L361" s="20" t="str">
        <f t="array" ref="L361">IFERROR(INDEX(dim_date!G:G,MATCH(A361,dim_date!A:A,0)),"")</f>
        <v>03</v>
      </c>
      <c r="M361" s="9" t="str">
        <f t="array" ref="M361">IFERROR(INDEX(dim_date!I:I,MATCH(A361,dim_date!A:A,0)),"")</f>
        <v>Q1</v>
      </c>
      <c r="N361" s="20" t="str">
        <f t="array" ref="N361">IFERROR(INDEX(dim_date!K:K,MATCH(A361,dim_date!A:A,0)),"")</f>
        <v>10</v>
      </c>
      <c r="O361" s="9" t="str">
        <f t="array" ref="O361">IFERROR(INDEX(dim_date!F:F,MATCH(A361,dim_date!A:A,0)),"")</f>
        <v>3/1-3/7</v>
      </c>
      <c r="P361" s="9" t="str">
        <f t="array" ref="P361">IFERROR(INDEX(dim_kpi!E:E,MATCH(D361,dim_kpi!C:C,0)),"")</f>
        <v>count</v>
      </c>
      <c r="Q361" s="9" t="str">
        <f t="array" ref="Q361">IFERROR(INDEX(dim_kpi!F:F,MATCH(D361,dim_kpi!C:C,0)),"")</f>
        <v>N</v>
      </c>
    </row>
    <row r="362" ht="12.75" customHeight="1">
      <c r="A362" s="20" t="str">
        <f>fact_kpi_weekly!A362</f>
        <v>260301</v>
      </c>
      <c r="B362" s="21">
        <f>fact_kpi_weekly!B362</f>
        <v>46082</v>
      </c>
      <c r="C362" s="9" t="str">
        <f>fact_kpi_weekly!C362</f>
        <v>Growth</v>
      </c>
      <c r="D362" s="9" t="str">
        <f>fact_kpi_weekly!D362</f>
        <v>Total Activations</v>
      </c>
      <c r="E362" s="9" t="str">
        <f>fact_kpi_weekly!E362</f>
        <v>Forecast</v>
      </c>
      <c r="F362" s="9" t="str">
        <f>IF(fact_kpi_weekly!F362="","",fact_kpi_weekly!F362)</f>
        <v>Internal</v>
      </c>
      <c r="G362" s="9" t="str">
        <f>fact_kpi_weekly!G362</f>
        <v>N/A</v>
      </c>
      <c r="H362" s="9" t="str">
        <f>fact_kpi_weekly!H362</f>
        <v>Luke</v>
      </c>
      <c r="I362" s="9">
        <f>fact_kpi_weekly!I362</f>
        <v>150</v>
      </c>
      <c r="J362" s="22">
        <f>fact_kpi_weekly!J362</f>
        <v>150</v>
      </c>
      <c r="K362" s="20" t="str">
        <f t="array" ref="K362">IFERROR(INDEX(dim_date!H:H,MATCH(A362,dim_date!A:A,0)),"")</f>
        <v>Mar</v>
      </c>
      <c r="L362" s="20" t="str">
        <f t="array" ref="L362">IFERROR(INDEX(dim_date!G:G,MATCH(A362,dim_date!A:A,0)),"")</f>
        <v>03</v>
      </c>
      <c r="M362" s="9" t="str">
        <f t="array" ref="M362">IFERROR(INDEX(dim_date!I:I,MATCH(A362,dim_date!A:A,0)),"")</f>
        <v>Q1</v>
      </c>
      <c r="N362" s="20" t="str">
        <f t="array" ref="N362">IFERROR(INDEX(dim_date!K:K,MATCH(A362,dim_date!A:A,0)),"")</f>
        <v>10</v>
      </c>
      <c r="O362" s="9" t="str">
        <f t="array" ref="O362">IFERROR(INDEX(dim_date!F:F,MATCH(A362,dim_date!A:A,0)),"")</f>
        <v>3/1-3/7</v>
      </c>
      <c r="P362" s="9" t="str">
        <f t="array" ref="P362">IFERROR(INDEX(dim_kpi!E:E,MATCH(D362,dim_kpi!C:C,0)),"")</f>
        <v>count</v>
      </c>
      <c r="Q362" s="9" t="str">
        <f t="array" ref="Q362">IFERROR(INDEX(dim_kpi!F:F,MATCH(D362,dim_kpi!C:C,0)),"")</f>
        <v>N</v>
      </c>
    </row>
    <row r="363" ht="12.75" customHeight="1">
      <c r="A363" s="20" t="str">
        <f>fact_kpi_weekly!A363</f>
        <v>260308</v>
      </c>
      <c r="B363" s="21">
        <f>fact_kpi_weekly!B363</f>
        <v>46089</v>
      </c>
      <c r="C363" s="9" t="str">
        <f>fact_kpi_weekly!C363</f>
        <v>Growth</v>
      </c>
      <c r="D363" s="9" t="str">
        <f>fact_kpi_weekly!D363</f>
        <v>Total Activations</v>
      </c>
      <c r="E363" s="9" t="str">
        <f>fact_kpi_weekly!E363</f>
        <v>Forecast</v>
      </c>
      <c r="F363" s="9" t="str">
        <f>IF(fact_kpi_weekly!F363="","",fact_kpi_weekly!F363)</f>
        <v>Internal</v>
      </c>
      <c r="G363" s="9" t="str">
        <f>fact_kpi_weekly!G363</f>
        <v>N/A</v>
      </c>
      <c r="H363" s="9" t="str">
        <f>fact_kpi_weekly!H363</f>
        <v>Luke</v>
      </c>
      <c r="I363" s="9">
        <f>fact_kpi_weekly!I363</f>
        <v>150</v>
      </c>
      <c r="J363" s="22">
        <f>fact_kpi_weekly!J363</f>
        <v>150</v>
      </c>
      <c r="K363" s="20" t="str">
        <f t="array" ref="K363">IFERROR(INDEX(dim_date!H:H,MATCH(A363,dim_date!A:A,0)),"")</f>
        <v>Mar</v>
      </c>
      <c r="L363" s="20" t="str">
        <f t="array" ref="L363">IFERROR(INDEX(dim_date!G:G,MATCH(A363,dim_date!A:A,0)),"")</f>
        <v>03</v>
      </c>
      <c r="M363" s="9" t="str">
        <f t="array" ref="M363">IFERROR(INDEX(dim_date!I:I,MATCH(A363,dim_date!A:A,0)),"")</f>
        <v>Q1</v>
      </c>
      <c r="N363" s="20" t="str">
        <f t="array" ref="N363">IFERROR(INDEX(dim_date!K:K,MATCH(A363,dim_date!A:A,0)),"")</f>
        <v>11</v>
      </c>
      <c r="O363" s="9" t="str">
        <f t="array" ref="O363">IFERROR(INDEX(dim_date!F:F,MATCH(A363,dim_date!A:A,0)),"")</f>
        <v>3/8-3/14</v>
      </c>
      <c r="P363" s="9" t="str">
        <f t="array" ref="P363">IFERROR(INDEX(dim_kpi!E:E,MATCH(D363,dim_kpi!C:C,0)),"")</f>
        <v>count</v>
      </c>
      <c r="Q363" s="9" t="str">
        <f t="array" ref="Q363">IFERROR(INDEX(dim_kpi!F:F,MATCH(D363,dim_kpi!C:C,0)),"")</f>
        <v>N</v>
      </c>
    </row>
    <row r="364" ht="12.75" customHeight="1">
      <c r="A364" s="20" t="str">
        <f>fact_kpi_weekly!A364</f>
        <v>260315</v>
      </c>
      <c r="B364" s="21">
        <f>fact_kpi_weekly!B364</f>
        <v>46096</v>
      </c>
      <c r="C364" s="9" t="str">
        <f>fact_kpi_weekly!C364</f>
        <v>Growth</v>
      </c>
      <c r="D364" s="9" t="str">
        <f>fact_kpi_weekly!D364</f>
        <v>Total Activations</v>
      </c>
      <c r="E364" s="9" t="str">
        <f>fact_kpi_weekly!E364</f>
        <v>Forecast</v>
      </c>
      <c r="F364" s="9" t="str">
        <f>IF(fact_kpi_weekly!F364="","",fact_kpi_weekly!F364)</f>
        <v>Internal</v>
      </c>
      <c r="G364" s="9" t="str">
        <f>fact_kpi_weekly!G364</f>
        <v>N/A</v>
      </c>
      <c r="H364" s="9" t="str">
        <f>fact_kpi_weekly!H364</f>
        <v>Luke</v>
      </c>
      <c r="I364" s="9">
        <f>fact_kpi_weekly!I364</f>
        <v>150</v>
      </c>
      <c r="J364" s="22">
        <f>fact_kpi_weekly!J364</f>
        <v>150</v>
      </c>
      <c r="K364" s="20" t="str">
        <f t="array" ref="K364">IFERROR(INDEX(dim_date!H:H,MATCH(A364,dim_date!A:A,0)),"")</f>
        <v>Mar</v>
      </c>
      <c r="L364" s="20" t="str">
        <f t="array" ref="L364">IFERROR(INDEX(dim_date!G:G,MATCH(A364,dim_date!A:A,0)),"")</f>
        <v>03</v>
      </c>
      <c r="M364" s="9" t="str">
        <f t="array" ref="M364">IFERROR(INDEX(dim_date!I:I,MATCH(A364,dim_date!A:A,0)),"")</f>
        <v>Q1</v>
      </c>
      <c r="N364" s="20" t="str">
        <f t="array" ref="N364">IFERROR(INDEX(dim_date!K:K,MATCH(A364,dim_date!A:A,0)),"")</f>
        <v>12</v>
      </c>
      <c r="O364" s="9" t="str">
        <f t="array" ref="O364">IFERROR(INDEX(dim_date!F:F,MATCH(A364,dim_date!A:A,0)),"")</f>
        <v>3/15-3/21</v>
      </c>
      <c r="P364" s="9" t="str">
        <f t="array" ref="P364">IFERROR(INDEX(dim_kpi!E:E,MATCH(D364,dim_kpi!C:C,0)),"")</f>
        <v>count</v>
      </c>
      <c r="Q364" s="9" t="str">
        <f t="array" ref="Q364">IFERROR(INDEX(dim_kpi!F:F,MATCH(D364,dim_kpi!C:C,0)),"")</f>
        <v>N</v>
      </c>
    </row>
    <row r="365" ht="12.75" customHeight="1">
      <c r="A365" s="20" t="str">
        <f>fact_kpi_weekly!A365</f>
        <v>260322</v>
      </c>
      <c r="B365" s="21">
        <f>fact_kpi_weekly!B365</f>
        <v>46103</v>
      </c>
      <c r="C365" s="9" t="str">
        <f>fact_kpi_weekly!C365</f>
        <v>Growth</v>
      </c>
      <c r="D365" s="9" t="str">
        <f>fact_kpi_weekly!D365</f>
        <v>Total Activations</v>
      </c>
      <c r="E365" s="9" t="str">
        <f>fact_kpi_weekly!E365</f>
        <v>Forecast</v>
      </c>
      <c r="F365" s="9" t="str">
        <f>IF(fact_kpi_weekly!F365="","",fact_kpi_weekly!F365)</f>
        <v>Internal</v>
      </c>
      <c r="G365" s="9" t="str">
        <f>fact_kpi_weekly!G365</f>
        <v>N/A</v>
      </c>
      <c r="H365" s="9" t="str">
        <f>fact_kpi_weekly!H365</f>
        <v>Luke</v>
      </c>
      <c r="I365" s="9">
        <f>fact_kpi_weekly!I365</f>
        <v>150</v>
      </c>
      <c r="J365" s="22">
        <f>fact_kpi_weekly!J365</f>
        <v>150</v>
      </c>
      <c r="K365" s="20" t="str">
        <f t="array" ref="K365">IFERROR(INDEX(dim_date!H:H,MATCH(A365,dim_date!A:A,0)),"")</f>
        <v>Mar</v>
      </c>
      <c r="L365" s="20" t="str">
        <f t="array" ref="L365">IFERROR(INDEX(dim_date!G:G,MATCH(A365,dim_date!A:A,0)),"")</f>
        <v>03</v>
      </c>
      <c r="M365" s="9" t="str">
        <f t="array" ref="M365">IFERROR(INDEX(dim_date!I:I,MATCH(A365,dim_date!A:A,0)),"")</f>
        <v>Q1</v>
      </c>
      <c r="N365" s="20" t="str">
        <f t="array" ref="N365">IFERROR(INDEX(dim_date!K:K,MATCH(A365,dim_date!A:A,0)),"")</f>
        <v>13</v>
      </c>
      <c r="O365" s="9" t="str">
        <f t="array" ref="O365">IFERROR(INDEX(dim_date!F:F,MATCH(A365,dim_date!A:A,0)),"")</f>
        <v>3/22-3/28</v>
      </c>
      <c r="P365" s="9" t="str">
        <f t="array" ref="P365">IFERROR(INDEX(dim_kpi!E:E,MATCH(D365,dim_kpi!C:C,0)),"")</f>
        <v>count</v>
      </c>
      <c r="Q365" s="9" t="str">
        <f t="array" ref="Q365">IFERROR(INDEX(dim_kpi!F:F,MATCH(D365,dim_kpi!C:C,0)),"")</f>
        <v>N</v>
      </c>
    </row>
    <row r="366" ht="12.75" customHeight="1">
      <c r="A366" s="20" t="str">
        <f>fact_kpi_weekly!A366</f>
        <v>260329</v>
      </c>
      <c r="B366" s="21">
        <f>fact_kpi_weekly!B366</f>
        <v>46110</v>
      </c>
      <c r="C366" s="9" t="str">
        <f>fact_kpi_weekly!C366</f>
        <v>Growth</v>
      </c>
      <c r="D366" s="9" t="str">
        <f>fact_kpi_weekly!D366</f>
        <v>Total Activations</v>
      </c>
      <c r="E366" s="9" t="str">
        <f>fact_kpi_weekly!E366</f>
        <v>Forecast</v>
      </c>
      <c r="F366" s="9" t="str">
        <f>IF(fact_kpi_weekly!F366="","",fact_kpi_weekly!F366)</f>
        <v>Internal</v>
      </c>
      <c r="G366" s="9" t="str">
        <f>fact_kpi_weekly!G366</f>
        <v>N/A</v>
      </c>
      <c r="H366" s="9" t="str">
        <f>fact_kpi_weekly!H366</f>
        <v>Luke</v>
      </c>
      <c r="I366" s="9">
        <f>fact_kpi_weekly!I366</f>
        <v>207</v>
      </c>
      <c r="J366" s="22">
        <f>fact_kpi_weekly!J366</f>
        <v>207</v>
      </c>
      <c r="K366" s="20" t="str">
        <f t="array" ref="K366">IFERROR(INDEX(dim_date!H:H,MATCH(A366,dim_date!A:A,0)),"")</f>
        <v>Mar</v>
      </c>
      <c r="L366" s="20" t="str">
        <f t="array" ref="L366">IFERROR(INDEX(dim_date!G:G,MATCH(A366,dim_date!A:A,0)),"")</f>
        <v>03</v>
      </c>
      <c r="M366" s="9" t="str">
        <f t="array" ref="M366">IFERROR(INDEX(dim_date!I:I,MATCH(A366,dim_date!A:A,0)),"")</f>
        <v>Q1</v>
      </c>
      <c r="N366" s="20" t="str">
        <f t="array" ref="N366">IFERROR(INDEX(dim_date!K:K,MATCH(A366,dim_date!A:A,0)),"")</f>
        <v>14</v>
      </c>
      <c r="O366" s="9" t="str">
        <f t="array" ref="O366">IFERROR(INDEX(dim_date!F:F,MATCH(A366,dim_date!A:A,0)),"")</f>
        <v>3/29-4/4</v>
      </c>
      <c r="P366" s="9" t="str">
        <f t="array" ref="P366">IFERROR(INDEX(dim_kpi!E:E,MATCH(D366,dim_kpi!C:C,0)),"")</f>
        <v>count</v>
      </c>
      <c r="Q366" s="9" t="str">
        <f t="array" ref="Q366">IFERROR(INDEX(dim_kpi!F:F,MATCH(D366,dim_kpi!C:C,0)),"")</f>
        <v>N</v>
      </c>
    </row>
    <row r="367" ht="12.75" customHeight="1">
      <c r="A367" s="20" t="str">
        <f>fact_kpi_weekly!A367</f>
        <v>260405</v>
      </c>
      <c r="B367" s="21">
        <f>fact_kpi_weekly!B367</f>
        <v>46117</v>
      </c>
      <c r="C367" s="9" t="str">
        <f>fact_kpi_weekly!C367</f>
        <v>Growth</v>
      </c>
      <c r="D367" s="9" t="str">
        <f>fact_kpi_weekly!D367</f>
        <v>Total Activations</v>
      </c>
      <c r="E367" s="9" t="str">
        <f>fact_kpi_weekly!E367</f>
        <v>Forecast</v>
      </c>
      <c r="F367" s="9" t="str">
        <f>IF(fact_kpi_weekly!F367="","",fact_kpi_weekly!F367)</f>
        <v>Internal</v>
      </c>
      <c r="G367" s="9" t="str">
        <f>fact_kpi_weekly!G367</f>
        <v>N/A</v>
      </c>
      <c r="H367" s="9" t="str">
        <f>fact_kpi_weekly!H367</f>
        <v>Luke</v>
      </c>
      <c r="I367" s="9">
        <f>fact_kpi_weekly!I367</f>
        <v>245</v>
      </c>
      <c r="J367" s="22">
        <f>fact_kpi_weekly!J367</f>
        <v>245</v>
      </c>
      <c r="K367" s="20" t="str">
        <f t="array" ref="K367">IFERROR(INDEX(dim_date!H:H,MATCH(A367,dim_date!A:A,0)),"")</f>
        <v>Apr</v>
      </c>
      <c r="L367" s="20" t="str">
        <f t="array" ref="L367">IFERROR(INDEX(dim_date!G:G,MATCH(A367,dim_date!A:A,0)),"")</f>
        <v>04</v>
      </c>
      <c r="M367" s="9" t="str">
        <f t="array" ref="M367">IFERROR(INDEX(dim_date!I:I,MATCH(A367,dim_date!A:A,0)),"")</f>
        <v>Q2</v>
      </c>
      <c r="N367" s="20" t="str">
        <f t="array" ref="N367">IFERROR(INDEX(dim_date!K:K,MATCH(A367,dim_date!A:A,0)),"")</f>
        <v>15</v>
      </c>
      <c r="O367" s="9" t="str">
        <f t="array" ref="O367">IFERROR(INDEX(dim_date!F:F,MATCH(A367,dim_date!A:A,0)),"")</f>
        <v>4/5-4/11</v>
      </c>
      <c r="P367" s="9" t="str">
        <f t="array" ref="P367">IFERROR(INDEX(dim_kpi!E:E,MATCH(D367,dim_kpi!C:C,0)),"")</f>
        <v>count</v>
      </c>
      <c r="Q367" s="9" t="str">
        <f t="array" ref="Q367">IFERROR(INDEX(dim_kpi!F:F,MATCH(D367,dim_kpi!C:C,0)),"")</f>
        <v>N</v>
      </c>
    </row>
    <row r="368" ht="12.75" customHeight="1">
      <c r="A368" s="20" t="str">
        <f>fact_kpi_weekly!A368</f>
        <v>260412</v>
      </c>
      <c r="B368" s="21">
        <f>fact_kpi_weekly!B368</f>
        <v>46124</v>
      </c>
      <c r="C368" s="9" t="str">
        <f>fact_kpi_weekly!C368</f>
        <v>Growth</v>
      </c>
      <c r="D368" s="9" t="str">
        <f>fact_kpi_weekly!D368</f>
        <v>Total Activations</v>
      </c>
      <c r="E368" s="9" t="str">
        <f>fact_kpi_weekly!E368</f>
        <v>Forecast</v>
      </c>
      <c r="F368" s="9" t="str">
        <f>IF(fact_kpi_weekly!F368="","",fact_kpi_weekly!F368)</f>
        <v>Internal</v>
      </c>
      <c r="G368" s="9" t="str">
        <f>fact_kpi_weekly!G368</f>
        <v>N/A</v>
      </c>
      <c r="H368" s="9" t="str">
        <f>fact_kpi_weekly!H368</f>
        <v>Luke</v>
      </c>
      <c r="I368" s="9">
        <f>fact_kpi_weekly!I368</f>
        <v>245</v>
      </c>
      <c r="J368" s="22">
        <f>fact_kpi_weekly!J368</f>
        <v>245</v>
      </c>
      <c r="K368" s="20" t="str">
        <f t="array" ref="K368">IFERROR(INDEX(dim_date!H:H,MATCH(A368,dim_date!A:A,0)),"")</f>
        <v>Apr</v>
      </c>
      <c r="L368" s="20" t="str">
        <f t="array" ref="L368">IFERROR(INDEX(dim_date!G:G,MATCH(A368,dim_date!A:A,0)),"")</f>
        <v>04</v>
      </c>
      <c r="M368" s="9" t="str">
        <f t="array" ref="M368">IFERROR(INDEX(dim_date!I:I,MATCH(A368,dim_date!A:A,0)),"")</f>
        <v>Q2</v>
      </c>
      <c r="N368" s="20" t="str">
        <f t="array" ref="N368">IFERROR(INDEX(dim_date!K:K,MATCH(A368,dim_date!A:A,0)),"")</f>
        <v>16</v>
      </c>
      <c r="O368" s="9" t="str">
        <f t="array" ref="O368">IFERROR(INDEX(dim_date!F:F,MATCH(A368,dim_date!A:A,0)),"")</f>
        <v>4/12-4/18</v>
      </c>
      <c r="P368" s="9" t="str">
        <f t="array" ref="P368">IFERROR(INDEX(dim_kpi!E:E,MATCH(D368,dim_kpi!C:C,0)),"")</f>
        <v>count</v>
      </c>
      <c r="Q368" s="9" t="str">
        <f t="array" ref="Q368">IFERROR(INDEX(dim_kpi!F:F,MATCH(D368,dim_kpi!C:C,0)),"")</f>
        <v>N</v>
      </c>
    </row>
    <row r="369" ht="12.75" customHeight="1">
      <c r="A369" s="20" t="str">
        <f>fact_kpi_weekly!A369</f>
        <v>260419</v>
      </c>
      <c r="B369" s="21">
        <f>fact_kpi_weekly!B369</f>
        <v>46131</v>
      </c>
      <c r="C369" s="9" t="str">
        <f>fact_kpi_weekly!C369</f>
        <v>Growth</v>
      </c>
      <c r="D369" s="9" t="str">
        <f>fact_kpi_weekly!D369</f>
        <v>Total Activations</v>
      </c>
      <c r="E369" s="9" t="str">
        <f>fact_kpi_weekly!E369</f>
        <v>Forecast</v>
      </c>
      <c r="F369" s="9" t="str">
        <f>IF(fact_kpi_weekly!F369="","",fact_kpi_weekly!F369)</f>
        <v>Internal</v>
      </c>
      <c r="G369" s="9" t="str">
        <f>fact_kpi_weekly!G369</f>
        <v>N/A</v>
      </c>
      <c r="H369" s="9" t="str">
        <f>fact_kpi_weekly!H369</f>
        <v>Luke</v>
      </c>
      <c r="I369" s="9">
        <f>fact_kpi_weekly!I369</f>
        <v>245</v>
      </c>
      <c r="J369" s="22">
        <f>fact_kpi_weekly!J369</f>
        <v>245</v>
      </c>
      <c r="K369" s="20" t="str">
        <f t="array" ref="K369">IFERROR(INDEX(dim_date!H:H,MATCH(A369,dim_date!A:A,0)),"")</f>
        <v>Apr</v>
      </c>
      <c r="L369" s="20" t="str">
        <f t="array" ref="L369">IFERROR(INDEX(dim_date!G:G,MATCH(A369,dim_date!A:A,0)),"")</f>
        <v>04</v>
      </c>
      <c r="M369" s="9" t="str">
        <f t="array" ref="M369">IFERROR(INDEX(dim_date!I:I,MATCH(A369,dim_date!A:A,0)),"")</f>
        <v>Q2</v>
      </c>
      <c r="N369" s="20" t="str">
        <f t="array" ref="N369">IFERROR(INDEX(dim_date!K:K,MATCH(A369,dim_date!A:A,0)),"")</f>
        <v>17</v>
      </c>
      <c r="O369" s="9" t="str">
        <f t="array" ref="O369">IFERROR(INDEX(dim_date!F:F,MATCH(A369,dim_date!A:A,0)),"")</f>
        <v>4/19-4/25</v>
      </c>
      <c r="P369" s="9" t="str">
        <f t="array" ref="P369">IFERROR(INDEX(dim_kpi!E:E,MATCH(D369,dim_kpi!C:C,0)),"")</f>
        <v>count</v>
      </c>
      <c r="Q369" s="9" t="str">
        <f t="array" ref="Q369">IFERROR(INDEX(dim_kpi!F:F,MATCH(D369,dim_kpi!C:C,0)),"")</f>
        <v>N</v>
      </c>
    </row>
    <row r="370" ht="12.75" customHeight="1">
      <c r="A370" s="20" t="str">
        <f>fact_kpi_weekly!A370</f>
        <v>260426</v>
      </c>
      <c r="B370" s="21">
        <f>fact_kpi_weekly!B370</f>
        <v>46138</v>
      </c>
      <c r="C370" s="9" t="str">
        <f>fact_kpi_weekly!C370</f>
        <v>Growth</v>
      </c>
      <c r="D370" s="9" t="str">
        <f>fact_kpi_weekly!D370</f>
        <v>Total Activations</v>
      </c>
      <c r="E370" s="9" t="str">
        <f>fact_kpi_weekly!E370</f>
        <v>Forecast</v>
      </c>
      <c r="F370" s="9" t="str">
        <f>IF(fact_kpi_weekly!F370="","",fact_kpi_weekly!F370)</f>
        <v>Internal</v>
      </c>
      <c r="G370" s="9" t="str">
        <f>fact_kpi_weekly!G370</f>
        <v>N/A</v>
      </c>
      <c r="H370" s="9" t="str">
        <f>fact_kpi_weekly!H370</f>
        <v>Luke</v>
      </c>
      <c r="I370" s="9">
        <f>fact_kpi_weekly!I370</f>
        <v>269</v>
      </c>
      <c r="J370" s="22">
        <f>fact_kpi_weekly!J370</f>
        <v>269</v>
      </c>
      <c r="K370" s="20" t="str">
        <f t="array" ref="K370">IFERROR(INDEX(dim_date!H:H,MATCH(A370,dim_date!A:A,0)),"")</f>
        <v>Apr</v>
      </c>
      <c r="L370" s="20" t="str">
        <f t="array" ref="L370">IFERROR(INDEX(dim_date!G:G,MATCH(A370,dim_date!A:A,0)),"")</f>
        <v>04</v>
      </c>
      <c r="M370" s="9" t="str">
        <f t="array" ref="M370">IFERROR(INDEX(dim_date!I:I,MATCH(A370,dim_date!A:A,0)),"")</f>
        <v>Q2</v>
      </c>
      <c r="N370" s="20" t="str">
        <f t="array" ref="N370">IFERROR(INDEX(dim_date!K:K,MATCH(A370,dim_date!A:A,0)),"")</f>
        <v>18</v>
      </c>
      <c r="O370" s="9" t="str">
        <f t="array" ref="O370">IFERROR(INDEX(dim_date!F:F,MATCH(A370,dim_date!A:A,0)),"")</f>
        <v>4/26-5/2</v>
      </c>
      <c r="P370" s="9" t="str">
        <f t="array" ref="P370">IFERROR(INDEX(dim_kpi!E:E,MATCH(D370,dim_kpi!C:C,0)),"")</f>
        <v>count</v>
      </c>
      <c r="Q370" s="9" t="str">
        <f t="array" ref="Q370">IFERROR(INDEX(dim_kpi!F:F,MATCH(D370,dim_kpi!C:C,0)),"")</f>
        <v>N</v>
      </c>
    </row>
    <row r="371" ht="12.75" customHeight="1">
      <c r="A371" s="20" t="str">
        <f>fact_kpi_weekly!A371</f>
        <v>260503</v>
      </c>
      <c r="B371" s="21">
        <f>fact_kpi_weekly!B371</f>
        <v>46145</v>
      </c>
      <c r="C371" s="9" t="str">
        <f>fact_kpi_weekly!C371</f>
        <v>Growth</v>
      </c>
      <c r="D371" s="9" t="str">
        <f>fact_kpi_weekly!D371</f>
        <v>Total Activations</v>
      </c>
      <c r="E371" s="9" t="str">
        <f>fact_kpi_weekly!E371</f>
        <v>Forecast</v>
      </c>
      <c r="F371" s="9" t="str">
        <f>IF(fact_kpi_weekly!F371="","",fact_kpi_weekly!F371)</f>
        <v>Internal</v>
      </c>
      <c r="G371" s="9" t="str">
        <f>fact_kpi_weekly!G371</f>
        <v>N/A</v>
      </c>
      <c r="H371" s="9" t="str">
        <f>fact_kpi_weekly!H371</f>
        <v>Luke</v>
      </c>
      <c r="I371" s="9">
        <f>fact_kpi_weekly!I371</f>
        <v>365</v>
      </c>
      <c r="J371" s="22">
        <f>fact_kpi_weekly!J371</f>
        <v>365</v>
      </c>
      <c r="K371" s="20" t="str">
        <f t="array" ref="K371">IFERROR(INDEX(dim_date!H:H,MATCH(A371,dim_date!A:A,0)),"")</f>
        <v>May</v>
      </c>
      <c r="L371" s="20" t="str">
        <f t="array" ref="L371">IFERROR(INDEX(dim_date!G:G,MATCH(A371,dim_date!A:A,0)),"")</f>
        <v>05</v>
      </c>
      <c r="M371" s="9" t="str">
        <f t="array" ref="M371">IFERROR(INDEX(dim_date!I:I,MATCH(A371,dim_date!A:A,0)),"")</f>
        <v>Q2</v>
      </c>
      <c r="N371" s="20" t="str">
        <f t="array" ref="N371">IFERROR(INDEX(dim_date!K:K,MATCH(A371,dim_date!A:A,0)),"")</f>
        <v>19</v>
      </c>
      <c r="O371" s="9" t="str">
        <f t="array" ref="O371">IFERROR(INDEX(dim_date!F:F,MATCH(A371,dim_date!A:A,0)),"")</f>
        <v>5/3-5/9</v>
      </c>
      <c r="P371" s="9" t="str">
        <f t="array" ref="P371">IFERROR(INDEX(dim_kpi!E:E,MATCH(D371,dim_kpi!C:C,0)),"")</f>
        <v>count</v>
      </c>
      <c r="Q371" s="9" t="str">
        <f t="array" ref="Q371">IFERROR(INDEX(dim_kpi!F:F,MATCH(D371,dim_kpi!C:C,0)),"")</f>
        <v>N</v>
      </c>
    </row>
    <row r="372" ht="12.75" customHeight="1">
      <c r="A372" s="20" t="str">
        <f>fact_kpi_weekly!A372</f>
        <v>260510</v>
      </c>
      <c r="B372" s="21">
        <f>fact_kpi_weekly!B372</f>
        <v>46152</v>
      </c>
      <c r="C372" s="9" t="str">
        <f>fact_kpi_weekly!C372</f>
        <v>Growth</v>
      </c>
      <c r="D372" s="9" t="str">
        <f>fact_kpi_weekly!D372</f>
        <v>Total Activations</v>
      </c>
      <c r="E372" s="9" t="str">
        <f>fact_kpi_weekly!E372</f>
        <v>Forecast</v>
      </c>
      <c r="F372" s="9" t="str">
        <f>IF(fact_kpi_weekly!F372="","",fact_kpi_weekly!F372)</f>
        <v>Internal</v>
      </c>
      <c r="G372" s="9" t="str">
        <f>fact_kpi_weekly!G372</f>
        <v>N/A</v>
      </c>
      <c r="H372" s="9" t="str">
        <f>fact_kpi_weekly!H372</f>
        <v>Luke</v>
      </c>
      <c r="I372" s="9">
        <f>fact_kpi_weekly!I372</f>
        <v>365</v>
      </c>
      <c r="J372" s="22">
        <f>fact_kpi_weekly!J372</f>
        <v>365</v>
      </c>
      <c r="K372" s="20" t="str">
        <f t="array" ref="K372">IFERROR(INDEX(dim_date!H:H,MATCH(A372,dim_date!A:A,0)),"")</f>
        <v>May</v>
      </c>
      <c r="L372" s="20" t="str">
        <f t="array" ref="L372">IFERROR(INDEX(dim_date!G:G,MATCH(A372,dim_date!A:A,0)),"")</f>
        <v>05</v>
      </c>
      <c r="M372" s="9" t="str">
        <f t="array" ref="M372">IFERROR(INDEX(dim_date!I:I,MATCH(A372,dim_date!A:A,0)),"")</f>
        <v>Q2</v>
      </c>
      <c r="N372" s="20" t="str">
        <f t="array" ref="N372">IFERROR(INDEX(dim_date!K:K,MATCH(A372,dim_date!A:A,0)),"")</f>
        <v>20</v>
      </c>
      <c r="O372" s="9" t="str">
        <f t="array" ref="O372">IFERROR(INDEX(dim_date!F:F,MATCH(A372,dim_date!A:A,0)),"")</f>
        <v>5/10-5/16</v>
      </c>
      <c r="P372" s="9" t="str">
        <f t="array" ref="P372">IFERROR(INDEX(dim_kpi!E:E,MATCH(D372,dim_kpi!C:C,0)),"")</f>
        <v>count</v>
      </c>
      <c r="Q372" s="9" t="str">
        <f t="array" ref="Q372">IFERROR(INDEX(dim_kpi!F:F,MATCH(D372,dim_kpi!C:C,0)),"")</f>
        <v>N</v>
      </c>
    </row>
    <row r="373" ht="12.75" customHeight="1">
      <c r="A373" s="20" t="str">
        <f>fact_kpi_weekly!A373</f>
        <v>260517</v>
      </c>
      <c r="B373" s="21">
        <f>fact_kpi_weekly!B373</f>
        <v>46159</v>
      </c>
      <c r="C373" s="9" t="str">
        <f>fact_kpi_weekly!C373</f>
        <v>Growth</v>
      </c>
      <c r="D373" s="9" t="str">
        <f>fact_kpi_weekly!D373</f>
        <v>Total Activations</v>
      </c>
      <c r="E373" s="9" t="str">
        <f>fact_kpi_weekly!E373</f>
        <v>Forecast</v>
      </c>
      <c r="F373" s="9" t="str">
        <f>IF(fact_kpi_weekly!F373="","",fact_kpi_weekly!F373)</f>
        <v>Internal</v>
      </c>
      <c r="G373" s="9" t="str">
        <f>fact_kpi_weekly!G373</f>
        <v>N/A</v>
      </c>
      <c r="H373" s="9" t="str">
        <f>fact_kpi_weekly!H373</f>
        <v>Luke</v>
      </c>
      <c r="I373" s="9">
        <f>fact_kpi_weekly!I373</f>
        <v>365</v>
      </c>
      <c r="J373" s="22">
        <f>fact_kpi_weekly!J373</f>
        <v>365</v>
      </c>
      <c r="K373" s="20" t="str">
        <f t="array" ref="K373">IFERROR(INDEX(dim_date!H:H,MATCH(A373,dim_date!A:A,0)),"")</f>
        <v>May</v>
      </c>
      <c r="L373" s="20" t="str">
        <f t="array" ref="L373">IFERROR(INDEX(dim_date!G:G,MATCH(A373,dim_date!A:A,0)),"")</f>
        <v>05</v>
      </c>
      <c r="M373" s="9" t="str">
        <f t="array" ref="M373">IFERROR(INDEX(dim_date!I:I,MATCH(A373,dim_date!A:A,0)),"")</f>
        <v>Q2</v>
      </c>
      <c r="N373" s="20" t="str">
        <f t="array" ref="N373">IFERROR(INDEX(dim_date!K:K,MATCH(A373,dim_date!A:A,0)),"")</f>
        <v>21</v>
      </c>
      <c r="O373" s="9" t="str">
        <f t="array" ref="O373">IFERROR(INDEX(dim_date!F:F,MATCH(A373,dim_date!A:A,0)),"")</f>
        <v>5/17-5/23</v>
      </c>
      <c r="P373" s="9" t="str">
        <f t="array" ref="P373">IFERROR(INDEX(dim_kpi!E:E,MATCH(D373,dim_kpi!C:C,0)),"")</f>
        <v>count</v>
      </c>
      <c r="Q373" s="9" t="str">
        <f t="array" ref="Q373">IFERROR(INDEX(dim_kpi!F:F,MATCH(D373,dim_kpi!C:C,0)),"")</f>
        <v>N</v>
      </c>
    </row>
    <row r="374" ht="12.75" customHeight="1">
      <c r="A374" s="20" t="str">
        <f>fact_kpi_weekly!A374</f>
        <v>260524</v>
      </c>
      <c r="B374" s="21">
        <f>fact_kpi_weekly!B374</f>
        <v>46166</v>
      </c>
      <c r="C374" s="9" t="str">
        <f>fact_kpi_weekly!C374</f>
        <v>Growth</v>
      </c>
      <c r="D374" s="9" t="str">
        <f>fact_kpi_weekly!D374</f>
        <v>Total Activations</v>
      </c>
      <c r="E374" s="9" t="str">
        <f>fact_kpi_weekly!E374</f>
        <v>Forecast</v>
      </c>
      <c r="F374" s="9" t="str">
        <f>IF(fact_kpi_weekly!F374="","",fact_kpi_weekly!F374)</f>
        <v>Internal</v>
      </c>
      <c r="G374" s="9" t="str">
        <f>fact_kpi_weekly!G374</f>
        <v>N/A</v>
      </c>
      <c r="H374" s="9" t="str">
        <f>fact_kpi_weekly!H374</f>
        <v>Luke</v>
      </c>
      <c r="I374" s="9">
        <f>fact_kpi_weekly!I374</f>
        <v>292</v>
      </c>
      <c r="J374" s="22">
        <f>fact_kpi_weekly!J374</f>
        <v>292</v>
      </c>
      <c r="K374" s="20" t="str">
        <f t="array" ref="K374">IFERROR(INDEX(dim_date!H:H,MATCH(A374,dim_date!A:A,0)),"")</f>
        <v>May</v>
      </c>
      <c r="L374" s="20" t="str">
        <f t="array" ref="L374">IFERROR(INDEX(dim_date!G:G,MATCH(A374,dim_date!A:A,0)),"")</f>
        <v>05</v>
      </c>
      <c r="M374" s="9" t="str">
        <f t="array" ref="M374">IFERROR(INDEX(dim_date!I:I,MATCH(A374,dim_date!A:A,0)),"")</f>
        <v>Q2</v>
      </c>
      <c r="N374" s="20" t="str">
        <f t="array" ref="N374">IFERROR(INDEX(dim_date!K:K,MATCH(A374,dim_date!A:A,0)),"")</f>
        <v>22</v>
      </c>
      <c r="O374" s="9" t="str">
        <f t="array" ref="O374">IFERROR(INDEX(dim_date!F:F,MATCH(A374,dim_date!A:A,0)),"")</f>
        <v>5/24-5/30</v>
      </c>
      <c r="P374" s="9" t="str">
        <f t="array" ref="P374">IFERROR(INDEX(dim_kpi!E:E,MATCH(D374,dim_kpi!C:C,0)),"")</f>
        <v>count</v>
      </c>
      <c r="Q374" s="9" t="str">
        <f t="array" ref="Q374">IFERROR(INDEX(dim_kpi!F:F,MATCH(D374,dim_kpi!C:C,0)),"")</f>
        <v>N</v>
      </c>
    </row>
    <row r="375" ht="12.75" customHeight="1">
      <c r="A375" s="20" t="str">
        <f>fact_kpi_weekly!A375</f>
        <v>260601</v>
      </c>
      <c r="B375" s="21">
        <f>fact_kpi_weekly!B375</f>
        <v>46174</v>
      </c>
      <c r="C375" s="9" t="str">
        <f>fact_kpi_weekly!C375</f>
        <v>Growth</v>
      </c>
      <c r="D375" s="9" t="str">
        <f>fact_kpi_weekly!D375</f>
        <v>Total Activations</v>
      </c>
      <c r="E375" s="9" t="str">
        <f>fact_kpi_weekly!E375</f>
        <v>Forecast</v>
      </c>
      <c r="F375" s="9" t="str">
        <f>IF(fact_kpi_weekly!F375="","",fact_kpi_weekly!F375)</f>
        <v>Internal</v>
      </c>
      <c r="G375" s="9" t="str">
        <f>fact_kpi_weekly!G375</f>
        <v>N/A</v>
      </c>
      <c r="H375" s="9" t="str">
        <f>fact_kpi_weekly!H375</f>
        <v>Luke</v>
      </c>
      <c r="I375" s="9">
        <f>fact_kpi_weekly!I375</f>
        <v>410</v>
      </c>
      <c r="J375" s="22">
        <f>fact_kpi_weekly!J375</f>
        <v>410</v>
      </c>
      <c r="K375" s="20" t="str">
        <f t="array" ref="K375">IFERROR(INDEX(dim_date!H:H,MATCH(A375,dim_date!A:A,0)),"")</f>
        <v>Jun</v>
      </c>
      <c r="L375" s="20" t="str">
        <f t="array" ref="L375">IFERROR(INDEX(dim_date!G:G,MATCH(A375,dim_date!A:A,0)),"")</f>
        <v>06</v>
      </c>
      <c r="M375" s="9" t="str">
        <f t="array" ref="M375">IFERROR(INDEX(dim_date!I:I,MATCH(A375,dim_date!A:A,0)),"")</f>
        <v>Q2</v>
      </c>
      <c r="N375" s="20" t="str">
        <f t="array" ref="N375">IFERROR(INDEX(dim_date!K:K,MATCH(A375,dim_date!A:A,0)),"")</f>
        <v>23</v>
      </c>
      <c r="O375" s="9" t="str">
        <f t="array" ref="O375">IFERROR(INDEX(dim_date!F:F,MATCH(A375,dim_date!A:A,0)),"")</f>
        <v>5/31-6/6</v>
      </c>
      <c r="P375" s="9" t="str">
        <f t="array" ref="P375">IFERROR(INDEX(dim_kpi!E:E,MATCH(D375,dim_kpi!C:C,0)),"")</f>
        <v>count</v>
      </c>
      <c r="Q375" s="9" t="str">
        <f t="array" ref="Q375">IFERROR(INDEX(dim_kpi!F:F,MATCH(D375,dim_kpi!C:C,0)),"")</f>
        <v>N</v>
      </c>
    </row>
    <row r="376" ht="12.75" customHeight="1">
      <c r="A376" s="20" t="str">
        <f>fact_kpi_weekly!A376</f>
        <v>260607</v>
      </c>
      <c r="B376" s="21">
        <f>fact_kpi_weekly!B376</f>
        <v>46180</v>
      </c>
      <c r="C376" s="9" t="str">
        <f>fact_kpi_weekly!C376</f>
        <v>Growth</v>
      </c>
      <c r="D376" s="9" t="str">
        <f>fact_kpi_weekly!D376</f>
        <v>Total Activations</v>
      </c>
      <c r="E376" s="9" t="str">
        <f>fact_kpi_weekly!E376</f>
        <v>Forecast</v>
      </c>
      <c r="F376" s="9" t="str">
        <f>IF(fact_kpi_weekly!F376="","",fact_kpi_weekly!F376)</f>
        <v>Internal</v>
      </c>
      <c r="G376" s="9" t="str">
        <f>fact_kpi_weekly!G376</f>
        <v>N/A</v>
      </c>
      <c r="H376" s="9" t="str">
        <f>fact_kpi_weekly!H376</f>
        <v>Luke</v>
      </c>
      <c r="I376" s="9">
        <f>fact_kpi_weekly!I376</f>
        <v>410</v>
      </c>
      <c r="J376" s="22">
        <f>fact_kpi_weekly!J376</f>
        <v>410</v>
      </c>
      <c r="K376" s="20" t="str">
        <f t="array" ref="K376">IFERROR(INDEX(dim_date!H:H,MATCH(A376,dim_date!A:A,0)),"")</f>
        <v>Jun</v>
      </c>
      <c r="L376" s="20" t="str">
        <f t="array" ref="L376">IFERROR(INDEX(dim_date!G:G,MATCH(A376,dim_date!A:A,0)),"")</f>
        <v>06</v>
      </c>
      <c r="M376" s="9" t="str">
        <f t="array" ref="M376">IFERROR(INDEX(dim_date!I:I,MATCH(A376,dim_date!A:A,0)),"")</f>
        <v>Q2</v>
      </c>
      <c r="N376" s="20" t="str">
        <f t="array" ref="N376">IFERROR(INDEX(dim_date!K:K,MATCH(A376,dim_date!A:A,0)),"")</f>
        <v>24</v>
      </c>
      <c r="O376" s="9" t="str">
        <f t="array" ref="O376">IFERROR(INDEX(dim_date!F:F,MATCH(A376,dim_date!A:A,0)),"")</f>
        <v>6/7-6/13</v>
      </c>
      <c r="P376" s="9" t="str">
        <f t="array" ref="P376">IFERROR(INDEX(dim_kpi!E:E,MATCH(D376,dim_kpi!C:C,0)),"")</f>
        <v>count</v>
      </c>
      <c r="Q376" s="9" t="str">
        <f t="array" ref="Q376">IFERROR(INDEX(dim_kpi!F:F,MATCH(D376,dim_kpi!C:C,0)),"")</f>
        <v>N</v>
      </c>
    </row>
    <row r="377" ht="12.75" customHeight="1">
      <c r="A377" s="20" t="str">
        <f>fact_kpi_weekly!A377</f>
        <v>260614</v>
      </c>
      <c r="B377" s="21">
        <f>fact_kpi_weekly!B377</f>
        <v>46187</v>
      </c>
      <c r="C377" s="9" t="str">
        <f>fact_kpi_weekly!C377</f>
        <v>Growth</v>
      </c>
      <c r="D377" s="9" t="str">
        <f>fact_kpi_weekly!D377</f>
        <v>Total Activations</v>
      </c>
      <c r="E377" s="9" t="str">
        <f>fact_kpi_weekly!E377</f>
        <v>Forecast</v>
      </c>
      <c r="F377" s="9" t="str">
        <f>IF(fact_kpi_weekly!F377="","",fact_kpi_weekly!F377)</f>
        <v>Internal</v>
      </c>
      <c r="G377" s="9" t="str">
        <f>fact_kpi_weekly!G377</f>
        <v>N/A</v>
      </c>
      <c r="H377" s="9" t="str">
        <f>fact_kpi_weekly!H377</f>
        <v>Luke</v>
      </c>
      <c r="I377" s="9">
        <f>fact_kpi_weekly!I377</f>
        <v>328</v>
      </c>
      <c r="J377" s="22">
        <f>fact_kpi_weekly!J377</f>
        <v>328</v>
      </c>
      <c r="K377" s="20" t="str">
        <f t="array" ref="K377">IFERROR(INDEX(dim_date!H:H,MATCH(A377,dim_date!A:A,0)),"")</f>
        <v>Jun</v>
      </c>
      <c r="L377" s="20" t="str">
        <f t="array" ref="L377">IFERROR(INDEX(dim_date!G:G,MATCH(A377,dim_date!A:A,0)),"")</f>
        <v>06</v>
      </c>
      <c r="M377" s="9" t="str">
        <f t="array" ref="M377">IFERROR(INDEX(dim_date!I:I,MATCH(A377,dim_date!A:A,0)),"")</f>
        <v>Q2</v>
      </c>
      <c r="N377" s="20" t="str">
        <f t="array" ref="N377">IFERROR(INDEX(dim_date!K:K,MATCH(A377,dim_date!A:A,0)),"")</f>
        <v>25</v>
      </c>
      <c r="O377" s="9" t="str">
        <f t="array" ref="O377">IFERROR(INDEX(dim_date!F:F,MATCH(A377,dim_date!A:A,0)),"")</f>
        <v>6/14-6/20</v>
      </c>
      <c r="P377" s="9" t="str">
        <f t="array" ref="P377">IFERROR(INDEX(dim_kpi!E:E,MATCH(D377,dim_kpi!C:C,0)),"")</f>
        <v>count</v>
      </c>
      <c r="Q377" s="9" t="str">
        <f t="array" ref="Q377">IFERROR(INDEX(dim_kpi!F:F,MATCH(D377,dim_kpi!C:C,0)),"")</f>
        <v>N</v>
      </c>
    </row>
    <row r="378" ht="12.75" customHeight="1">
      <c r="A378" s="20" t="str">
        <f>fact_kpi_weekly!A378</f>
        <v>260621</v>
      </c>
      <c r="B378" s="21">
        <f>fact_kpi_weekly!B378</f>
        <v>46194</v>
      </c>
      <c r="C378" s="9" t="str">
        <f>fact_kpi_weekly!C378</f>
        <v>Growth</v>
      </c>
      <c r="D378" s="9" t="str">
        <f>fact_kpi_weekly!D378</f>
        <v>Total Activations</v>
      </c>
      <c r="E378" s="9" t="str">
        <f>fact_kpi_weekly!E378</f>
        <v>Forecast</v>
      </c>
      <c r="F378" s="9" t="str">
        <f>IF(fact_kpi_weekly!F378="","",fact_kpi_weekly!F378)</f>
        <v>Internal</v>
      </c>
      <c r="G378" s="9" t="str">
        <f>fact_kpi_weekly!G378</f>
        <v>N/A</v>
      </c>
      <c r="H378" s="9" t="str">
        <f>fact_kpi_weekly!H378</f>
        <v>Luke</v>
      </c>
      <c r="I378" s="9">
        <f>fact_kpi_weekly!I378</f>
        <v>410</v>
      </c>
      <c r="J378" s="22">
        <f>fact_kpi_weekly!J378</f>
        <v>410</v>
      </c>
      <c r="K378" s="20" t="str">
        <f t="array" ref="K378">IFERROR(INDEX(dim_date!H:H,MATCH(A378,dim_date!A:A,0)),"")</f>
        <v>Jun</v>
      </c>
      <c r="L378" s="20" t="str">
        <f t="array" ref="L378">IFERROR(INDEX(dim_date!G:G,MATCH(A378,dim_date!A:A,0)),"")</f>
        <v>06</v>
      </c>
      <c r="M378" s="9" t="str">
        <f t="array" ref="M378">IFERROR(INDEX(dim_date!I:I,MATCH(A378,dim_date!A:A,0)),"")</f>
        <v>Q2</v>
      </c>
      <c r="N378" s="20" t="str">
        <f t="array" ref="N378">IFERROR(INDEX(dim_date!K:K,MATCH(A378,dim_date!A:A,0)),"")</f>
        <v>26</v>
      </c>
      <c r="O378" s="9" t="str">
        <f t="array" ref="O378">IFERROR(INDEX(dim_date!F:F,MATCH(A378,dim_date!A:A,0)),"")</f>
        <v>6/21-6/27</v>
      </c>
      <c r="P378" s="9" t="str">
        <f t="array" ref="P378">IFERROR(INDEX(dim_kpi!E:E,MATCH(D378,dim_kpi!C:C,0)),"")</f>
        <v>count</v>
      </c>
      <c r="Q378" s="9" t="str">
        <f t="array" ref="Q378">IFERROR(INDEX(dim_kpi!F:F,MATCH(D378,dim_kpi!C:C,0)),"")</f>
        <v>N</v>
      </c>
    </row>
    <row r="379" ht="12.75" customHeight="1">
      <c r="A379" s="20" t="str">
        <f>fact_kpi_weekly!A379</f>
        <v>260628</v>
      </c>
      <c r="B379" s="21">
        <f>fact_kpi_weekly!B379</f>
        <v>46201</v>
      </c>
      <c r="C379" s="9" t="str">
        <f>fact_kpi_weekly!C379</f>
        <v>Growth</v>
      </c>
      <c r="D379" s="9" t="str">
        <f>fact_kpi_weekly!D379</f>
        <v>Total Activations</v>
      </c>
      <c r="E379" s="9" t="str">
        <f>fact_kpi_weekly!E379</f>
        <v>Forecast</v>
      </c>
      <c r="F379" s="9" t="str">
        <f>IF(fact_kpi_weekly!F379="","",fact_kpi_weekly!F379)</f>
        <v>Internal</v>
      </c>
      <c r="G379" s="9" t="str">
        <f>fact_kpi_weekly!G379</f>
        <v>N/A</v>
      </c>
      <c r="H379" s="9" t="str">
        <f>fact_kpi_weekly!H379</f>
        <v>Luke</v>
      </c>
      <c r="I379" s="9">
        <f>fact_kpi_weekly!I379</f>
        <v>350</v>
      </c>
      <c r="J379" s="22">
        <f>fact_kpi_weekly!J379</f>
        <v>350</v>
      </c>
      <c r="K379" s="20" t="str">
        <f t="array" ref="K379">IFERROR(INDEX(dim_date!H:H,MATCH(A379,dim_date!A:A,0)),"")</f>
        <v>Jun</v>
      </c>
      <c r="L379" s="20" t="str">
        <f t="array" ref="L379">IFERROR(INDEX(dim_date!G:G,MATCH(A379,dim_date!A:A,0)),"")</f>
        <v>06</v>
      </c>
      <c r="M379" s="9" t="str">
        <f t="array" ref="M379">IFERROR(INDEX(dim_date!I:I,MATCH(A379,dim_date!A:A,0)),"")</f>
        <v>Q2</v>
      </c>
      <c r="N379" s="20" t="str">
        <f t="array" ref="N379">IFERROR(INDEX(dim_date!K:K,MATCH(A379,dim_date!A:A,0)),"")</f>
        <v>27</v>
      </c>
      <c r="O379" s="9" t="str">
        <f t="array" ref="O379">IFERROR(INDEX(dim_date!F:F,MATCH(A379,dim_date!A:A,0)),"")</f>
        <v>6/28-7/4</v>
      </c>
      <c r="P379" s="9" t="str">
        <f t="array" ref="P379">IFERROR(INDEX(dim_kpi!E:E,MATCH(D379,dim_kpi!C:C,0)),"")</f>
        <v>count</v>
      </c>
      <c r="Q379" s="9" t="str">
        <f t="array" ref="Q379">IFERROR(INDEX(dim_kpi!F:F,MATCH(D379,dim_kpi!C:C,0)),"")</f>
        <v>N</v>
      </c>
    </row>
    <row r="380" ht="12.75" customHeight="1">
      <c r="A380" s="20" t="str">
        <f>fact_kpi_weekly!A380</f>
        <v>260705</v>
      </c>
      <c r="B380" s="21">
        <f>fact_kpi_weekly!B380</f>
        <v>46208</v>
      </c>
      <c r="C380" s="9" t="str">
        <f>fact_kpi_weekly!C380</f>
        <v>Growth</v>
      </c>
      <c r="D380" s="9" t="str">
        <f>fact_kpi_weekly!D380</f>
        <v>Total Activations</v>
      </c>
      <c r="E380" s="9" t="str">
        <f>fact_kpi_weekly!E380</f>
        <v>Forecast</v>
      </c>
      <c r="F380" s="9" t="str">
        <f>IF(fact_kpi_weekly!F380="","",fact_kpi_weekly!F380)</f>
        <v>Internal</v>
      </c>
      <c r="G380" s="9" t="str">
        <f>fact_kpi_weekly!G380</f>
        <v>N/A</v>
      </c>
      <c r="H380" s="9" t="str">
        <f>fact_kpi_weekly!H380</f>
        <v>Luke</v>
      </c>
      <c r="I380" s="9">
        <f>fact_kpi_weekly!I380</f>
        <v>465</v>
      </c>
      <c r="J380" s="22">
        <f>fact_kpi_weekly!J380</f>
        <v>465</v>
      </c>
      <c r="K380" s="20" t="str">
        <f t="array" ref="K380">IFERROR(INDEX(dim_date!H:H,MATCH(A380,dim_date!A:A,0)),"")</f>
        <v>Jul</v>
      </c>
      <c r="L380" s="20" t="str">
        <f t="array" ref="L380">IFERROR(INDEX(dim_date!G:G,MATCH(A380,dim_date!A:A,0)),"")</f>
        <v>07</v>
      </c>
      <c r="M380" s="9" t="str">
        <f t="array" ref="M380">IFERROR(INDEX(dim_date!I:I,MATCH(A380,dim_date!A:A,0)),"")</f>
        <v>Q3</v>
      </c>
      <c r="N380" s="20" t="str">
        <f t="array" ref="N380">IFERROR(INDEX(dim_date!K:K,MATCH(A380,dim_date!A:A,0)),"")</f>
        <v>28</v>
      </c>
      <c r="O380" s="9" t="str">
        <f t="array" ref="O380">IFERROR(INDEX(dim_date!F:F,MATCH(A380,dim_date!A:A,0)),"")</f>
        <v>7/5-7/11</v>
      </c>
      <c r="P380" s="9" t="str">
        <f t="array" ref="P380">IFERROR(INDEX(dim_kpi!E:E,MATCH(D380,dim_kpi!C:C,0)),"")</f>
        <v>count</v>
      </c>
      <c r="Q380" s="9" t="str">
        <f t="array" ref="Q380">IFERROR(INDEX(dim_kpi!F:F,MATCH(D380,dim_kpi!C:C,0)),"")</f>
        <v>N</v>
      </c>
    </row>
    <row r="381" ht="12.75" customHeight="1">
      <c r="A381" s="20" t="str">
        <f>fact_kpi_weekly!A381</f>
        <v>260712</v>
      </c>
      <c r="B381" s="21">
        <f>fact_kpi_weekly!B381</f>
        <v>46215</v>
      </c>
      <c r="C381" s="9" t="str">
        <f>fact_kpi_weekly!C381</f>
        <v>Growth</v>
      </c>
      <c r="D381" s="9" t="str">
        <f>fact_kpi_weekly!D381</f>
        <v>Total Activations</v>
      </c>
      <c r="E381" s="9" t="str">
        <f>fact_kpi_weekly!E381</f>
        <v>Forecast</v>
      </c>
      <c r="F381" s="9" t="str">
        <f>IF(fact_kpi_weekly!F381="","",fact_kpi_weekly!F381)</f>
        <v>Internal</v>
      </c>
      <c r="G381" s="9" t="str">
        <f>fact_kpi_weekly!G381</f>
        <v>N/A</v>
      </c>
      <c r="H381" s="9" t="str">
        <f>fact_kpi_weekly!H381</f>
        <v>Luke</v>
      </c>
      <c r="I381" s="9">
        <f>fact_kpi_weekly!I381</f>
        <v>465</v>
      </c>
      <c r="J381" s="22">
        <f>fact_kpi_weekly!J381</f>
        <v>465</v>
      </c>
      <c r="K381" s="20" t="str">
        <f t="array" ref="K381">IFERROR(INDEX(dim_date!H:H,MATCH(A381,dim_date!A:A,0)),"")</f>
        <v>Jul</v>
      </c>
      <c r="L381" s="20" t="str">
        <f t="array" ref="L381">IFERROR(INDEX(dim_date!G:G,MATCH(A381,dim_date!A:A,0)),"")</f>
        <v>07</v>
      </c>
      <c r="M381" s="9" t="str">
        <f t="array" ref="M381">IFERROR(INDEX(dim_date!I:I,MATCH(A381,dim_date!A:A,0)),"")</f>
        <v>Q3</v>
      </c>
      <c r="N381" s="20" t="str">
        <f t="array" ref="N381">IFERROR(INDEX(dim_date!K:K,MATCH(A381,dim_date!A:A,0)),"")</f>
        <v>29</v>
      </c>
      <c r="O381" s="9" t="str">
        <f t="array" ref="O381">IFERROR(INDEX(dim_date!F:F,MATCH(A381,dim_date!A:A,0)),"")</f>
        <v>7/12-7/18</v>
      </c>
      <c r="P381" s="9" t="str">
        <f t="array" ref="P381">IFERROR(INDEX(dim_kpi!E:E,MATCH(D381,dim_kpi!C:C,0)),"")</f>
        <v>count</v>
      </c>
      <c r="Q381" s="9" t="str">
        <f t="array" ref="Q381">IFERROR(INDEX(dim_kpi!F:F,MATCH(D381,dim_kpi!C:C,0)),"")</f>
        <v>N</v>
      </c>
    </row>
    <row r="382" ht="12.75" customHeight="1">
      <c r="A382" s="20" t="str">
        <f>fact_kpi_weekly!A382</f>
        <v>260719</v>
      </c>
      <c r="B382" s="21">
        <f>fact_kpi_weekly!B382</f>
        <v>46222</v>
      </c>
      <c r="C382" s="9" t="str">
        <f>fact_kpi_weekly!C382</f>
        <v>Growth</v>
      </c>
      <c r="D382" s="9" t="str">
        <f>fact_kpi_weekly!D382</f>
        <v>Total Activations</v>
      </c>
      <c r="E382" s="9" t="str">
        <f>fact_kpi_weekly!E382</f>
        <v>Forecast</v>
      </c>
      <c r="F382" s="9" t="str">
        <f>IF(fact_kpi_weekly!F382="","",fact_kpi_weekly!F382)</f>
        <v>Internal</v>
      </c>
      <c r="G382" s="9" t="str">
        <f>fact_kpi_weekly!G382</f>
        <v>N/A</v>
      </c>
      <c r="H382" s="9" t="str">
        <f>fact_kpi_weekly!H382</f>
        <v>Luke</v>
      </c>
      <c r="I382" s="9">
        <f>fact_kpi_weekly!I382</f>
        <v>465</v>
      </c>
      <c r="J382" s="22">
        <f>fact_kpi_weekly!J382</f>
        <v>465</v>
      </c>
      <c r="K382" s="20" t="str">
        <f t="array" ref="K382">IFERROR(INDEX(dim_date!H:H,MATCH(A382,dim_date!A:A,0)),"")</f>
        <v>Jul</v>
      </c>
      <c r="L382" s="20" t="str">
        <f t="array" ref="L382">IFERROR(INDEX(dim_date!G:G,MATCH(A382,dim_date!A:A,0)),"")</f>
        <v>07</v>
      </c>
      <c r="M382" s="9" t="str">
        <f t="array" ref="M382">IFERROR(INDEX(dim_date!I:I,MATCH(A382,dim_date!A:A,0)),"")</f>
        <v>Q3</v>
      </c>
      <c r="N382" s="20" t="str">
        <f t="array" ref="N382">IFERROR(INDEX(dim_date!K:K,MATCH(A382,dim_date!A:A,0)),"")</f>
        <v>30</v>
      </c>
      <c r="O382" s="9" t="str">
        <f t="array" ref="O382">IFERROR(INDEX(dim_date!F:F,MATCH(A382,dim_date!A:A,0)),"")</f>
        <v>7/19-7/25</v>
      </c>
      <c r="P382" s="9" t="str">
        <f t="array" ref="P382">IFERROR(INDEX(dim_kpi!E:E,MATCH(D382,dim_kpi!C:C,0)),"")</f>
        <v>count</v>
      </c>
      <c r="Q382" s="9" t="str">
        <f t="array" ref="Q382">IFERROR(INDEX(dim_kpi!F:F,MATCH(D382,dim_kpi!C:C,0)),"")</f>
        <v>N</v>
      </c>
    </row>
    <row r="383" ht="12.75" customHeight="1">
      <c r="A383" s="20" t="str">
        <f>fact_kpi_weekly!A383</f>
        <v>260726</v>
      </c>
      <c r="B383" s="21">
        <f>fact_kpi_weekly!B383</f>
        <v>46229</v>
      </c>
      <c r="C383" s="9" t="str">
        <f>fact_kpi_weekly!C383</f>
        <v>Growth</v>
      </c>
      <c r="D383" s="9" t="str">
        <f>fact_kpi_weekly!D383</f>
        <v>Total Activations</v>
      </c>
      <c r="E383" s="9" t="str">
        <f>fact_kpi_weekly!E383</f>
        <v>Forecast</v>
      </c>
      <c r="F383" s="9" t="str">
        <f>IF(fact_kpi_weekly!F383="","",fact_kpi_weekly!F383)</f>
        <v>Internal</v>
      </c>
      <c r="G383" s="9" t="str">
        <f>fact_kpi_weekly!G383</f>
        <v>N/A</v>
      </c>
      <c r="H383" s="9" t="str">
        <f>fact_kpi_weekly!H383</f>
        <v>Luke</v>
      </c>
      <c r="I383" s="9">
        <f>fact_kpi_weekly!I383</f>
        <v>465</v>
      </c>
      <c r="J383" s="22">
        <f>fact_kpi_weekly!J383</f>
        <v>465</v>
      </c>
      <c r="K383" s="20" t="str">
        <f t="array" ref="K383">IFERROR(INDEX(dim_date!H:H,MATCH(A383,dim_date!A:A,0)),"")</f>
        <v>Jul</v>
      </c>
      <c r="L383" s="20" t="str">
        <f t="array" ref="L383">IFERROR(INDEX(dim_date!G:G,MATCH(A383,dim_date!A:A,0)),"")</f>
        <v>07</v>
      </c>
      <c r="M383" s="9" t="str">
        <f t="array" ref="M383">IFERROR(INDEX(dim_date!I:I,MATCH(A383,dim_date!A:A,0)),"")</f>
        <v>Q3</v>
      </c>
      <c r="N383" s="20" t="str">
        <f t="array" ref="N383">IFERROR(INDEX(dim_date!K:K,MATCH(A383,dim_date!A:A,0)),"")</f>
        <v>31</v>
      </c>
      <c r="O383" s="9" t="str">
        <f t="array" ref="O383">IFERROR(INDEX(dim_date!F:F,MATCH(A383,dim_date!A:A,0)),"")</f>
        <v>7/26-8/1</v>
      </c>
      <c r="P383" s="9" t="str">
        <f t="array" ref="P383">IFERROR(INDEX(dim_kpi!E:E,MATCH(D383,dim_kpi!C:C,0)),"")</f>
        <v>count</v>
      </c>
      <c r="Q383" s="9" t="str">
        <f t="array" ref="Q383">IFERROR(INDEX(dim_kpi!F:F,MATCH(D383,dim_kpi!C:C,0)),"")</f>
        <v>N</v>
      </c>
    </row>
    <row r="384" ht="12.75" customHeight="1">
      <c r="A384" s="20" t="str">
        <f>fact_kpi_weekly!A384</f>
        <v>260802</v>
      </c>
      <c r="B384" s="21">
        <f>fact_kpi_weekly!B384</f>
        <v>46236</v>
      </c>
      <c r="C384" s="9" t="str">
        <f>fact_kpi_weekly!C384</f>
        <v>Growth</v>
      </c>
      <c r="D384" s="9" t="str">
        <f>fact_kpi_weekly!D384</f>
        <v>Total Activations</v>
      </c>
      <c r="E384" s="9" t="str">
        <f>fact_kpi_weekly!E384</f>
        <v>Forecast</v>
      </c>
      <c r="F384" s="9" t="str">
        <f>IF(fact_kpi_weekly!F384="","",fact_kpi_weekly!F384)</f>
        <v>Internal</v>
      </c>
      <c r="G384" s="9" t="str">
        <f>fact_kpi_weekly!G384</f>
        <v>N/A</v>
      </c>
      <c r="H384" s="9" t="str">
        <f>fact_kpi_weekly!H384</f>
        <v>Luke</v>
      </c>
      <c r="I384" s="9">
        <f>fact_kpi_weekly!I384</f>
        <v>530</v>
      </c>
      <c r="J384" s="22">
        <f>fact_kpi_weekly!J384</f>
        <v>530</v>
      </c>
      <c r="K384" s="20" t="str">
        <f t="array" ref="K384">IFERROR(INDEX(dim_date!H:H,MATCH(A384,dim_date!A:A,0)),"")</f>
        <v>Aug</v>
      </c>
      <c r="L384" s="20" t="str">
        <f t="array" ref="L384">IFERROR(INDEX(dim_date!G:G,MATCH(A384,dim_date!A:A,0)),"")</f>
        <v>08</v>
      </c>
      <c r="M384" s="9" t="str">
        <f t="array" ref="M384">IFERROR(INDEX(dim_date!I:I,MATCH(A384,dim_date!A:A,0)),"")</f>
        <v>Q3</v>
      </c>
      <c r="N384" s="20" t="str">
        <f t="array" ref="N384">IFERROR(INDEX(dim_date!K:K,MATCH(A384,dim_date!A:A,0)),"")</f>
        <v>32</v>
      </c>
      <c r="O384" s="9" t="str">
        <f t="array" ref="O384">IFERROR(INDEX(dim_date!F:F,MATCH(A384,dim_date!A:A,0)),"")</f>
        <v>8/2-8/8</v>
      </c>
      <c r="P384" s="9" t="str">
        <f t="array" ref="P384">IFERROR(INDEX(dim_kpi!E:E,MATCH(D384,dim_kpi!C:C,0)),"")</f>
        <v>count</v>
      </c>
      <c r="Q384" s="9" t="str">
        <f t="array" ref="Q384">IFERROR(INDEX(dim_kpi!F:F,MATCH(D384,dim_kpi!C:C,0)),"")</f>
        <v>N</v>
      </c>
    </row>
    <row r="385" ht="12.75" customHeight="1">
      <c r="A385" s="20" t="str">
        <f>fact_kpi_weekly!A385</f>
        <v>260809</v>
      </c>
      <c r="B385" s="21">
        <f>fact_kpi_weekly!B385</f>
        <v>46243</v>
      </c>
      <c r="C385" s="9" t="str">
        <f>fact_kpi_weekly!C385</f>
        <v>Growth</v>
      </c>
      <c r="D385" s="9" t="str">
        <f>fact_kpi_weekly!D385</f>
        <v>Total Activations</v>
      </c>
      <c r="E385" s="9" t="str">
        <f>fact_kpi_weekly!E385</f>
        <v>Forecast</v>
      </c>
      <c r="F385" s="9" t="str">
        <f>IF(fact_kpi_weekly!F385="","",fact_kpi_weekly!F385)</f>
        <v>Internal</v>
      </c>
      <c r="G385" s="9" t="str">
        <f>fact_kpi_weekly!G385</f>
        <v>N/A</v>
      </c>
      <c r="H385" s="9" t="str">
        <f>fact_kpi_weekly!H385</f>
        <v>Luke</v>
      </c>
      <c r="I385" s="9">
        <f>fact_kpi_weekly!I385</f>
        <v>530</v>
      </c>
      <c r="J385" s="22">
        <f>fact_kpi_weekly!J385</f>
        <v>530</v>
      </c>
      <c r="K385" s="20" t="str">
        <f t="array" ref="K385">IFERROR(INDEX(dim_date!H:H,MATCH(A385,dim_date!A:A,0)),"")</f>
        <v>Aug</v>
      </c>
      <c r="L385" s="20" t="str">
        <f t="array" ref="L385">IFERROR(INDEX(dim_date!G:G,MATCH(A385,dim_date!A:A,0)),"")</f>
        <v>08</v>
      </c>
      <c r="M385" s="9" t="str">
        <f t="array" ref="M385">IFERROR(INDEX(dim_date!I:I,MATCH(A385,dim_date!A:A,0)),"")</f>
        <v>Q3</v>
      </c>
      <c r="N385" s="20" t="str">
        <f t="array" ref="N385">IFERROR(INDEX(dim_date!K:K,MATCH(A385,dim_date!A:A,0)),"")</f>
        <v>33</v>
      </c>
      <c r="O385" s="9" t="str">
        <f t="array" ref="O385">IFERROR(INDEX(dim_date!F:F,MATCH(A385,dim_date!A:A,0)),"")</f>
        <v>8/9-8/15</v>
      </c>
      <c r="P385" s="9" t="str">
        <f t="array" ref="P385">IFERROR(INDEX(dim_kpi!E:E,MATCH(D385,dim_kpi!C:C,0)),"")</f>
        <v>count</v>
      </c>
      <c r="Q385" s="9" t="str">
        <f t="array" ref="Q385">IFERROR(INDEX(dim_kpi!F:F,MATCH(D385,dim_kpi!C:C,0)),"")</f>
        <v>N</v>
      </c>
    </row>
    <row r="386" ht="12.75" customHeight="1">
      <c r="A386" s="20" t="str">
        <f>fact_kpi_weekly!A386</f>
        <v>260816</v>
      </c>
      <c r="B386" s="21">
        <f>fact_kpi_weekly!B386</f>
        <v>46250</v>
      </c>
      <c r="C386" s="9" t="str">
        <f>fact_kpi_weekly!C386</f>
        <v>Growth</v>
      </c>
      <c r="D386" s="9" t="str">
        <f>fact_kpi_weekly!D386</f>
        <v>Total Activations</v>
      </c>
      <c r="E386" s="9" t="str">
        <f>fact_kpi_weekly!E386</f>
        <v>Forecast</v>
      </c>
      <c r="F386" s="9" t="str">
        <f>IF(fact_kpi_weekly!F386="","",fact_kpi_weekly!F386)</f>
        <v>Internal</v>
      </c>
      <c r="G386" s="9" t="str">
        <f>fact_kpi_weekly!G386</f>
        <v>N/A</v>
      </c>
      <c r="H386" s="9" t="str">
        <f>fact_kpi_weekly!H386</f>
        <v>Luke</v>
      </c>
      <c r="I386" s="9">
        <f>fact_kpi_weekly!I386</f>
        <v>530</v>
      </c>
      <c r="J386" s="22">
        <f>fact_kpi_weekly!J386</f>
        <v>530</v>
      </c>
      <c r="K386" s="20" t="str">
        <f t="array" ref="K386">IFERROR(INDEX(dim_date!H:H,MATCH(A386,dim_date!A:A,0)),"")</f>
        <v>Aug</v>
      </c>
      <c r="L386" s="20" t="str">
        <f t="array" ref="L386">IFERROR(INDEX(dim_date!G:G,MATCH(A386,dim_date!A:A,0)),"")</f>
        <v>08</v>
      </c>
      <c r="M386" s="9" t="str">
        <f t="array" ref="M386">IFERROR(INDEX(dim_date!I:I,MATCH(A386,dim_date!A:A,0)),"")</f>
        <v>Q3</v>
      </c>
      <c r="N386" s="20" t="str">
        <f t="array" ref="N386">IFERROR(INDEX(dim_date!K:K,MATCH(A386,dim_date!A:A,0)),"")</f>
        <v>34</v>
      </c>
      <c r="O386" s="9" t="str">
        <f t="array" ref="O386">IFERROR(INDEX(dim_date!F:F,MATCH(A386,dim_date!A:A,0)),"")</f>
        <v>8/16-8/22</v>
      </c>
      <c r="P386" s="9" t="str">
        <f t="array" ref="P386">IFERROR(INDEX(dim_kpi!E:E,MATCH(D386,dim_kpi!C:C,0)),"")</f>
        <v>count</v>
      </c>
      <c r="Q386" s="9" t="str">
        <f t="array" ref="Q386">IFERROR(INDEX(dim_kpi!F:F,MATCH(D386,dim_kpi!C:C,0)),"")</f>
        <v>N</v>
      </c>
    </row>
    <row r="387" ht="12.75" customHeight="1">
      <c r="A387" s="20" t="str">
        <f>fact_kpi_weekly!A387</f>
        <v>260823</v>
      </c>
      <c r="B387" s="21">
        <f>fact_kpi_weekly!B387</f>
        <v>46257</v>
      </c>
      <c r="C387" s="9" t="str">
        <f>fact_kpi_weekly!C387</f>
        <v>Growth</v>
      </c>
      <c r="D387" s="9" t="str">
        <f>fact_kpi_weekly!D387</f>
        <v>Total Activations</v>
      </c>
      <c r="E387" s="9" t="str">
        <f>fact_kpi_weekly!E387</f>
        <v>Forecast</v>
      </c>
      <c r="F387" s="9" t="str">
        <f>IF(fact_kpi_weekly!F387="","",fact_kpi_weekly!F387)</f>
        <v>Internal</v>
      </c>
      <c r="G387" s="9" t="str">
        <f>fact_kpi_weekly!G387</f>
        <v>N/A</v>
      </c>
      <c r="H387" s="9" t="str">
        <f>fact_kpi_weekly!H387</f>
        <v>Luke</v>
      </c>
      <c r="I387" s="9">
        <f>fact_kpi_weekly!I387</f>
        <v>530</v>
      </c>
      <c r="J387" s="22">
        <f>fact_kpi_weekly!J387</f>
        <v>530</v>
      </c>
      <c r="K387" s="20" t="str">
        <f t="array" ref="K387">IFERROR(INDEX(dim_date!H:H,MATCH(A387,dim_date!A:A,0)),"")</f>
        <v>Aug</v>
      </c>
      <c r="L387" s="20" t="str">
        <f t="array" ref="L387">IFERROR(INDEX(dim_date!G:G,MATCH(A387,dim_date!A:A,0)),"")</f>
        <v>08</v>
      </c>
      <c r="M387" s="9" t="str">
        <f t="array" ref="M387">IFERROR(INDEX(dim_date!I:I,MATCH(A387,dim_date!A:A,0)),"")</f>
        <v>Q3</v>
      </c>
      <c r="N387" s="20" t="str">
        <f t="array" ref="N387">IFERROR(INDEX(dim_date!K:K,MATCH(A387,dim_date!A:A,0)),"")</f>
        <v>35</v>
      </c>
      <c r="O387" s="9" t="str">
        <f t="array" ref="O387">IFERROR(INDEX(dim_date!F:F,MATCH(A387,dim_date!A:A,0)),"")</f>
        <v>8/23-8/29</v>
      </c>
      <c r="P387" s="9" t="str">
        <f t="array" ref="P387">IFERROR(INDEX(dim_kpi!E:E,MATCH(D387,dim_kpi!C:C,0)),"")</f>
        <v>count</v>
      </c>
      <c r="Q387" s="9" t="str">
        <f t="array" ref="Q387">IFERROR(INDEX(dim_kpi!F:F,MATCH(D387,dim_kpi!C:C,0)),"")</f>
        <v>N</v>
      </c>
    </row>
    <row r="388" ht="12.75" customHeight="1">
      <c r="A388" s="20" t="str">
        <f>fact_kpi_weekly!A388</f>
        <v>260830</v>
      </c>
      <c r="B388" s="21">
        <f>fact_kpi_weekly!B388</f>
        <v>46264</v>
      </c>
      <c r="C388" s="9" t="str">
        <f>fact_kpi_weekly!C388</f>
        <v>Growth</v>
      </c>
      <c r="D388" s="9" t="str">
        <f>fact_kpi_weekly!D388</f>
        <v>Total Activations</v>
      </c>
      <c r="E388" s="9" t="str">
        <f>fact_kpi_weekly!E388</f>
        <v>Forecast</v>
      </c>
      <c r="F388" s="9" t="str">
        <f>IF(fact_kpi_weekly!F388="","",fact_kpi_weekly!F388)</f>
        <v>Internal</v>
      </c>
      <c r="G388" s="9" t="str">
        <f>fact_kpi_weekly!G388</f>
        <v>N/A</v>
      </c>
      <c r="H388" s="9" t="str">
        <f>fact_kpi_weekly!H388</f>
        <v>Luke</v>
      </c>
      <c r="I388" s="9">
        <f>fact_kpi_weekly!I388</f>
        <v>586</v>
      </c>
      <c r="J388" s="22">
        <f>fact_kpi_weekly!J388</f>
        <v>586</v>
      </c>
      <c r="K388" s="20" t="str">
        <f t="array" ref="K388">IFERROR(INDEX(dim_date!H:H,MATCH(A388,dim_date!A:A,0)),"")</f>
        <v>Aug</v>
      </c>
      <c r="L388" s="20" t="str">
        <f t="array" ref="L388">IFERROR(INDEX(dim_date!G:G,MATCH(A388,dim_date!A:A,0)),"")</f>
        <v>08</v>
      </c>
      <c r="M388" s="9" t="str">
        <f t="array" ref="M388">IFERROR(INDEX(dim_date!I:I,MATCH(A388,dim_date!A:A,0)),"")</f>
        <v>Q3</v>
      </c>
      <c r="N388" s="20" t="str">
        <f t="array" ref="N388">IFERROR(INDEX(dim_date!K:K,MATCH(A388,dim_date!A:A,0)),"")</f>
        <v>36</v>
      </c>
      <c r="O388" s="9" t="str">
        <f t="array" ref="O388">IFERROR(INDEX(dim_date!F:F,MATCH(A388,dim_date!A:A,0)),"")</f>
        <v>8/30-9/5</v>
      </c>
      <c r="P388" s="9" t="str">
        <f t="array" ref="P388">IFERROR(INDEX(dim_kpi!E:E,MATCH(D388,dim_kpi!C:C,0)),"")</f>
        <v>count</v>
      </c>
      <c r="Q388" s="9" t="str">
        <f t="array" ref="Q388">IFERROR(INDEX(dim_kpi!F:F,MATCH(D388,dim_kpi!C:C,0)),"")</f>
        <v>N</v>
      </c>
    </row>
    <row r="389" ht="12.75" customHeight="1">
      <c r="A389" s="20" t="str">
        <f>fact_kpi_weekly!A389</f>
        <v>260906</v>
      </c>
      <c r="B389" s="21">
        <f>fact_kpi_weekly!B389</f>
        <v>46271</v>
      </c>
      <c r="C389" s="9" t="str">
        <f>fact_kpi_weekly!C389</f>
        <v>Growth</v>
      </c>
      <c r="D389" s="9" t="str">
        <f>fact_kpi_weekly!D389</f>
        <v>Total Activations</v>
      </c>
      <c r="E389" s="9" t="str">
        <f>fact_kpi_weekly!E389</f>
        <v>Forecast</v>
      </c>
      <c r="F389" s="9" t="str">
        <f>IF(fact_kpi_weekly!F389="","",fact_kpi_weekly!F389)</f>
        <v>Internal</v>
      </c>
      <c r="G389" s="9" t="str">
        <f>fact_kpi_weekly!G389</f>
        <v>N/A</v>
      </c>
      <c r="H389" s="9" t="str">
        <f>fact_kpi_weekly!H389</f>
        <v>Luke</v>
      </c>
      <c r="I389" s="9">
        <f>fact_kpi_weekly!I389</f>
        <v>480</v>
      </c>
      <c r="J389" s="22">
        <f>fact_kpi_weekly!J389</f>
        <v>480</v>
      </c>
      <c r="K389" s="20" t="str">
        <f t="array" ref="K389">IFERROR(INDEX(dim_date!H:H,MATCH(A389,dim_date!A:A,0)),"")</f>
        <v>Sep</v>
      </c>
      <c r="L389" s="20" t="str">
        <f t="array" ref="L389">IFERROR(INDEX(dim_date!G:G,MATCH(A389,dim_date!A:A,0)),"")</f>
        <v>09</v>
      </c>
      <c r="M389" s="9" t="str">
        <f t="array" ref="M389">IFERROR(INDEX(dim_date!I:I,MATCH(A389,dim_date!A:A,0)),"")</f>
        <v>Q3</v>
      </c>
      <c r="N389" s="20" t="str">
        <f t="array" ref="N389">IFERROR(INDEX(dim_date!K:K,MATCH(A389,dim_date!A:A,0)),"")</f>
        <v>37</v>
      </c>
      <c r="O389" s="9" t="str">
        <f t="array" ref="O389">IFERROR(INDEX(dim_date!F:F,MATCH(A389,dim_date!A:A,0)),"")</f>
        <v>9/6-9/12</v>
      </c>
      <c r="P389" s="9" t="str">
        <f t="array" ref="P389">IFERROR(INDEX(dim_kpi!E:E,MATCH(D389,dim_kpi!C:C,0)),"")</f>
        <v>count</v>
      </c>
      <c r="Q389" s="9" t="str">
        <f t="array" ref="Q389">IFERROR(INDEX(dim_kpi!F:F,MATCH(D389,dim_kpi!C:C,0)),"")</f>
        <v>N</v>
      </c>
    </row>
    <row r="390" ht="12.75" customHeight="1">
      <c r="A390" s="20" t="str">
        <f>fact_kpi_weekly!A390</f>
        <v>260913</v>
      </c>
      <c r="B390" s="21">
        <f>fact_kpi_weekly!B390</f>
        <v>46278</v>
      </c>
      <c r="C390" s="9" t="str">
        <f>fact_kpi_weekly!C390</f>
        <v>Growth</v>
      </c>
      <c r="D390" s="9" t="str">
        <f>fact_kpi_weekly!D390</f>
        <v>Total Activations</v>
      </c>
      <c r="E390" s="9" t="str">
        <f>fact_kpi_weekly!E390</f>
        <v>Forecast</v>
      </c>
      <c r="F390" s="9" t="str">
        <f>IF(fact_kpi_weekly!F390="","",fact_kpi_weekly!F390)</f>
        <v>Internal</v>
      </c>
      <c r="G390" s="9" t="str">
        <f>fact_kpi_weekly!G390</f>
        <v>N/A</v>
      </c>
      <c r="H390" s="9" t="str">
        <f>fact_kpi_weekly!H390</f>
        <v>Luke</v>
      </c>
      <c r="I390" s="9">
        <f>fact_kpi_weekly!I390</f>
        <v>600</v>
      </c>
      <c r="J390" s="22">
        <f>fact_kpi_weekly!J390</f>
        <v>600</v>
      </c>
      <c r="K390" s="20" t="str">
        <f t="array" ref="K390">IFERROR(INDEX(dim_date!H:H,MATCH(A390,dim_date!A:A,0)),"")</f>
        <v>Sep</v>
      </c>
      <c r="L390" s="20" t="str">
        <f t="array" ref="L390">IFERROR(INDEX(dim_date!G:G,MATCH(A390,dim_date!A:A,0)),"")</f>
        <v>09</v>
      </c>
      <c r="M390" s="9" t="str">
        <f t="array" ref="M390">IFERROR(INDEX(dim_date!I:I,MATCH(A390,dim_date!A:A,0)),"")</f>
        <v>Q3</v>
      </c>
      <c r="N390" s="20" t="str">
        <f t="array" ref="N390">IFERROR(INDEX(dim_date!K:K,MATCH(A390,dim_date!A:A,0)),"")</f>
        <v>38</v>
      </c>
      <c r="O390" s="9" t="str">
        <f t="array" ref="O390">IFERROR(INDEX(dim_date!F:F,MATCH(A390,dim_date!A:A,0)),"")</f>
        <v>9/13-9/19</v>
      </c>
      <c r="P390" s="9" t="str">
        <f t="array" ref="P390">IFERROR(INDEX(dim_kpi!E:E,MATCH(D390,dim_kpi!C:C,0)),"")</f>
        <v>count</v>
      </c>
      <c r="Q390" s="9" t="str">
        <f t="array" ref="Q390">IFERROR(INDEX(dim_kpi!F:F,MATCH(D390,dim_kpi!C:C,0)),"")</f>
        <v>N</v>
      </c>
    </row>
    <row r="391" ht="12.75" customHeight="1">
      <c r="A391" s="20" t="str">
        <f>fact_kpi_weekly!A391</f>
        <v>260920</v>
      </c>
      <c r="B391" s="21">
        <f>fact_kpi_weekly!B391</f>
        <v>46285</v>
      </c>
      <c r="C391" s="9" t="str">
        <f>fact_kpi_weekly!C391</f>
        <v>Growth</v>
      </c>
      <c r="D391" s="9" t="str">
        <f>fact_kpi_weekly!D391</f>
        <v>Total Activations</v>
      </c>
      <c r="E391" s="9" t="str">
        <f>fact_kpi_weekly!E391</f>
        <v>Forecast</v>
      </c>
      <c r="F391" s="9" t="str">
        <f>IF(fact_kpi_weekly!F391="","",fact_kpi_weekly!F391)</f>
        <v>Internal</v>
      </c>
      <c r="G391" s="9" t="str">
        <f>fact_kpi_weekly!G391</f>
        <v>N/A</v>
      </c>
      <c r="H391" s="9" t="str">
        <f>fact_kpi_weekly!H391</f>
        <v>Luke</v>
      </c>
      <c r="I391" s="9">
        <f>fact_kpi_weekly!I391</f>
        <v>600</v>
      </c>
      <c r="J391" s="22">
        <f>fact_kpi_weekly!J391</f>
        <v>600</v>
      </c>
      <c r="K391" s="20" t="str">
        <f t="array" ref="K391">IFERROR(INDEX(dim_date!H:H,MATCH(A391,dim_date!A:A,0)),"")</f>
        <v>Sep</v>
      </c>
      <c r="L391" s="20" t="str">
        <f t="array" ref="L391">IFERROR(INDEX(dim_date!G:G,MATCH(A391,dim_date!A:A,0)),"")</f>
        <v>09</v>
      </c>
      <c r="M391" s="9" t="str">
        <f t="array" ref="M391">IFERROR(INDEX(dim_date!I:I,MATCH(A391,dim_date!A:A,0)),"")</f>
        <v>Q3</v>
      </c>
      <c r="N391" s="20" t="str">
        <f t="array" ref="N391">IFERROR(INDEX(dim_date!K:K,MATCH(A391,dim_date!A:A,0)),"")</f>
        <v>39</v>
      </c>
      <c r="O391" s="9" t="str">
        <f t="array" ref="O391">IFERROR(INDEX(dim_date!F:F,MATCH(A391,dim_date!A:A,0)),"")</f>
        <v>9/20-9/26</v>
      </c>
      <c r="P391" s="9" t="str">
        <f t="array" ref="P391">IFERROR(INDEX(dim_kpi!E:E,MATCH(D391,dim_kpi!C:C,0)),"")</f>
        <v>count</v>
      </c>
      <c r="Q391" s="9" t="str">
        <f t="array" ref="Q391">IFERROR(INDEX(dim_kpi!F:F,MATCH(D391,dim_kpi!C:C,0)),"")</f>
        <v>N</v>
      </c>
    </row>
    <row r="392" ht="12.75" customHeight="1">
      <c r="A392" s="20" t="str">
        <f>fact_kpi_weekly!A392</f>
        <v>260927</v>
      </c>
      <c r="B392" s="21">
        <f>fact_kpi_weekly!B392</f>
        <v>46292</v>
      </c>
      <c r="C392" s="9" t="str">
        <f>fact_kpi_weekly!C392</f>
        <v>Growth</v>
      </c>
      <c r="D392" s="9" t="str">
        <f>fact_kpi_weekly!D392</f>
        <v>Total Activations</v>
      </c>
      <c r="E392" s="9" t="str">
        <f>fact_kpi_weekly!E392</f>
        <v>Forecast</v>
      </c>
      <c r="F392" s="9" t="str">
        <f>IF(fact_kpi_weekly!F392="","",fact_kpi_weekly!F392)</f>
        <v>Internal</v>
      </c>
      <c r="G392" s="9" t="str">
        <f>fact_kpi_weekly!G392</f>
        <v>N/A</v>
      </c>
      <c r="H392" s="9" t="str">
        <f>fact_kpi_weekly!H392</f>
        <v>Luke</v>
      </c>
      <c r="I392" s="9">
        <f>fact_kpi_weekly!I392</f>
        <v>618</v>
      </c>
      <c r="J392" s="22">
        <f>fact_kpi_weekly!J392</f>
        <v>618</v>
      </c>
      <c r="K392" s="20" t="str">
        <f t="array" ref="K392">IFERROR(INDEX(dim_date!H:H,MATCH(A392,dim_date!A:A,0)),"")</f>
        <v>Sep</v>
      </c>
      <c r="L392" s="20" t="str">
        <f t="array" ref="L392">IFERROR(INDEX(dim_date!G:G,MATCH(A392,dim_date!A:A,0)),"")</f>
        <v>09</v>
      </c>
      <c r="M392" s="9" t="str">
        <f t="array" ref="M392">IFERROR(INDEX(dim_date!I:I,MATCH(A392,dim_date!A:A,0)),"")</f>
        <v>Q3</v>
      </c>
      <c r="N392" s="20" t="str">
        <f t="array" ref="N392">IFERROR(INDEX(dim_date!K:K,MATCH(A392,dim_date!A:A,0)),"")</f>
        <v>40</v>
      </c>
      <c r="O392" s="9" t="str">
        <f t="array" ref="O392">IFERROR(INDEX(dim_date!F:F,MATCH(A392,dim_date!A:A,0)),"")</f>
        <v>9/27-10/3</v>
      </c>
      <c r="P392" s="9" t="str">
        <f t="array" ref="P392">IFERROR(INDEX(dim_kpi!E:E,MATCH(D392,dim_kpi!C:C,0)),"")</f>
        <v>count</v>
      </c>
      <c r="Q392" s="9" t="str">
        <f t="array" ref="Q392">IFERROR(INDEX(dim_kpi!F:F,MATCH(D392,dim_kpi!C:C,0)),"")</f>
        <v>N</v>
      </c>
    </row>
    <row r="393" ht="12.75" customHeight="1">
      <c r="A393" s="20" t="str">
        <f>fact_kpi_weekly!A393</f>
        <v>261004</v>
      </c>
      <c r="B393" s="21">
        <f>fact_kpi_weekly!B393</f>
        <v>46299</v>
      </c>
      <c r="C393" s="9" t="str">
        <f>fact_kpi_weekly!C393</f>
        <v>Growth</v>
      </c>
      <c r="D393" s="9" t="str">
        <f>fact_kpi_weekly!D393</f>
        <v>Total Activations</v>
      </c>
      <c r="E393" s="9" t="str">
        <f>fact_kpi_weekly!E393</f>
        <v>Forecast</v>
      </c>
      <c r="F393" s="9" t="str">
        <f>IF(fact_kpi_weekly!F393="","",fact_kpi_weekly!F393)</f>
        <v>Internal</v>
      </c>
      <c r="G393" s="9" t="str">
        <f>fact_kpi_weekly!G393</f>
        <v>N/A</v>
      </c>
      <c r="H393" s="9" t="str">
        <f>fact_kpi_weekly!H393</f>
        <v>Luke</v>
      </c>
      <c r="I393" s="9">
        <f>fact_kpi_weekly!I393</f>
        <v>645</v>
      </c>
      <c r="J393" s="22">
        <f>fact_kpi_weekly!J393</f>
        <v>645</v>
      </c>
      <c r="K393" s="20" t="str">
        <f t="array" ref="K393">IFERROR(INDEX(dim_date!H:H,MATCH(A393,dim_date!A:A,0)),"")</f>
        <v>Oct</v>
      </c>
      <c r="L393" s="20" t="str">
        <f t="array" ref="L393">IFERROR(INDEX(dim_date!G:G,MATCH(A393,dim_date!A:A,0)),"")</f>
        <v>10</v>
      </c>
      <c r="M393" s="9" t="str">
        <f t="array" ref="M393">IFERROR(INDEX(dim_date!I:I,MATCH(A393,dim_date!A:A,0)),"")</f>
        <v>Q4</v>
      </c>
      <c r="N393" s="20" t="str">
        <f t="array" ref="N393">IFERROR(INDEX(dim_date!K:K,MATCH(A393,dim_date!A:A,0)),"")</f>
        <v>41</v>
      </c>
      <c r="O393" s="9" t="str">
        <f t="array" ref="O393">IFERROR(INDEX(dim_date!F:F,MATCH(A393,dim_date!A:A,0)),"")</f>
        <v>10/4-10/10</v>
      </c>
      <c r="P393" s="9" t="str">
        <f t="array" ref="P393">IFERROR(INDEX(dim_kpi!E:E,MATCH(D393,dim_kpi!C:C,0)),"")</f>
        <v>count</v>
      </c>
      <c r="Q393" s="9" t="str">
        <f t="array" ref="Q393">IFERROR(INDEX(dim_kpi!F:F,MATCH(D393,dim_kpi!C:C,0)),"")</f>
        <v>N</v>
      </c>
    </row>
    <row r="394" ht="12.75" customHeight="1">
      <c r="A394" s="20" t="str">
        <f>fact_kpi_weekly!A394</f>
        <v>261011</v>
      </c>
      <c r="B394" s="21">
        <f>fact_kpi_weekly!B394</f>
        <v>46306</v>
      </c>
      <c r="C394" s="9" t="str">
        <f>fact_kpi_weekly!C394</f>
        <v>Growth</v>
      </c>
      <c r="D394" s="9" t="str">
        <f>fact_kpi_weekly!D394</f>
        <v>Total Activations</v>
      </c>
      <c r="E394" s="9" t="str">
        <f>fact_kpi_weekly!E394</f>
        <v>Forecast</v>
      </c>
      <c r="F394" s="9" t="str">
        <f>IF(fact_kpi_weekly!F394="","",fact_kpi_weekly!F394)</f>
        <v>Internal</v>
      </c>
      <c r="G394" s="9" t="str">
        <f>fact_kpi_weekly!G394</f>
        <v>N/A</v>
      </c>
      <c r="H394" s="9" t="str">
        <f>fact_kpi_weekly!H394</f>
        <v>Luke</v>
      </c>
      <c r="I394" s="9">
        <f>fact_kpi_weekly!I394</f>
        <v>516</v>
      </c>
      <c r="J394" s="22">
        <f>fact_kpi_weekly!J394</f>
        <v>516</v>
      </c>
      <c r="K394" s="20" t="str">
        <f t="array" ref="K394">IFERROR(INDEX(dim_date!H:H,MATCH(A394,dim_date!A:A,0)),"")</f>
        <v>Oct</v>
      </c>
      <c r="L394" s="20" t="str">
        <f t="array" ref="L394">IFERROR(INDEX(dim_date!G:G,MATCH(A394,dim_date!A:A,0)),"")</f>
        <v>10</v>
      </c>
      <c r="M394" s="9" t="str">
        <f t="array" ref="M394">IFERROR(INDEX(dim_date!I:I,MATCH(A394,dim_date!A:A,0)),"")</f>
        <v>Q4</v>
      </c>
      <c r="N394" s="20" t="str">
        <f t="array" ref="N394">IFERROR(INDEX(dim_date!K:K,MATCH(A394,dim_date!A:A,0)),"")</f>
        <v>42</v>
      </c>
      <c r="O394" s="9" t="str">
        <f t="array" ref="O394">IFERROR(INDEX(dim_date!F:F,MATCH(A394,dim_date!A:A,0)),"")</f>
        <v>10/11-10/17</v>
      </c>
      <c r="P394" s="9" t="str">
        <f t="array" ref="P394">IFERROR(INDEX(dim_kpi!E:E,MATCH(D394,dim_kpi!C:C,0)),"")</f>
        <v>count</v>
      </c>
      <c r="Q394" s="9" t="str">
        <f t="array" ref="Q394">IFERROR(INDEX(dim_kpi!F:F,MATCH(D394,dim_kpi!C:C,0)),"")</f>
        <v>N</v>
      </c>
    </row>
    <row r="395" ht="12.75" customHeight="1">
      <c r="A395" s="20" t="str">
        <f>fact_kpi_weekly!A395</f>
        <v>261018</v>
      </c>
      <c r="B395" s="21">
        <f>fact_kpi_weekly!B395</f>
        <v>46313</v>
      </c>
      <c r="C395" s="9" t="str">
        <f>fact_kpi_weekly!C395</f>
        <v>Growth</v>
      </c>
      <c r="D395" s="9" t="str">
        <f>fact_kpi_weekly!D395</f>
        <v>Total Activations</v>
      </c>
      <c r="E395" s="9" t="str">
        <f>fact_kpi_weekly!E395</f>
        <v>Forecast</v>
      </c>
      <c r="F395" s="9" t="str">
        <f>IF(fact_kpi_weekly!F395="","",fact_kpi_weekly!F395)</f>
        <v>Internal</v>
      </c>
      <c r="G395" s="9" t="str">
        <f>fact_kpi_weekly!G395</f>
        <v>N/A</v>
      </c>
      <c r="H395" s="9" t="str">
        <f>fact_kpi_weekly!H395</f>
        <v>Luke</v>
      </c>
      <c r="I395" s="9">
        <f>fact_kpi_weekly!I395</f>
        <v>645</v>
      </c>
      <c r="J395" s="22">
        <f>fact_kpi_weekly!J395</f>
        <v>645</v>
      </c>
      <c r="K395" s="20" t="str">
        <f t="array" ref="K395">IFERROR(INDEX(dim_date!H:H,MATCH(A395,dim_date!A:A,0)),"")</f>
        <v>Oct</v>
      </c>
      <c r="L395" s="20" t="str">
        <f t="array" ref="L395">IFERROR(INDEX(dim_date!G:G,MATCH(A395,dim_date!A:A,0)),"")</f>
        <v>10</v>
      </c>
      <c r="M395" s="9" t="str">
        <f t="array" ref="M395">IFERROR(INDEX(dim_date!I:I,MATCH(A395,dim_date!A:A,0)),"")</f>
        <v>Q4</v>
      </c>
      <c r="N395" s="20" t="str">
        <f t="array" ref="N395">IFERROR(INDEX(dim_date!K:K,MATCH(A395,dim_date!A:A,0)),"")</f>
        <v>43</v>
      </c>
      <c r="O395" s="9" t="str">
        <f t="array" ref="O395">IFERROR(INDEX(dim_date!F:F,MATCH(A395,dim_date!A:A,0)),"")</f>
        <v>10/18-10/24</v>
      </c>
      <c r="P395" s="9" t="str">
        <f t="array" ref="P395">IFERROR(INDEX(dim_kpi!E:E,MATCH(D395,dim_kpi!C:C,0)),"")</f>
        <v>count</v>
      </c>
      <c r="Q395" s="9" t="str">
        <f t="array" ref="Q395">IFERROR(INDEX(dim_kpi!F:F,MATCH(D395,dim_kpi!C:C,0)),"")</f>
        <v>N</v>
      </c>
    </row>
    <row r="396" ht="12.75" customHeight="1">
      <c r="A396" s="20" t="str">
        <f>fact_kpi_weekly!A396</f>
        <v>261025</v>
      </c>
      <c r="B396" s="21">
        <f>fact_kpi_weekly!B396</f>
        <v>46320</v>
      </c>
      <c r="C396" s="9" t="str">
        <f>fact_kpi_weekly!C396</f>
        <v>Growth</v>
      </c>
      <c r="D396" s="9" t="str">
        <f>fact_kpi_weekly!D396</f>
        <v>Total Activations</v>
      </c>
      <c r="E396" s="9" t="str">
        <f>fact_kpi_weekly!E396</f>
        <v>Forecast</v>
      </c>
      <c r="F396" s="9" t="str">
        <f>IF(fact_kpi_weekly!F396="","",fact_kpi_weekly!F396)</f>
        <v>Internal</v>
      </c>
      <c r="G396" s="9" t="str">
        <f>fact_kpi_weekly!G396</f>
        <v>N/A</v>
      </c>
      <c r="H396" s="9" t="str">
        <f>fact_kpi_weekly!H396</f>
        <v>Luke</v>
      </c>
      <c r="I396" s="9">
        <f>fact_kpi_weekly!I396</f>
        <v>645</v>
      </c>
      <c r="J396" s="22">
        <f>fact_kpi_weekly!J396</f>
        <v>645</v>
      </c>
      <c r="K396" s="20" t="str">
        <f t="array" ref="K396">IFERROR(INDEX(dim_date!H:H,MATCH(A396,dim_date!A:A,0)),"")</f>
        <v>Oct</v>
      </c>
      <c r="L396" s="20" t="str">
        <f t="array" ref="L396">IFERROR(INDEX(dim_date!G:G,MATCH(A396,dim_date!A:A,0)),"")</f>
        <v>10</v>
      </c>
      <c r="M396" s="9" t="str">
        <f t="array" ref="M396">IFERROR(INDEX(dim_date!I:I,MATCH(A396,dim_date!A:A,0)),"")</f>
        <v>Q4</v>
      </c>
      <c r="N396" s="20" t="str">
        <f t="array" ref="N396">IFERROR(INDEX(dim_date!K:K,MATCH(A396,dim_date!A:A,0)),"")</f>
        <v>44</v>
      </c>
      <c r="O396" s="9" t="str">
        <f t="array" ref="O396">IFERROR(INDEX(dim_date!F:F,MATCH(A396,dim_date!A:A,0)),"")</f>
        <v>10/25-10/31</v>
      </c>
      <c r="P396" s="9" t="str">
        <f t="array" ref="P396">IFERROR(INDEX(dim_kpi!E:E,MATCH(D396,dim_kpi!C:C,0)),"")</f>
        <v>count</v>
      </c>
      <c r="Q396" s="9" t="str">
        <f t="array" ref="Q396">IFERROR(INDEX(dim_kpi!F:F,MATCH(D396,dim_kpi!C:C,0)),"")</f>
        <v>N</v>
      </c>
    </row>
    <row r="397" ht="12.75" customHeight="1">
      <c r="A397" s="20" t="str">
        <f>fact_kpi_weekly!A397</f>
        <v>261101</v>
      </c>
      <c r="B397" s="21">
        <f>fact_kpi_weekly!B397</f>
        <v>46327</v>
      </c>
      <c r="C397" s="9" t="str">
        <f>fact_kpi_weekly!C397</f>
        <v>Growth</v>
      </c>
      <c r="D397" s="9" t="str">
        <f>fact_kpi_weekly!D397</f>
        <v>Total Activations</v>
      </c>
      <c r="E397" s="9" t="str">
        <f>fact_kpi_weekly!E397</f>
        <v>Forecast</v>
      </c>
      <c r="F397" s="9" t="str">
        <f>IF(fact_kpi_weekly!F397="","",fact_kpi_weekly!F397)</f>
        <v>Internal</v>
      </c>
      <c r="G397" s="9" t="str">
        <f>fact_kpi_weekly!G397</f>
        <v>N/A</v>
      </c>
      <c r="H397" s="9" t="str">
        <f>fact_kpi_weekly!H397</f>
        <v>Luke</v>
      </c>
      <c r="I397" s="9">
        <f>fact_kpi_weekly!I397</f>
        <v>680</v>
      </c>
      <c r="J397" s="22">
        <f>fact_kpi_weekly!J397</f>
        <v>680</v>
      </c>
      <c r="K397" s="20" t="str">
        <f t="array" ref="K397">IFERROR(INDEX(dim_date!H:H,MATCH(A397,dim_date!A:A,0)),"")</f>
        <v>Nov</v>
      </c>
      <c r="L397" s="20" t="str">
        <f t="array" ref="L397">IFERROR(INDEX(dim_date!G:G,MATCH(A397,dim_date!A:A,0)),"")</f>
        <v>11</v>
      </c>
      <c r="M397" s="9" t="str">
        <f t="array" ref="M397">IFERROR(INDEX(dim_date!I:I,MATCH(A397,dim_date!A:A,0)),"")</f>
        <v>Q4</v>
      </c>
      <c r="N397" s="20" t="str">
        <f t="array" ref="N397">IFERROR(INDEX(dim_date!K:K,MATCH(A397,dim_date!A:A,0)),"")</f>
        <v>45</v>
      </c>
      <c r="O397" s="9" t="str">
        <f t="array" ref="O397">IFERROR(INDEX(dim_date!F:F,MATCH(A397,dim_date!A:A,0)),"")</f>
        <v>11/1-11/7</v>
      </c>
      <c r="P397" s="9" t="str">
        <f t="array" ref="P397">IFERROR(INDEX(dim_kpi!E:E,MATCH(D397,dim_kpi!C:C,0)),"")</f>
        <v>count</v>
      </c>
      <c r="Q397" s="9" t="str">
        <f t="array" ref="Q397">IFERROR(INDEX(dim_kpi!F:F,MATCH(D397,dim_kpi!C:C,0)),"")</f>
        <v>N</v>
      </c>
    </row>
    <row r="398" ht="12.75" customHeight="1">
      <c r="A398" s="20" t="str">
        <f>fact_kpi_weekly!A398</f>
        <v>261108</v>
      </c>
      <c r="B398" s="21">
        <f>fact_kpi_weekly!B398</f>
        <v>46334</v>
      </c>
      <c r="C398" s="9" t="str">
        <f>fact_kpi_weekly!C398</f>
        <v>Growth</v>
      </c>
      <c r="D398" s="9" t="str">
        <f>fact_kpi_weekly!D398</f>
        <v>Total Activations</v>
      </c>
      <c r="E398" s="9" t="str">
        <f>fact_kpi_weekly!E398</f>
        <v>Forecast</v>
      </c>
      <c r="F398" s="9" t="str">
        <f>IF(fact_kpi_weekly!F398="","",fact_kpi_weekly!F398)</f>
        <v>Internal</v>
      </c>
      <c r="G398" s="9" t="str">
        <f>fact_kpi_weekly!G398</f>
        <v>N/A</v>
      </c>
      <c r="H398" s="9" t="str">
        <f>fact_kpi_weekly!H398</f>
        <v>Luke</v>
      </c>
      <c r="I398" s="9">
        <f>fact_kpi_weekly!I398</f>
        <v>544</v>
      </c>
      <c r="J398" s="22">
        <f>fact_kpi_weekly!J398</f>
        <v>544</v>
      </c>
      <c r="K398" s="20" t="str">
        <f t="array" ref="K398">IFERROR(INDEX(dim_date!H:H,MATCH(A398,dim_date!A:A,0)),"")</f>
        <v>Nov</v>
      </c>
      <c r="L398" s="20" t="str">
        <f t="array" ref="L398">IFERROR(INDEX(dim_date!G:G,MATCH(A398,dim_date!A:A,0)),"")</f>
        <v>11</v>
      </c>
      <c r="M398" s="9" t="str">
        <f t="array" ref="M398">IFERROR(INDEX(dim_date!I:I,MATCH(A398,dim_date!A:A,0)),"")</f>
        <v>Q4</v>
      </c>
      <c r="N398" s="20" t="str">
        <f t="array" ref="N398">IFERROR(INDEX(dim_date!K:K,MATCH(A398,dim_date!A:A,0)),"")</f>
        <v>46</v>
      </c>
      <c r="O398" s="9" t="str">
        <f t="array" ref="O398">IFERROR(INDEX(dim_date!F:F,MATCH(A398,dim_date!A:A,0)),"")</f>
        <v>11/8-11/14</v>
      </c>
      <c r="P398" s="9" t="str">
        <f t="array" ref="P398">IFERROR(INDEX(dim_kpi!E:E,MATCH(D398,dim_kpi!C:C,0)),"")</f>
        <v>count</v>
      </c>
      <c r="Q398" s="9" t="str">
        <f t="array" ref="Q398">IFERROR(INDEX(dim_kpi!F:F,MATCH(D398,dim_kpi!C:C,0)),"")</f>
        <v>N</v>
      </c>
    </row>
    <row r="399" ht="12.75" customHeight="1">
      <c r="A399" s="20" t="str">
        <f>fact_kpi_weekly!A399</f>
        <v>261115</v>
      </c>
      <c r="B399" s="21">
        <f>fact_kpi_weekly!B399</f>
        <v>46341</v>
      </c>
      <c r="C399" s="9" t="str">
        <f>fact_kpi_weekly!C399</f>
        <v>Growth</v>
      </c>
      <c r="D399" s="9" t="str">
        <f>fact_kpi_weekly!D399</f>
        <v>Total Activations</v>
      </c>
      <c r="E399" s="9" t="str">
        <f>fact_kpi_weekly!E399</f>
        <v>Forecast</v>
      </c>
      <c r="F399" s="9" t="str">
        <f>IF(fact_kpi_weekly!F399="","",fact_kpi_weekly!F399)</f>
        <v>Internal</v>
      </c>
      <c r="G399" s="9" t="str">
        <f>fact_kpi_weekly!G399</f>
        <v>N/A</v>
      </c>
      <c r="H399" s="9" t="str">
        <f>fact_kpi_weekly!H399</f>
        <v>Luke</v>
      </c>
      <c r="I399" s="9">
        <f>fact_kpi_weekly!I399</f>
        <v>680</v>
      </c>
      <c r="J399" s="22">
        <f>fact_kpi_weekly!J399</f>
        <v>680</v>
      </c>
      <c r="K399" s="20" t="str">
        <f t="array" ref="K399">IFERROR(INDEX(dim_date!H:H,MATCH(A399,dim_date!A:A,0)),"")</f>
        <v>Nov</v>
      </c>
      <c r="L399" s="20" t="str">
        <f t="array" ref="L399">IFERROR(INDEX(dim_date!G:G,MATCH(A399,dim_date!A:A,0)),"")</f>
        <v>11</v>
      </c>
      <c r="M399" s="9" t="str">
        <f t="array" ref="M399">IFERROR(INDEX(dim_date!I:I,MATCH(A399,dim_date!A:A,0)),"")</f>
        <v>Q4</v>
      </c>
      <c r="N399" s="20" t="str">
        <f t="array" ref="N399">IFERROR(INDEX(dim_date!K:K,MATCH(A399,dim_date!A:A,0)),"")</f>
        <v>47</v>
      </c>
      <c r="O399" s="9" t="str">
        <f t="array" ref="O399">IFERROR(INDEX(dim_date!F:F,MATCH(A399,dim_date!A:A,0)),"")</f>
        <v>11/15-11/21</v>
      </c>
      <c r="P399" s="9" t="str">
        <f t="array" ref="P399">IFERROR(INDEX(dim_kpi!E:E,MATCH(D399,dim_kpi!C:C,0)),"")</f>
        <v>count</v>
      </c>
      <c r="Q399" s="9" t="str">
        <f t="array" ref="Q399">IFERROR(INDEX(dim_kpi!F:F,MATCH(D399,dim_kpi!C:C,0)),"")</f>
        <v>N</v>
      </c>
    </row>
    <row r="400" ht="12.75" customHeight="1">
      <c r="A400" s="20" t="str">
        <f>fact_kpi_weekly!A400</f>
        <v>261122</v>
      </c>
      <c r="B400" s="21">
        <f>fact_kpi_weekly!B400</f>
        <v>46348</v>
      </c>
      <c r="C400" s="9" t="str">
        <f>fact_kpi_weekly!C400</f>
        <v>Growth</v>
      </c>
      <c r="D400" s="9" t="str">
        <f>fact_kpi_weekly!D400</f>
        <v>Total Activations</v>
      </c>
      <c r="E400" s="9" t="str">
        <f>fact_kpi_weekly!E400</f>
        <v>Forecast</v>
      </c>
      <c r="F400" s="9" t="str">
        <f>IF(fact_kpi_weekly!F400="","",fact_kpi_weekly!F400)</f>
        <v>Internal</v>
      </c>
      <c r="G400" s="9" t="str">
        <f>fact_kpi_weekly!G400</f>
        <v>N/A</v>
      </c>
      <c r="H400" s="9" t="str">
        <f>fact_kpi_weekly!H400</f>
        <v>Luke</v>
      </c>
      <c r="I400" s="9">
        <f>fact_kpi_weekly!I400</f>
        <v>408</v>
      </c>
      <c r="J400" s="22">
        <f>fact_kpi_weekly!J400</f>
        <v>408</v>
      </c>
      <c r="K400" s="20" t="str">
        <f t="array" ref="K400">IFERROR(INDEX(dim_date!H:H,MATCH(A400,dim_date!A:A,0)),"")</f>
        <v>Nov</v>
      </c>
      <c r="L400" s="20" t="str">
        <f t="array" ref="L400">IFERROR(INDEX(dim_date!G:G,MATCH(A400,dim_date!A:A,0)),"")</f>
        <v>11</v>
      </c>
      <c r="M400" s="9" t="str">
        <f t="array" ref="M400">IFERROR(INDEX(dim_date!I:I,MATCH(A400,dim_date!A:A,0)),"")</f>
        <v>Q4</v>
      </c>
      <c r="N400" s="20" t="str">
        <f t="array" ref="N400">IFERROR(INDEX(dim_date!K:K,MATCH(A400,dim_date!A:A,0)),"")</f>
        <v>48</v>
      </c>
      <c r="O400" s="9" t="str">
        <f t="array" ref="O400">IFERROR(INDEX(dim_date!F:F,MATCH(A400,dim_date!A:A,0)),"")</f>
        <v>11/22-11/28</v>
      </c>
      <c r="P400" s="9" t="str">
        <f t="array" ref="P400">IFERROR(INDEX(dim_kpi!E:E,MATCH(D400,dim_kpi!C:C,0)),"")</f>
        <v>count</v>
      </c>
      <c r="Q400" s="9" t="str">
        <f t="array" ref="Q400">IFERROR(INDEX(dim_kpi!F:F,MATCH(D400,dim_kpi!C:C,0)),"")</f>
        <v>N</v>
      </c>
    </row>
    <row r="401" ht="12.75" customHeight="1">
      <c r="A401" s="20" t="str">
        <f>fact_kpi_weekly!A401</f>
        <v>261129</v>
      </c>
      <c r="B401" s="21">
        <f>fact_kpi_weekly!B401</f>
        <v>46355</v>
      </c>
      <c r="C401" s="9" t="str">
        <f>fact_kpi_weekly!C401</f>
        <v>Growth</v>
      </c>
      <c r="D401" s="9" t="str">
        <f>fact_kpi_weekly!D401</f>
        <v>Total Activations</v>
      </c>
      <c r="E401" s="9" t="str">
        <f>fact_kpi_weekly!E401</f>
        <v>Forecast</v>
      </c>
      <c r="F401" s="9" t="str">
        <f>IF(fact_kpi_weekly!F401="","",fact_kpi_weekly!F401)</f>
        <v>Internal</v>
      </c>
      <c r="G401" s="9" t="str">
        <f>fact_kpi_weekly!G401</f>
        <v>N/A</v>
      </c>
      <c r="H401" s="9" t="str">
        <f>fact_kpi_weekly!H401</f>
        <v>Luke</v>
      </c>
      <c r="I401" s="9">
        <f>fact_kpi_weekly!I401</f>
        <v>536</v>
      </c>
      <c r="J401" s="22">
        <f>fact_kpi_weekly!J401</f>
        <v>536</v>
      </c>
      <c r="K401" s="20" t="str">
        <f t="array" ref="K401">IFERROR(INDEX(dim_date!H:H,MATCH(A401,dim_date!A:A,0)),"")</f>
        <v>Nov</v>
      </c>
      <c r="L401" s="20" t="str">
        <f t="array" ref="L401">IFERROR(INDEX(dim_date!G:G,MATCH(A401,dim_date!A:A,0)),"")</f>
        <v>11</v>
      </c>
      <c r="M401" s="9" t="str">
        <f t="array" ref="M401">IFERROR(INDEX(dim_date!I:I,MATCH(A401,dim_date!A:A,0)),"")</f>
        <v>Q4</v>
      </c>
      <c r="N401" s="20" t="str">
        <f t="array" ref="N401">IFERROR(INDEX(dim_date!K:K,MATCH(A401,dim_date!A:A,0)),"")</f>
        <v>49</v>
      </c>
      <c r="O401" s="9" t="str">
        <f t="array" ref="O401">IFERROR(INDEX(dim_date!F:F,MATCH(A401,dim_date!A:A,0)),"")</f>
        <v>11/29-12/5</v>
      </c>
      <c r="P401" s="9" t="str">
        <f t="array" ref="P401">IFERROR(INDEX(dim_kpi!E:E,MATCH(D401,dim_kpi!C:C,0)),"")</f>
        <v>count</v>
      </c>
      <c r="Q401" s="9" t="str">
        <f t="array" ref="Q401">IFERROR(INDEX(dim_kpi!F:F,MATCH(D401,dim_kpi!C:C,0)),"")</f>
        <v>N</v>
      </c>
    </row>
    <row r="402" ht="12.75" customHeight="1">
      <c r="A402" s="20" t="str">
        <f>fact_kpi_weekly!A402</f>
        <v>261206</v>
      </c>
      <c r="B402" s="21">
        <f>fact_kpi_weekly!B402</f>
        <v>46362</v>
      </c>
      <c r="C402" s="9" t="str">
        <f>fact_kpi_weekly!C402</f>
        <v>Growth</v>
      </c>
      <c r="D402" s="9" t="str">
        <f>fact_kpi_weekly!D402</f>
        <v>Total Activations</v>
      </c>
      <c r="E402" s="9" t="str">
        <f>fact_kpi_weekly!E402</f>
        <v>Forecast</v>
      </c>
      <c r="F402" s="9" t="str">
        <f>IF(fact_kpi_weekly!F402="","",fact_kpi_weekly!F402)</f>
        <v>Internal</v>
      </c>
      <c r="G402" s="9" t="str">
        <f>fact_kpi_weekly!G402</f>
        <v>N/A</v>
      </c>
      <c r="H402" s="9" t="str">
        <f>fact_kpi_weekly!H402</f>
        <v>Luke</v>
      </c>
      <c r="I402" s="9">
        <f>fact_kpi_weekly!I402</f>
        <v>500</v>
      </c>
      <c r="J402" s="22">
        <f>fact_kpi_weekly!J402</f>
        <v>500</v>
      </c>
      <c r="K402" s="20" t="str">
        <f t="array" ref="K402">IFERROR(INDEX(dim_date!H:H,MATCH(A402,dim_date!A:A,0)),"")</f>
        <v>Dec</v>
      </c>
      <c r="L402" s="20" t="str">
        <f t="array" ref="L402">IFERROR(INDEX(dim_date!G:G,MATCH(A402,dim_date!A:A,0)),"")</f>
        <v>12</v>
      </c>
      <c r="M402" s="9" t="str">
        <f t="array" ref="M402">IFERROR(INDEX(dim_date!I:I,MATCH(A402,dim_date!A:A,0)),"")</f>
        <v>Q4</v>
      </c>
      <c r="N402" s="20" t="str">
        <f t="array" ref="N402">IFERROR(INDEX(dim_date!K:K,MATCH(A402,dim_date!A:A,0)),"")</f>
        <v>50</v>
      </c>
      <c r="O402" s="9" t="str">
        <f t="array" ref="O402">IFERROR(INDEX(dim_date!F:F,MATCH(A402,dim_date!A:A,0)),"")</f>
        <v>12/6-12/12</v>
      </c>
      <c r="P402" s="9" t="str">
        <f t="array" ref="P402">IFERROR(INDEX(dim_kpi!E:E,MATCH(D402,dim_kpi!C:C,0)),"")</f>
        <v>count</v>
      </c>
      <c r="Q402" s="9" t="str">
        <f t="array" ref="Q402">IFERROR(INDEX(dim_kpi!F:F,MATCH(D402,dim_kpi!C:C,0)),"")</f>
        <v>N</v>
      </c>
    </row>
    <row r="403" ht="12.75" customHeight="1">
      <c r="A403" s="20" t="str">
        <f>fact_kpi_weekly!A403</f>
        <v>261213</v>
      </c>
      <c r="B403" s="21">
        <f>fact_kpi_weekly!B403</f>
        <v>46369</v>
      </c>
      <c r="C403" s="9" t="str">
        <f>fact_kpi_weekly!C403</f>
        <v>Growth</v>
      </c>
      <c r="D403" s="9" t="str">
        <f>fact_kpi_weekly!D403</f>
        <v>Total Activations</v>
      </c>
      <c r="E403" s="9" t="str">
        <f>fact_kpi_weekly!E403</f>
        <v>Forecast</v>
      </c>
      <c r="F403" s="9" t="str">
        <f>IF(fact_kpi_weekly!F403="","",fact_kpi_weekly!F403)</f>
        <v>Internal</v>
      </c>
      <c r="G403" s="9" t="str">
        <f>fact_kpi_weekly!G403</f>
        <v>N/A</v>
      </c>
      <c r="H403" s="9" t="str">
        <f>fact_kpi_weekly!H403</f>
        <v>Luke</v>
      </c>
      <c r="I403" s="9">
        <f>fact_kpi_weekly!I403</f>
        <v>500</v>
      </c>
      <c r="J403" s="22">
        <f>fact_kpi_weekly!J403</f>
        <v>500</v>
      </c>
      <c r="K403" s="20" t="str">
        <f t="array" ref="K403">IFERROR(INDEX(dim_date!H:H,MATCH(A403,dim_date!A:A,0)),"")</f>
        <v>Dec</v>
      </c>
      <c r="L403" s="20" t="str">
        <f t="array" ref="L403">IFERROR(INDEX(dim_date!G:G,MATCH(A403,dim_date!A:A,0)),"")</f>
        <v>12</v>
      </c>
      <c r="M403" s="9" t="str">
        <f t="array" ref="M403">IFERROR(INDEX(dim_date!I:I,MATCH(A403,dim_date!A:A,0)),"")</f>
        <v>Q4</v>
      </c>
      <c r="N403" s="20" t="str">
        <f t="array" ref="N403">IFERROR(INDEX(dim_date!K:K,MATCH(A403,dim_date!A:A,0)),"")</f>
        <v>51</v>
      </c>
      <c r="O403" s="9" t="str">
        <f t="array" ref="O403">IFERROR(INDEX(dim_date!F:F,MATCH(A403,dim_date!A:A,0)),"")</f>
        <v>12/13-12/19</v>
      </c>
      <c r="P403" s="9" t="str">
        <f t="array" ref="P403">IFERROR(INDEX(dim_kpi!E:E,MATCH(D403,dim_kpi!C:C,0)),"")</f>
        <v>count</v>
      </c>
      <c r="Q403" s="9" t="str">
        <f t="array" ref="Q403">IFERROR(INDEX(dim_kpi!F:F,MATCH(D403,dim_kpi!C:C,0)),"")</f>
        <v>N</v>
      </c>
    </row>
    <row r="404" ht="12.75" customHeight="1">
      <c r="A404" s="20" t="str">
        <f>fact_kpi_weekly!A404</f>
        <v>261220</v>
      </c>
      <c r="B404" s="21">
        <f>fact_kpi_weekly!B404</f>
        <v>46376</v>
      </c>
      <c r="C404" s="9" t="str">
        <f>fact_kpi_weekly!C404</f>
        <v>Growth</v>
      </c>
      <c r="D404" s="9" t="str">
        <f>fact_kpi_weekly!D404</f>
        <v>Total Activations</v>
      </c>
      <c r="E404" s="9" t="str">
        <f>fact_kpi_weekly!E404</f>
        <v>Forecast</v>
      </c>
      <c r="F404" s="9" t="str">
        <f>IF(fact_kpi_weekly!F404="","",fact_kpi_weekly!F404)</f>
        <v>Internal</v>
      </c>
      <c r="G404" s="9" t="str">
        <f>fact_kpi_weekly!G404</f>
        <v>N/A</v>
      </c>
      <c r="H404" s="9" t="str">
        <f>fact_kpi_weekly!H404</f>
        <v>Luke</v>
      </c>
      <c r="I404" s="9">
        <f>fact_kpi_weekly!I404</f>
        <v>400</v>
      </c>
      <c r="J404" s="22">
        <f>fact_kpi_weekly!J404</f>
        <v>400</v>
      </c>
      <c r="K404" s="20" t="str">
        <f t="array" ref="K404">IFERROR(INDEX(dim_date!H:H,MATCH(A404,dim_date!A:A,0)),"")</f>
        <v>Dec</v>
      </c>
      <c r="L404" s="20" t="str">
        <f t="array" ref="L404">IFERROR(INDEX(dim_date!G:G,MATCH(A404,dim_date!A:A,0)),"")</f>
        <v>12</v>
      </c>
      <c r="M404" s="9" t="str">
        <f t="array" ref="M404">IFERROR(INDEX(dim_date!I:I,MATCH(A404,dim_date!A:A,0)),"")</f>
        <v>Q4</v>
      </c>
      <c r="N404" s="20" t="str">
        <f t="array" ref="N404">IFERROR(INDEX(dim_date!K:K,MATCH(A404,dim_date!A:A,0)),"")</f>
        <v>52</v>
      </c>
      <c r="O404" s="9" t="str">
        <f t="array" ref="O404">IFERROR(INDEX(dim_date!F:F,MATCH(A404,dim_date!A:A,0)),"")</f>
        <v>12/20-12/26</v>
      </c>
      <c r="P404" s="9" t="str">
        <f t="array" ref="P404">IFERROR(INDEX(dim_kpi!E:E,MATCH(D404,dim_kpi!C:C,0)),"")</f>
        <v>count</v>
      </c>
      <c r="Q404" s="9" t="str">
        <f t="array" ref="Q404">IFERROR(INDEX(dim_kpi!F:F,MATCH(D404,dim_kpi!C:C,0)),"")</f>
        <v>N</v>
      </c>
    </row>
    <row r="405" ht="12.75" customHeight="1">
      <c r="A405" s="20" t="str">
        <f>fact_kpi_weekly!A405</f>
        <v>261227</v>
      </c>
      <c r="B405" s="21">
        <f>fact_kpi_weekly!B405</f>
        <v>46383</v>
      </c>
      <c r="C405" s="9" t="str">
        <f>fact_kpi_weekly!C405</f>
        <v>Growth</v>
      </c>
      <c r="D405" s="9" t="str">
        <f>fact_kpi_weekly!D405</f>
        <v>Total Activations</v>
      </c>
      <c r="E405" s="9" t="str">
        <f>fact_kpi_weekly!E405</f>
        <v>Forecast</v>
      </c>
      <c r="F405" s="9" t="str">
        <f>IF(fact_kpi_weekly!F405="","",fact_kpi_weekly!F405)</f>
        <v>Internal</v>
      </c>
      <c r="G405" s="9" t="str">
        <f>fact_kpi_weekly!G405</f>
        <v>N/A</v>
      </c>
      <c r="H405" s="9" t="str">
        <f>fact_kpi_weekly!H405</f>
        <v>Luke</v>
      </c>
      <c r="I405" s="9">
        <f>fact_kpi_weekly!I405</f>
        <v>400</v>
      </c>
      <c r="J405" s="22">
        <f>fact_kpi_weekly!J405</f>
        <v>400</v>
      </c>
      <c r="K405" s="20" t="str">
        <f t="array" ref="K405">IFERROR(INDEX(dim_date!H:H,MATCH(A405,dim_date!A:A,0)),"")</f>
        <v>Dec</v>
      </c>
      <c r="L405" s="20" t="str">
        <f t="array" ref="L405">IFERROR(INDEX(dim_date!G:G,MATCH(A405,dim_date!A:A,0)),"")</f>
        <v>12</v>
      </c>
      <c r="M405" s="9" t="str">
        <f t="array" ref="M405">IFERROR(INDEX(dim_date!I:I,MATCH(A405,dim_date!A:A,0)),"")</f>
        <v>Q4</v>
      </c>
      <c r="N405" s="20" t="str">
        <f t="array" ref="N405">IFERROR(INDEX(dim_date!K:K,MATCH(A405,dim_date!A:A,0)),"")</f>
        <v>53</v>
      </c>
      <c r="O405" s="9" t="str">
        <f t="array" ref="O405">IFERROR(INDEX(dim_date!F:F,MATCH(A405,dim_date!A:A,0)),"")</f>
        <v>12/27-1/2</v>
      </c>
      <c r="P405" s="9" t="str">
        <f t="array" ref="P405">IFERROR(INDEX(dim_kpi!E:E,MATCH(D405,dim_kpi!C:C,0)),"")</f>
        <v>count</v>
      </c>
      <c r="Q405" s="9" t="str">
        <f t="array" ref="Q405">IFERROR(INDEX(dim_kpi!F:F,MATCH(D405,dim_kpi!C:C,0)),"")</f>
        <v>N</v>
      </c>
    </row>
    <row r="406" ht="12.75" customHeight="1">
      <c r="A406" s="20" t="str">
        <f>fact_kpi_weekly!A406</f>
        <v>260301</v>
      </c>
      <c r="B406" s="21">
        <f>fact_kpi_weekly!B406</f>
        <v>46082</v>
      </c>
      <c r="C406" s="9" t="str">
        <f>fact_kpi_weekly!C406</f>
        <v>Growth</v>
      </c>
      <c r="D406" s="9" t="str">
        <f>fact_kpi_weekly!D406</f>
        <v>Total Activations</v>
      </c>
      <c r="E406" s="9" t="str">
        <f>fact_kpi_weekly!E406</f>
        <v>Forecast</v>
      </c>
      <c r="F406" s="9" t="str">
        <f>IF(fact_kpi_weekly!F406="","",fact_kpi_weekly!F406)</f>
        <v>Board</v>
      </c>
      <c r="G406" s="9" t="str">
        <f>fact_kpi_weekly!G406</f>
        <v>N/A</v>
      </c>
      <c r="H406" s="9" t="str">
        <f>fact_kpi_weekly!H406</f>
        <v>Luke</v>
      </c>
      <c r="I406" s="9">
        <f>fact_kpi_weekly!I406</f>
        <v>140</v>
      </c>
      <c r="J406" s="22">
        <f>fact_kpi_weekly!J406</f>
        <v>140</v>
      </c>
      <c r="K406" s="20" t="str">
        <f t="array" ref="K406">IFERROR(INDEX(dim_date!H:H,MATCH(A406,dim_date!A:A,0)),"")</f>
        <v>Mar</v>
      </c>
      <c r="L406" s="20" t="str">
        <f t="array" ref="L406">IFERROR(INDEX(dim_date!G:G,MATCH(A406,dim_date!A:A,0)),"")</f>
        <v>03</v>
      </c>
      <c r="M406" s="9" t="str">
        <f t="array" ref="M406">IFERROR(INDEX(dim_date!I:I,MATCH(A406,dim_date!A:A,0)),"")</f>
        <v>Q1</v>
      </c>
      <c r="N406" s="20" t="str">
        <f t="array" ref="N406">IFERROR(INDEX(dim_date!K:K,MATCH(A406,dim_date!A:A,0)),"")</f>
        <v>10</v>
      </c>
      <c r="O406" s="9" t="str">
        <f t="array" ref="O406">IFERROR(INDEX(dim_date!F:F,MATCH(A406,dim_date!A:A,0)),"")</f>
        <v>3/1-3/7</v>
      </c>
      <c r="P406" s="9" t="str">
        <f t="array" ref="P406">IFERROR(INDEX(dim_kpi!E:E,MATCH(D406,dim_kpi!C:C,0)),"")</f>
        <v>count</v>
      </c>
      <c r="Q406" s="9" t="str">
        <f t="array" ref="Q406">IFERROR(INDEX(dim_kpi!F:F,MATCH(D406,dim_kpi!C:C,0)),"")</f>
        <v>N</v>
      </c>
    </row>
    <row r="407" ht="12.75" customHeight="1">
      <c r="A407" s="20" t="str">
        <f>fact_kpi_weekly!A407</f>
        <v>260308</v>
      </c>
      <c r="B407" s="21">
        <f>fact_kpi_weekly!B407</f>
        <v>46089</v>
      </c>
      <c r="C407" s="9" t="str">
        <f>fact_kpi_weekly!C407</f>
        <v>Growth</v>
      </c>
      <c r="D407" s="9" t="str">
        <f>fact_kpi_weekly!D407</f>
        <v>Total Activations</v>
      </c>
      <c r="E407" s="9" t="str">
        <f>fact_kpi_weekly!E407</f>
        <v>Forecast</v>
      </c>
      <c r="F407" s="9" t="str">
        <f>IF(fact_kpi_weekly!F407="","",fact_kpi_weekly!F407)</f>
        <v>Board</v>
      </c>
      <c r="G407" s="9" t="str">
        <f>fact_kpi_weekly!G407</f>
        <v>N/A</v>
      </c>
      <c r="H407" s="9" t="str">
        <f>fact_kpi_weekly!H407</f>
        <v>Luke</v>
      </c>
      <c r="I407" s="9">
        <f>fact_kpi_weekly!I407</f>
        <v>140</v>
      </c>
      <c r="J407" s="22">
        <f>fact_kpi_weekly!J407</f>
        <v>140</v>
      </c>
      <c r="K407" s="20" t="str">
        <f t="array" ref="K407">IFERROR(INDEX(dim_date!H:H,MATCH(A407,dim_date!A:A,0)),"")</f>
        <v>Mar</v>
      </c>
      <c r="L407" s="20" t="str">
        <f t="array" ref="L407">IFERROR(INDEX(dim_date!G:G,MATCH(A407,dim_date!A:A,0)),"")</f>
        <v>03</v>
      </c>
      <c r="M407" s="9" t="str">
        <f t="array" ref="M407">IFERROR(INDEX(dim_date!I:I,MATCH(A407,dim_date!A:A,0)),"")</f>
        <v>Q1</v>
      </c>
      <c r="N407" s="20" t="str">
        <f t="array" ref="N407">IFERROR(INDEX(dim_date!K:K,MATCH(A407,dim_date!A:A,0)),"")</f>
        <v>11</v>
      </c>
      <c r="O407" s="9" t="str">
        <f t="array" ref="O407">IFERROR(INDEX(dim_date!F:F,MATCH(A407,dim_date!A:A,0)),"")</f>
        <v>3/8-3/14</v>
      </c>
      <c r="P407" s="9" t="str">
        <f t="array" ref="P407">IFERROR(INDEX(dim_kpi!E:E,MATCH(D407,dim_kpi!C:C,0)),"")</f>
        <v>count</v>
      </c>
      <c r="Q407" s="9" t="str">
        <f t="array" ref="Q407">IFERROR(INDEX(dim_kpi!F:F,MATCH(D407,dim_kpi!C:C,0)),"")</f>
        <v>N</v>
      </c>
    </row>
    <row r="408" ht="12.75" customHeight="1">
      <c r="A408" s="20" t="str">
        <f>fact_kpi_weekly!A408</f>
        <v>260315</v>
      </c>
      <c r="B408" s="21">
        <f>fact_kpi_weekly!B408</f>
        <v>46096</v>
      </c>
      <c r="C408" s="9" t="str">
        <f>fact_kpi_weekly!C408</f>
        <v>Growth</v>
      </c>
      <c r="D408" s="9" t="str">
        <f>fact_kpi_weekly!D408</f>
        <v>Total Activations</v>
      </c>
      <c r="E408" s="9" t="str">
        <f>fact_kpi_weekly!E408</f>
        <v>Forecast</v>
      </c>
      <c r="F408" s="9" t="str">
        <f>IF(fact_kpi_weekly!F408="","",fact_kpi_weekly!F408)</f>
        <v>Board</v>
      </c>
      <c r="G408" s="9" t="str">
        <f>fact_kpi_weekly!G408</f>
        <v>N/A</v>
      </c>
      <c r="H408" s="9" t="str">
        <f>fact_kpi_weekly!H408</f>
        <v>Luke</v>
      </c>
      <c r="I408" s="9">
        <f>fact_kpi_weekly!I408</f>
        <v>140</v>
      </c>
      <c r="J408" s="22">
        <f>fact_kpi_weekly!J408</f>
        <v>140</v>
      </c>
      <c r="K408" s="20" t="str">
        <f t="array" ref="K408">IFERROR(INDEX(dim_date!H:H,MATCH(A408,dim_date!A:A,0)),"")</f>
        <v>Mar</v>
      </c>
      <c r="L408" s="20" t="str">
        <f t="array" ref="L408">IFERROR(INDEX(dim_date!G:G,MATCH(A408,dim_date!A:A,0)),"")</f>
        <v>03</v>
      </c>
      <c r="M408" s="9" t="str">
        <f t="array" ref="M408">IFERROR(INDEX(dim_date!I:I,MATCH(A408,dim_date!A:A,0)),"")</f>
        <v>Q1</v>
      </c>
      <c r="N408" s="20" t="str">
        <f t="array" ref="N408">IFERROR(INDEX(dim_date!K:K,MATCH(A408,dim_date!A:A,0)),"")</f>
        <v>12</v>
      </c>
      <c r="O408" s="9" t="str">
        <f t="array" ref="O408">IFERROR(INDEX(dim_date!F:F,MATCH(A408,dim_date!A:A,0)),"")</f>
        <v>3/15-3/21</v>
      </c>
      <c r="P408" s="9" t="str">
        <f t="array" ref="P408">IFERROR(INDEX(dim_kpi!E:E,MATCH(D408,dim_kpi!C:C,0)),"")</f>
        <v>count</v>
      </c>
      <c r="Q408" s="9" t="str">
        <f t="array" ref="Q408">IFERROR(INDEX(dim_kpi!F:F,MATCH(D408,dim_kpi!C:C,0)),"")</f>
        <v>N</v>
      </c>
    </row>
    <row r="409" ht="12.75" customHeight="1">
      <c r="A409" s="20" t="str">
        <f>fact_kpi_weekly!A409</f>
        <v>260322</v>
      </c>
      <c r="B409" s="21">
        <f>fact_kpi_weekly!B409</f>
        <v>46103</v>
      </c>
      <c r="C409" s="9" t="str">
        <f>fact_kpi_weekly!C409</f>
        <v>Growth</v>
      </c>
      <c r="D409" s="9" t="str">
        <f>fact_kpi_weekly!D409</f>
        <v>Total Activations</v>
      </c>
      <c r="E409" s="9" t="str">
        <f>fact_kpi_weekly!E409</f>
        <v>Forecast</v>
      </c>
      <c r="F409" s="9" t="str">
        <f>IF(fact_kpi_weekly!F409="","",fact_kpi_weekly!F409)</f>
        <v>Board</v>
      </c>
      <c r="G409" s="9" t="str">
        <f>fact_kpi_weekly!G409</f>
        <v>N/A</v>
      </c>
      <c r="H409" s="9" t="str">
        <f>fact_kpi_weekly!H409</f>
        <v>Luke</v>
      </c>
      <c r="I409" s="9">
        <f>fact_kpi_weekly!I409</f>
        <v>140</v>
      </c>
      <c r="J409" s="22">
        <f>fact_kpi_weekly!J409</f>
        <v>140</v>
      </c>
      <c r="K409" s="20" t="str">
        <f t="array" ref="K409">IFERROR(INDEX(dim_date!H:H,MATCH(A409,dim_date!A:A,0)),"")</f>
        <v>Mar</v>
      </c>
      <c r="L409" s="20" t="str">
        <f t="array" ref="L409">IFERROR(INDEX(dim_date!G:G,MATCH(A409,dim_date!A:A,0)),"")</f>
        <v>03</v>
      </c>
      <c r="M409" s="9" t="str">
        <f t="array" ref="M409">IFERROR(INDEX(dim_date!I:I,MATCH(A409,dim_date!A:A,0)),"")</f>
        <v>Q1</v>
      </c>
      <c r="N409" s="20" t="str">
        <f t="array" ref="N409">IFERROR(INDEX(dim_date!K:K,MATCH(A409,dim_date!A:A,0)),"")</f>
        <v>13</v>
      </c>
      <c r="O409" s="9" t="str">
        <f t="array" ref="O409">IFERROR(INDEX(dim_date!F:F,MATCH(A409,dim_date!A:A,0)),"")</f>
        <v>3/22-3/28</v>
      </c>
      <c r="P409" s="9" t="str">
        <f t="array" ref="P409">IFERROR(INDEX(dim_kpi!E:E,MATCH(D409,dim_kpi!C:C,0)),"")</f>
        <v>count</v>
      </c>
      <c r="Q409" s="9" t="str">
        <f t="array" ref="Q409">IFERROR(INDEX(dim_kpi!F:F,MATCH(D409,dim_kpi!C:C,0)),"")</f>
        <v>N</v>
      </c>
    </row>
    <row r="410" ht="12.75" customHeight="1">
      <c r="A410" s="20" t="str">
        <f>fact_kpi_weekly!A410</f>
        <v>260329</v>
      </c>
      <c r="B410" s="21">
        <f>fact_kpi_weekly!B410</f>
        <v>46110</v>
      </c>
      <c r="C410" s="9" t="str">
        <f>fact_kpi_weekly!C410</f>
        <v>Growth</v>
      </c>
      <c r="D410" s="9" t="str">
        <f>fact_kpi_weekly!D410</f>
        <v>Total Activations</v>
      </c>
      <c r="E410" s="9" t="str">
        <f>fact_kpi_weekly!E410</f>
        <v>Forecast</v>
      </c>
      <c r="F410" s="9" t="str">
        <f>IF(fact_kpi_weekly!F410="","",fact_kpi_weekly!F410)</f>
        <v>Board</v>
      </c>
      <c r="G410" s="9" t="str">
        <f>fact_kpi_weekly!G410</f>
        <v>N/A</v>
      </c>
      <c r="H410" s="9" t="str">
        <f>fact_kpi_weekly!H410</f>
        <v>Luke</v>
      </c>
      <c r="I410" s="9">
        <f>fact_kpi_weekly!I410</f>
        <v>167</v>
      </c>
      <c r="J410" s="22">
        <f>fact_kpi_weekly!J410</f>
        <v>167</v>
      </c>
      <c r="K410" s="20" t="str">
        <f t="array" ref="K410">IFERROR(INDEX(dim_date!H:H,MATCH(A410,dim_date!A:A,0)),"")</f>
        <v>Mar</v>
      </c>
      <c r="L410" s="20" t="str">
        <f t="array" ref="L410">IFERROR(INDEX(dim_date!G:G,MATCH(A410,dim_date!A:A,0)),"")</f>
        <v>03</v>
      </c>
      <c r="M410" s="9" t="str">
        <f t="array" ref="M410">IFERROR(INDEX(dim_date!I:I,MATCH(A410,dim_date!A:A,0)),"")</f>
        <v>Q1</v>
      </c>
      <c r="N410" s="20" t="str">
        <f t="array" ref="N410">IFERROR(INDEX(dim_date!K:K,MATCH(A410,dim_date!A:A,0)),"")</f>
        <v>14</v>
      </c>
      <c r="O410" s="9" t="str">
        <f t="array" ref="O410">IFERROR(INDEX(dim_date!F:F,MATCH(A410,dim_date!A:A,0)),"")</f>
        <v>3/29-4/4</v>
      </c>
      <c r="P410" s="9" t="str">
        <f t="array" ref="P410">IFERROR(INDEX(dim_kpi!E:E,MATCH(D410,dim_kpi!C:C,0)),"")</f>
        <v>count</v>
      </c>
      <c r="Q410" s="9" t="str">
        <f t="array" ref="Q410">IFERROR(INDEX(dim_kpi!F:F,MATCH(D410,dim_kpi!C:C,0)),"")</f>
        <v>N</v>
      </c>
    </row>
    <row r="411" ht="12.75" customHeight="1">
      <c r="A411" s="20" t="str">
        <f>fact_kpi_weekly!A411</f>
        <v>260405</v>
      </c>
      <c r="B411" s="21">
        <f>fact_kpi_weekly!B411</f>
        <v>46117</v>
      </c>
      <c r="C411" s="9" t="str">
        <f>fact_kpi_weekly!C411</f>
        <v>Growth</v>
      </c>
      <c r="D411" s="9" t="str">
        <f>fact_kpi_weekly!D411</f>
        <v>Total Activations</v>
      </c>
      <c r="E411" s="9" t="str">
        <f>fact_kpi_weekly!E411</f>
        <v>Forecast</v>
      </c>
      <c r="F411" s="9" t="str">
        <f>IF(fact_kpi_weekly!F411="","",fact_kpi_weekly!F411)</f>
        <v>Board</v>
      </c>
      <c r="G411" s="9" t="str">
        <f>fact_kpi_weekly!G411</f>
        <v>N/A</v>
      </c>
      <c r="H411" s="9" t="str">
        <f>fact_kpi_weekly!H411</f>
        <v>Luke</v>
      </c>
      <c r="I411" s="9">
        <f>fact_kpi_weekly!I411</f>
        <v>185</v>
      </c>
      <c r="J411" s="22">
        <f>fact_kpi_weekly!J411</f>
        <v>185</v>
      </c>
      <c r="K411" s="20" t="str">
        <f t="array" ref="K411">IFERROR(INDEX(dim_date!H:H,MATCH(A411,dim_date!A:A,0)),"")</f>
        <v>Apr</v>
      </c>
      <c r="L411" s="20" t="str">
        <f t="array" ref="L411">IFERROR(INDEX(dim_date!G:G,MATCH(A411,dim_date!A:A,0)),"")</f>
        <v>04</v>
      </c>
      <c r="M411" s="9" t="str">
        <f t="array" ref="M411">IFERROR(INDEX(dim_date!I:I,MATCH(A411,dim_date!A:A,0)),"")</f>
        <v>Q2</v>
      </c>
      <c r="N411" s="20" t="str">
        <f t="array" ref="N411">IFERROR(INDEX(dim_date!K:K,MATCH(A411,dim_date!A:A,0)),"")</f>
        <v>15</v>
      </c>
      <c r="O411" s="9" t="str">
        <f t="array" ref="O411">IFERROR(INDEX(dim_date!F:F,MATCH(A411,dim_date!A:A,0)),"")</f>
        <v>4/5-4/11</v>
      </c>
      <c r="P411" s="9" t="str">
        <f t="array" ref="P411">IFERROR(INDEX(dim_kpi!E:E,MATCH(D411,dim_kpi!C:C,0)),"")</f>
        <v>count</v>
      </c>
      <c r="Q411" s="9" t="str">
        <f t="array" ref="Q411">IFERROR(INDEX(dim_kpi!F:F,MATCH(D411,dim_kpi!C:C,0)),"")</f>
        <v>N</v>
      </c>
    </row>
    <row r="412" ht="12.75" customHeight="1">
      <c r="A412" s="20" t="str">
        <f>fact_kpi_weekly!A412</f>
        <v>260412</v>
      </c>
      <c r="B412" s="21">
        <f>fact_kpi_weekly!B412</f>
        <v>46124</v>
      </c>
      <c r="C412" s="9" t="str">
        <f>fact_kpi_weekly!C412</f>
        <v>Growth</v>
      </c>
      <c r="D412" s="9" t="str">
        <f>fact_kpi_weekly!D412</f>
        <v>Total Activations</v>
      </c>
      <c r="E412" s="9" t="str">
        <f>fact_kpi_weekly!E412</f>
        <v>Forecast</v>
      </c>
      <c r="F412" s="9" t="str">
        <f>IF(fact_kpi_weekly!F412="","",fact_kpi_weekly!F412)</f>
        <v>Board</v>
      </c>
      <c r="G412" s="9" t="str">
        <f>fact_kpi_weekly!G412</f>
        <v>N/A</v>
      </c>
      <c r="H412" s="9" t="str">
        <f>fact_kpi_weekly!H412</f>
        <v>Luke</v>
      </c>
      <c r="I412" s="9">
        <f>fact_kpi_weekly!I412</f>
        <v>185</v>
      </c>
      <c r="J412" s="22">
        <f>fact_kpi_weekly!J412</f>
        <v>185</v>
      </c>
      <c r="K412" s="20" t="str">
        <f t="array" ref="K412">IFERROR(INDEX(dim_date!H:H,MATCH(A412,dim_date!A:A,0)),"")</f>
        <v>Apr</v>
      </c>
      <c r="L412" s="20" t="str">
        <f t="array" ref="L412">IFERROR(INDEX(dim_date!G:G,MATCH(A412,dim_date!A:A,0)),"")</f>
        <v>04</v>
      </c>
      <c r="M412" s="9" t="str">
        <f t="array" ref="M412">IFERROR(INDEX(dim_date!I:I,MATCH(A412,dim_date!A:A,0)),"")</f>
        <v>Q2</v>
      </c>
      <c r="N412" s="20" t="str">
        <f t="array" ref="N412">IFERROR(INDEX(dim_date!K:K,MATCH(A412,dim_date!A:A,0)),"")</f>
        <v>16</v>
      </c>
      <c r="O412" s="9" t="str">
        <f t="array" ref="O412">IFERROR(INDEX(dim_date!F:F,MATCH(A412,dim_date!A:A,0)),"")</f>
        <v>4/12-4/18</v>
      </c>
      <c r="P412" s="9" t="str">
        <f t="array" ref="P412">IFERROR(INDEX(dim_kpi!E:E,MATCH(D412,dim_kpi!C:C,0)),"")</f>
        <v>count</v>
      </c>
      <c r="Q412" s="9" t="str">
        <f t="array" ref="Q412">IFERROR(INDEX(dim_kpi!F:F,MATCH(D412,dim_kpi!C:C,0)),"")</f>
        <v>N</v>
      </c>
    </row>
    <row r="413" ht="12.75" customHeight="1">
      <c r="A413" s="20" t="str">
        <f>fact_kpi_weekly!A413</f>
        <v>260419</v>
      </c>
      <c r="B413" s="21">
        <f>fact_kpi_weekly!B413</f>
        <v>46131</v>
      </c>
      <c r="C413" s="9" t="str">
        <f>fact_kpi_weekly!C413</f>
        <v>Growth</v>
      </c>
      <c r="D413" s="9" t="str">
        <f>fact_kpi_weekly!D413</f>
        <v>Total Activations</v>
      </c>
      <c r="E413" s="9" t="str">
        <f>fact_kpi_weekly!E413</f>
        <v>Forecast</v>
      </c>
      <c r="F413" s="9" t="str">
        <f>IF(fact_kpi_weekly!F413="","",fact_kpi_weekly!F413)</f>
        <v>Board</v>
      </c>
      <c r="G413" s="9" t="str">
        <f>fact_kpi_weekly!G413</f>
        <v>N/A</v>
      </c>
      <c r="H413" s="9" t="str">
        <f>fact_kpi_weekly!H413</f>
        <v>Luke</v>
      </c>
      <c r="I413" s="9">
        <f>fact_kpi_weekly!I413</f>
        <v>185</v>
      </c>
      <c r="J413" s="22">
        <f>fact_kpi_weekly!J413</f>
        <v>185</v>
      </c>
      <c r="K413" s="20" t="str">
        <f t="array" ref="K413">IFERROR(INDEX(dim_date!H:H,MATCH(A413,dim_date!A:A,0)),"")</f>
        <v>Apr</v>
      </c>
      <c r="L413" s="20" t="str">
        <f t="array" ref="L413">IFERROR(INDEX(dim_date!G:G,MATCH(A413,dim_date!A:A,0)),"")</f>
        <v>04</v>
      </c>
      <c r="M413" s="9" t="str">
        <f t="array" ref="M413">IFERROR(INDEX(dim_date!I:I,MATCH(A413,dim_date!A:A,0)),"")</f>
        <v>Q2</v>
      </c>
      <c r="N413" s="20" t="str">
        <f t="array" ref="N413">IFERROR(INDEX(dim_date!K:K,MATCH(A413,dim_date!A:A,0)),"")</f>
        <v>17</v>
      </c>
      <c r="O413" s="9" t="str">
        <f t="array" ref="O413">IFERROR(INDEX(dim_date!F:F,MATCH(A413,dim_date!A:A,0)),"")</f>
        <v>4/19-4/25</v>
      </c>
      <c r="P413" s="9" t="str">
        <f t="array" ref="P413">IFERROR(INDEX(dim_kpi!E:E,MATCH(D413,dim_kpi!C:C,0)),"")</f>
        <v>count</v>
      </c>
      <c r="Q413" s="9" t="str">
        <f t="array" ref="Q413">IFERROR(INDEX(dim_kpi!F:F,MATCH(D413,dim_kpi!C:C,0)),"")</f>
        <v>N</v>
      </c>
    </row>
    <row r="414" ht="12.75" customHeight="1">
      <c r="A414" s="20" t="str">
        <f>fact_kpi_weekly!A414</f>
        <v>260426</v>
      </c>
      <c r="B414" s="21">
        <f>fact_kpi_weekly!B414</f>
        <v>46138</v>
      </c>
      <c r="C414" s="9" t="str">
        <f>fact_kpi_weekly!C414</f>
        <v>Growth</v>
      </c>
      <c r="D414" s="9" t="str">
        <f>fact_kpi_weekly!D414</f>
        <v>Total Activations</v>
      </c>
      <c r="E414" s="9" t="str">
        <f>fact_kpi_weekly!E414</f>
        <v>Forecast</v>
      </c>
      <c r="F414" s="9" t="str">
        <f>IF(fact_kpi_weekly!F414="","",fact_kpi_weekly!F414)</f>
        <v>Board</v>
      </c>
      <c r="G414" s="9" t="str">
        <f>fact_kpi_weekly!G414</f>
        <v>N/A</v>
      </c>
      <c r="H414" s="9" t="str">
        <f>fact_kpi_weekly!H414</f>
        <v>Luke</v>
      </c>
      <c r="I414" s="9">
        <f>fact_kpi_weekly!I414</f>
        <v>206</v>
      </c>
      <c r="J414" s="22">
        <f>fact_kpi_weekly!J414</f>
        <v>206</v>
      </c>
      <c r="K414" s="20" t="str">
        <f t="array" ref="K414">IFERROR(INDEX(dim_date!H:H,MATCH(A414,dim_date!A:A,0)),"")</f>
        <v>Apr</v>
      </c>
      <c r="L414" s="20" t="str">
        <f t="array" ref="L414">IFERROR(INDEX(dim_date!G:G,MATCH(A414,dim_date!A:A,0)),"")</f>
        <v>04</v>
      </c>
      <c r="M414" s="9" t="str">
        <f t="array" ref="M414">IFERROR(INDEX(dim_date!I:I,MATCH(A414,dim_date!A:A,0)),"")</f>
        <v>Q2</v>
      </c>
      <c r="N414" s="20" t="str">
        <f t="array" ref="N414">IFERROR(INDEX(dim_date!K:K,MATCH(A414,dim_date!A:A,0)),"")</f>
        <v>18</v>
      </c>
      <c r="O414" s="9" t="str">
        <f t="array" ref="O414">IFERROR(INDEX(dim_date!F:F,MATCH(A414,dim_date!A:A,0)),"")</f>
        <v>4/26-5/2</v>
      </c>
      <c r="P414" s="9" t="str">
        <f t="array" ref="P414">IFERROR(INDEX(dim_kpi!E:E,MATCH(D414,dim_kpi!C:C,0)),"")</f>
        <v>count</v>
      </c>
      <c r="Q414" s="9" t="str">
        <f t="array" ref="Q414">IFERROR(INDEX(dim_kpi!F:F,MATCH(D414,dim_kpi!C:C,0)),"")</f>
        <v>N</v>
      </c>
    </row>
    <row r="415" ht="12.75" customHeight="1">
      <c r="A415" s="20" t="str">
        <f>fact_kpi_weekly!A415</f>
        <v>260503</v>
      </c>
      <c r="B415" s="21">
        <f>fact_kpi_weekly!B415</f>
        <v>46145</v>
      </c>
      <c r="C415" s="9" t="str">
        <f>fact_kpi_weekly!C415</f>
        <v>Growth</v>
      </c>
      <c r="D415" s="9" t="str">
        <f>fact_kpi_weekly!D415</f>
        <v>Total Activations</v>
      </c>
      <c r="E415" s="9" t="str">
        <f>fact_kpi_weekly!E415</f>
        <v>Forecast</v>
      </c>
      <c r="F415" s="9" t="str">
        <f>IF(fact_kpi_weekly!F415="","",fact_kpi_weekly!F415)</f>
        <v>Board</v>
      </c>
      <c r="G415" s="9" t="str">
        <f>fact_kpi_weekly!G415</f>
        <v>N/A</v>
      </c>
      <c r="H415" s="9" t="str">
        <f>fact_kpi_weekly!H415</f>
        <v>Luke</v>
      </c>
      <c r="I415" s="9">
        <f>fact_kpi_weekly!I415</f>
        <v>290</v>
      </c>
      <c r="J415" s="22">
        <f>fact_kpi_weekly!J415</f>
        <v>290</v>
      </c>
      <c r="K415" s="20" t="str">
        <f t="array" ref="K415">IFERROR(INDEX(dim_date!H:H,MATCH(A415,dim_date!A:A,0)),"")</f>
        <v>May</v>
      </c>
      <c r="L415" s="20" t="str">
        <f t="array" ref="L415">IFERROR(INDEX(dim_date!G:G,MATCH(A415,dim_date!A:A,0)),"")</f>
        <v>05</v>
      </c>
      <c r="M415" s="9" t="str">
        <f t="array" ref="M415">IFERROR(INDEX(dim_date!I:I,MATCH(A415,dim_date!A:A,0)),"")</f>
        <v>Q2</v>
      </c>
      <c r="N415" s="20" t="str">
        <f t="array" ref="N415">IFERROR(INDEX(dim_date!K:K,MATCH(A415,dim_date!A:A,0)),"")</f>
        <v>19</v>
      </c>
      <c r="O415" s="9" t="str">
        <f t="array" ref="O415">IFERROR(INDEX(dim_date!F:F,MATCH(A415,dim_date!A:A,0)),"")</f>
        <v>5/3-5/9</v>
      </c>
      <c r="P415" s="9" t="str">
        <f t="array" ref="P415">IFERROR(INDEX(dim_kpi!E:E,MATCH(D415,dim_kpi!C:C,0)),"")</f>
        <v>count</v>
      </c>
      <c r="Q415" s="9" t="str">
        <f t="array" ref="Q415">IFERROR(INDEX(dim_kpi!F:F,MATCH(D415,dim_kpi!C:C,0)),"")</f>
        <v>N</v>
      </c>
    </row>
    <row r="416" ht="12.75" customHeight="1">
      <c r="A416" s="20" t="str">
        <f>fact_kpi_weekly!A416</f>
        <v>260510</v>
      </c>
      <c r="B416" s="21">
        <f>fact_kpi_weekly!B416</f>
        <v>46152</v>
      </c>
      <c r="C416" s="9" t="str">
        <f>fact_kpi_weekly!C416</f>
        <v>Growth</v>
      </c>
      <c r="D416" s="9" t="str">
        <f>fact_kpi_weekly!D416</f>
        <v>Total Activations</v>
      </c>
      <c r="E416" s="9" t="str">
        <f>fact_kpi_weekly!E416</f>
        <v>Forecast</v>
      </c>
      <c r="F416" s="9" t="str">
        <f>IF(fact_kpi_weekly!F416="","",fact_kpi_weekly!F416)</f>
        <v>Board</v>
      </c>
      <c r="G416" s="9" t="str">
        <f>fact_kpi_weekly!G416</f>
        <v>N/A</v>
      </c>
      <c r="H416" s="9" t="str">
        <f>fact_kpi_weekly!H416</f>
        <v>Luke</v>
      </c>
      <c r="I416" s="9">
        <f>fact_kpi_weekly!I416</f>
        <v>290</v>
      </c>
      <c r="J416" s="22">
        <f>fact_kpi_weekly!J416</f>
        <v>290</v>
      </c>
      <c r="K416" s="20" t="str">
        <f t="array" ref="K416">IFERROR(INDEX(dim_date!H:H,MATCH(A416,dim_date!A:A,0)),"")</f>
        <v>May</v>
      </c>
      <c r="L416" s="20" t="str">
        <f t="array" ref="L416">IFERROR(INDEX(dim_date!G:G,MATCH(A416,dim_date!A:A,0)),"")</f>
        <v>05</v>
      </c>
      <c r="M416" s="9" t="str">
        <f t="array" ref="M416">IFERROR(INDEX(dim_date!I:I,MATCH(A416,dim_date!A:A,0)),"")</f>
        <v>Q2</v>
      </c>
      <c r="N416" s="20" t="str">
        <f t="array" ref="N416">IFERROR(INDEX(dim_date!K:K,MATCH(A416,dim_date!A:A,0)),"")</f>
        <v>20</v>
      </c>
      <c r="O416" s="9" t="str">
        <f t="array" ref="O416">IFERROR(INDEX(dim_date!F:F,MATCH(A416,dim_date!A:A,0)),"")</f>
        <v>5/10-5/16</v>
      </c>
      <c r="P416" s="9" t="str">
        <f t="array" ref="P416">IFERROR(INDEX(dim_kpi!E:E,MATCH(D416,dim_kpi!C:C,0)),"")</f>
        <v>count</v>
      </c>
      <c r="Q416" s="9" t="str">
        <f t="array" ref="Q416">IFERROR(INDEX(dim_kpi!F:F,MATCH(D416,dim_kpi!C:C,0)),"")</f>
        <v>N</v>
      </c>
    </row>
    <row r="417" ht="12.75" customHeight="1">
      <c r="A417" s="20" t="str">
        <f>fact_kpi_weekly!A417</f>
        <v>260517</v>
      </c>
      <c r="B417" s="21">
        <f>fact_kpi_weekly!B417</f>
        <v>46159</v>
      </c>
      <c r="C417" s="9" t="str">
        <f>fact_kpi_weekly!C417</f>
        <v>Growth</v>
      </c>
      <c r="D417" s="9" t="str">
        <f>fact_kpi_weekly!D417</f>
        <v>Total Activations</v>
      </c>
      <c r="E417" s="9" t="str">
        <f>fact_kpi_weekly!E417</f>
        <v>Forecast</v>
      </c>
      <c r="F417" s="9" t="str">
        <f>IF(fact_kpi_weekly!F417="","",fact_kpi_weekly!F417)</f>
        <v>Board</v>
      </c>
      <c r="G417" s="9" t="str">
        <f>fact_kpi_weekly!G417</f>
        <v>N/A</v>
      </c>
      <c r="H417" s="9" t="str">
        <f>fact_kpi_weekly!H417</f>
        <v>Luke</v>
      </c>
      <c r="I417" s="9">
        <f>fact_kpi_weekly!I417</f>
        <v>290</v>
      </c>
      <c r="J417" s="22">
        <f>fact_kpi_weekly!J417</f>
        <v>290</v>
      </c>
      <c r="K417" s="20" t="str">
        <f t="array" ref="K417">IFERROR(INDEX(dim_date!H:H,MATCH(A417,dim_date!A:A,0)),"")</f>
        <v>May</v>
      </c>
      <c r="L417" s="20" t="str">
        <f t="array" ref="L417">IFERROR(INDEX(dim_date!G:G,MATCH(A417,dim_date!A:A,0)),"")</f>
        <v>05</v>
      </c>
      <c r="M417" s="9" t="str">
        <f t="array" ref="M417">IFERROR(INDEX(dim_date!I:I,MATCH(A417,dim_date!A:A,0)),"")</f>
        <v>Q2</v>
      </c>
      <c r="N417" s="20" t="str">
        <f t="array" ref="N417">IFERROR(INDEX(dim_date!K:K,MATCH(A417,dim_date!A:A,0)),"")</f>
        <v>21</v>
      </c>
      <c r="O417" s="9" t="str">
        <f t="array" ref="O417">IFERROR(INDEX(dim_date!F:F,MATCH(A417,dim_date!A:A,0)),"")</f>
        <v>5/17-5/23</v>
      </c>
      <c r="P417" s="9" t="str">
        <f t="array" ref="P417">IFERROR(INDEX(dim_kpi!E:E,MATCH(D417,dim_kpi!C:C,0)),"")</f>
        <v>count</v>
      </c>
      <c r="Q417" s="9" t="str">
        <f t="array" ref="Q417">IFERROR(INDEX(dim_kpi!F:F,MATCH(D417,dim_kpi!C:C,0)),"")</f>
        <v>N</v>
      </c>
    </row>
    <row r="418" ht="12.75" customHeight="1">
      <c r="A418" s="20" t="str">
        <f>fact_kpi_weekly!A418</f>
        <v>260524</v>
      </c>
      <c r="B418" s="21">
        <f>fact_kpi_weekly!B418</f>
        <v>46166</v>
      </c>
      <c r="C418" s="9" t="str">
        <f>fact_kpi_weekly!C418</f>
        <v>Growth</v>
      </c>
      <c r="D418" s="9" t="str">
        <f>fact_kpi_weekly!D418</f>
        <v>Total Activations</v>
      </c>
      <c r="E418" s="9" t="str">
        <f>fact_kpi_weekly!E418</f>
        <v>Forecast</v>
      </c>
      <c r="F418" s="9" t="str">
        <f>IF(fact_kpi_weekly!F418="","",fact_kpi_weekly!F418)</f>
        <v>Board</v>
      </c>
      <c r="G418" s="9" t="str">
        <f>fact_kpi_weekly!G418</f>
        <v>N/A</v>
      </c>
      <c r="H418" s="9" t="str">
        <f>fact_kpi_weekly!H418</f>
        <v>Luke</v>
      </c>
      <c r="I418" s="9">
        <f>fact_kpi_weekly!I418</f>
        <v>232</v>
      </c>
      <c r="J418" s="22">
        <f>fact_kpi_weekly!J418</f>
        <v>232</v>
      </c>
      <c r="K418" s="20" t="str">
        <f t="array" ref="K418">IFERROR(INDEX(dim_date!H:H,MATCH(A418,dim_date!A:A,0)),"")</f>
        <v>May</v>
      </c>
      <c r="L418" s="20" t="str">
        <f t="array" ref="L418">IFERROR(INDEX(dim_date!G:G,MATCH(A418,dim_date!A:A,0)),"")</f>
        <v>05</v>
      </c>
      <c r="M418" s="9" t="str">
        <f t="array" ref="M418">IFERROR(INDEX(dim_date!I:I,MATCH(A418,dim_date!A:A,0)),"")</f>
        <v>Q2</v>
      </c>
      <c r="N418" s="20" t="str">
        <f t="array" ref="N418">IFERROR(INDEX(dim_date!K:K,MATCH(A418,dim_date!A:A,0)),"")</f>
        <v>22</v>
      </c>
      <c r="O418" s="9" t="str">
        <f t="array" ref="O418">IFERROR(INDEX(dim_date!F:F,MATCH(A418,dim_date!A:A,0)),"")</f>
        <v>5/24-5/30</v>
      </c>
      <c r="P418" s="9" t="str">
        <f t="array" ref="P418">IFERROR(INDEX(dim_kpi!E:E,MATCH(D418,dim_kpi!C:C,0)),"")</f>
        <v>count</v>
      </c>
      <c r="Q418" s="9" t="str">
        <f t="array" ref="Q418">IFERROR(INDEX(dim_kpi!F:F,MATCH(D418,dim_kpi!C:C,0)),"")</f>
        <v>N</v>
      </c>
    </row>
    <row r="419" ht="12.75" customHeight="1">
      <c r="A419" s="20" t="str">
        <f>fact_kpi_weekly!A419</f>
        <v>260601</v>
      </c>
      <c r="B419" s="21">
        <f>fact_kpi_weekly!B419</f>
        <v>46174</v>
      </c>
      <c r="C419" s="9" t="str">
        <f>fact_kpi_weekly!C419</f>
        <v>Growth</v>
      </c>
      <c r="D419" s="9" t="str">
        <f>fact_kpi_weekly!D419</f>
        <v>Total Activations</v>
      </c>
      <c r="E419" s="9" t="str">
        <f>fact_kpi_weekly!E419</f>
        <v>Forecast</v>
      </c>
      <c r="F419" s="9" t="str">
        <f>IF(fact_kpi_weekly!F419="","",fact_kpi_weekly!F419)</f>
        <v>Board</v>
      </c>
      <c r="G419" s="9" t="str">
        <f>fact_kpi_weekly!G419</f>
        <v>N/A</v>
      </c>
      <c r="H419" s="9" t="str">
        <f>fact_kpi_weekly!H419</f>
        <v>Luke</v>
      </c>
      <c r="I419" s="9">
        <f>fact_kpi_weekly!I419</f>
        <v>325</v>
      </c>
      <c r="J419" s="22">
        <f>fact_kpi_weekly!J419</f>
        <v>325</v>
      </c>
      <c r="K419" s="20" t="str">
        <f t="array" ref="K419">IFERROR(INDEX(dim_date!H:H,MATCH(A419,dim_date!A:A,0)),"")</f>
        <v>Jun</v>
      </c>
      <c r="L419" s="20" t="str">
        <f t="array" ref="L419">IFERROR(INDEX(dim_date!G:G,MATCH(A419,dim_date!A:A,0)),"")</f>
        <v>06</v>
      </c>
      <c r="M419" s="9" t="str">
        <f t="array" ref="M419">IFERROR(INDEX(dim_date!I:I,MATCH(A419,dim_date!A:A,0)),"")</f>
        <v>Q2</v>
      </c>
      <c r="N419" s="20" t="str">
        <f t="array" ref="N419">IFERROR(INDEX(dim_date!K:K,MATCH(A419,dim_date!A:A,0)),"")</f>
        <v>23</v>
      </c>
      <c r="O419" s="9" t="str">
        <f t="array" ref="O419">IFERROR(INDEX(dim_date!F:F,MATCH(A419,dim_date!A:A,0)),"")</f>
        <v>5/31-6/6</v>
      </c>
      <c r="P419" s="9" t="str">
        <f t="array" ref="P419">IFERROR(INDEX(dim_kpi!E:E,MATCH(D419,dim_kpi!C:C,0)),"")</f>
        <v>count</v>
      </c>
      <c r="Q419" s="9" t="str">
        <f t="array" ref="Q419">IFERROR(INDEX(dim_kpi!F:F,MATCH(D419,dim_kpi!C:C,0)),"")</f>
        <v>N</v>
      </c>
    </row>
    <row r="420" ht="12.75" customHeight="1">
      <c r="A420" s="20" t="str">
        <f>fact_kpi_weekly!A420</f>
        <v>260607</v>
      </c>
      <c r="B420" s="21">
        <f>fact_kpi_weekly!B420</f>
        <v>46180</v>
      </c>
      <c r="C420" s="9" t="str">
        <f>fact_kpi_weekly!C420</f>
        <v>Growth</v>
      </c>
      <c r="D420" s="9" t="str">
        <f>fact_kpi_weekly!D420</f>
        <v>Total Activations</v>
      </c>
      <c r="E420" s="9" t="str">
        <f>fact_kpi_weekly!E420</f>
        <v>Forecast</v>
      </c>
      <c r="F420" s="9" t="str">
        <f>IF(fact_kpi_weekly!F420="","",fact_kpi_weekly!F420)</f>
        <v>Board</v>
      </c>
      <c r="G420" s="9" t="str">
        <f>fact_kpi_weekly!G420</f>
        <v>N/A</v>
      </c>
      <c r="H420" s="9" t="str">
        <f>fact_kpi_weekly!H420</f>
        <v>Luke</v>
      </c>
      <c r="I420" s="9">
        <f>fact_kpi_weekly!I420</f>
        <v>325</v>
      </c>
      <c r="J420" s="22">
        <f>fact_kpi_weekly!J420</f>
        <v>325</v>
      </c>
      <c r="K420" s="20" t="str">
        <f t="array" ref="K420">IFERROR(INDEX(dim_date!H:H,MATCH(A420,dim_date!A:A,0)),"")</f>
        <v>Jun</v>
      </c>
      <c r="L420" s="20" t="str">
        <f t="array" ref="L420">IFERROR(INDEX(dim_date!G:G,MATCH(A420,dim_date!A:A,0)),"")</f>
        <v>06</v>
      </c>
      <c r="M420" s="9" t="str">
        <f t="array" ref="M420">IFERROR(INDEX(dim_date!I:I,MATCH(A420,dim_date!A:A,0)),"")</f>
        <v>Q2</v>
      </c>
      <c r="N420" s="20" t="str">
        <f t="array" ref="N420">IFERROR(INDEX(dim_date!K:K,MATCH(A420,dim_date!A:A,0)),"")</f>
        <v>24</v>
      </c>
      <c r="O420" s="9" t="str">
        <f t="array" ref="O420">IFERROR(INDEX(dim_date!F:F,MATCH(A420,dim_date!A:A,0)),"")</f>
        <v>6/7-6/13</v>
      </c>
      <c r="P420" s="9" t="str">
        <f t="array" ref="P420">IFERROR(INDEX(dim_kpi!E:E,MATCH(D420,dim_kpi!C:C,0)),"")</f>
        <v>count</v>
      </c>
      <c r="Q420" s="9" t="str">
        <f t="array" ref="Q420">IFERROR(INDEX(dim_kpi!F:F,MATCH(D420,dim_kpi!C:C,0)),"")</f>
        <v>N</v>
      </c>
    </row>
    <row r="421" ht="12.75" customHeight="1">
      <c r="A421" s="20" t="str">
        <f>fact_kpi_weekly!A421</f>
        <v>260614</v>
      </c>
      <c r="B421" s="21">
        <f>fact_kpi_weekly!B421</f>
        <v>46187</v>
      </c>
      <c r="C421" s="9" t="str">
        <f>fact_kpi_weekly!C421</f>
        <v>Growth</v>
      </c>
      <c r="D421" s="9" t="str">
        <f>fact_kpi_weekly!D421</f>
        <v>Total Activations</v>
      </c>
      <c r="E421" s="9" t="str">
        <f>fact_kpi_weekly!E421</f>
        <v>Forecast</v>
      </c>
      <c r="F421" s="9" t="str">
        <f>IF(fact_kpi_weekly!F421="","",fact_kpi_weekly!F421)</f>
        <v>Board</v>
      </c>
      <c r="G421" s="9" t="str">
        <f>fact_kpi_weekly!G421</f>
        <v>N/A</v>
      </c>
      <c r="H421" s="9" t="str">
        <f>fact_kpi_weekly!H421</f>
        <v>Luke</v>
      </c>
      <c r="I421" s="9">
        <f>fact_kpi_weekly!I421</f>
        <v>260</v>
      </c>
      <c r="J421" s="22">
        <f>fact_kpi_weekly!J421</f>
        <v>260</v>
      </c>
      <c r="K421" s="20" t="str">
        <f t="array" ref="K421">IFERROR(INDEX(dim_date!H:H,MATCH(A421,dim_date!A:A,0)),"")</f>
        <v>Jun</v>
      </c>
      <c r="L421" s="20" t="str">
        <f t="array" ref="L421">IFERROR(INDEX(dim_date!G:G,MATCH(A421,dim_date!A:A,0)),"")</f>
        <v>06</v>
      </c>
      <c r="M421" s="9" t="str">
        <f t="array" ref="M421">IFERROR(INDEX(dim_date!I:I,MATCH(A421,dim_date!A:A,0)),"")</f>
        <v>Q2</v>
      </c>
      <c r="N421" s="20" t="str">
        <f t="array" ref="N421">IFERROR(INDEX(dim_date!K:K,MATCH(A421,dim_date!A:A,0)),"")</f>
        <v>25</v>
      </c>
      <c r="O421" s="9" t="str">
        <f t="array" ref="O421">IFERROR(INDEX(dim_date!F:F,MATCH(A421,dim_date!A:A,0)),"")</f>
        <v>6/14-6/20</v>
      </c>
      <c r="P421" s="9" t="str">
        <f t="array" ref="P421">IFERROR(INDEX(dim_kpi!E:E,MATCH(D421,dim_kpi!C:C,0)),"")</f>
        <v>count</v>
      </c>
      <c r="Q421" s="9" t="str">
        <f t="array" ref="Q421">IFERROR(INDEX(dim_kpi!F:F,MATCH(D421,dim_kpi!C:C,0)),"")</f>
        <v>N</v>
      </c>
    </row>
    <row r="422" ht="12.75" customHeight="1">
      <c r="A422" s="20" t="str">
        <f>fact_kpi_weekly!A422</f>
        <v>260621</v>
      </c>
      <c r="B422" s="21">
        <f>fact_kpi_weekly!B422</f>
        <v>46194</v>
      </c>
      <c r="C422" s="9" t="str">
        <f>fact_kpi_weekly!C422</f>
        <v>Growth</v>
      </c>
      <c r="D422" s="9" t="str">
        <f>fact_kpi_weekly!D422</f>
        <v>Total Activations</v>
      </c>
      <c r="E422" s="9" t="str">
        <f>fact_kpi_weekly!E422</f>
        <v>Forecast</v>
      </c>
      <c r="F422" s="9" t="str">
        <f>IF(fact_kpi_weekly!F422="","",fact_kpi_weekly!F422)</f>
        <v>Board</v>
      </c>
      <c r="G422" s="9" t="str">
        <f>fact_kpi_weekly!G422</f>
        <v>N/A</v>
      </c>
      <c r="H422" s="9" t="str">
        <f>fact_kpi_weekly!H422</f>
        <v>Luke</v>
      </c>
      <c r="I422" s="9">
        <f>fact_kpi_weekly!I422</f>
        <v>325</v>
      </c>
      <c r="J422" s="22">
        <f>fact_kpi_weekly!J422</f>
        <v>325</v>
      </c>
      <c r="K422" s="20" t="str">
        <f t="array" ref="K422">IFERROR(INDEX(dim_date!H:H,MATCH(A422,dim_date!A:A,0)),"")</f>
        <v>Jun</v>
      </c>
      <c r="L422" s="20" t="str">
        <f t="array" ref="L422">IFERROR(INDEX(dim_date!G:G,MATCH(A422,dim_date!A:A,0)),"")</f>
        <v>06</v>
      </c>
      <c r="M422" s="9" t="str">
        <f t="array" ref="M422">IFERROR(INDEX(dim_date!I:I,MATCH(A422,dim_date!A:A,0)),"")</f>
        <v>Q2</v>
      </c>
      <c r="N422" s="20" t="str">
        <f t="array" ref="N422">IFERROR(INDEX(dim_date!K:K,MATCH(A422,dim_date!A:A,0)),"")</f>
        <v>26</v>
      </c>
      <c r="O422" s="9" t="str">
        <f t="array" ref="O422">IFERROR(INDEX(dim_date!F:F,MATCH(A422,dim_date!A:A,0)),"")</f>
        <v>6/21-6/27</v>
      </c>
      <c r="P422" s="9" t="str">
        <f t="array" ref="P422">IFERROR(INDEX(dim_kpi!E:E,MATCH(D422,dim_kpi!C:C,0)),"")</f>
        <v>count</v>
      </c>
      <c r="Q422" s="9" t="str">
        <f t="array" ref="Q422">IFERROR(INDEX(dim_kpi!F:F,MATCH(D422,dim_kpi!C:C,0)),"")</f>
        <v>N</v>
      </c>
    </row>
    <row r="423" ht="12.75" customHeight="1">
      <c r="A423" s="20" t="str">
        <f>fact_kpi_weekly!A423</f>
        <v>260628</v>
      </c>
      <c r="B423" s="21">
        <f>fact_kpi_weekly!B423</f>
        <v>46201</v>
      </c>
      <c r="C423" s="9" t="str">
        <f>fact_kpi_weekly!C423</f>
        <v>Growth</v>
      </c>
      <c r="D423" s="9" t="str">
        <f>fact_kpi_weekly!D423</f>
        <v>Total Activations</v>
      </c>
      <c r="E423" s="9" t="str">
        <f>fact_kpi_weekly!E423</f>
        <v>Forecast</v>
      </c>
      <c r="F423" s="9" t="str">
        <f>IF(fact_kpi_weekly!F423="","",fact_kpi_weekly!F423)</f>
        <v>Board</v>
      </c>
      <c r="G423" s="9" t="str">
        <f>fact_kpi_weekly!G423</f>
        <v>N/A</v>
      </c>
      <c r="H423" s="9" t="str">
        <f>fact_kpi_weekly!H423</f>
        <v>Luke</v>
      </c>
      <c r="I423" s="9">
        <f>fact_kpi_weekly!I423</f>
        <v>284</v>
      </c>
      <c r="J423" s="22">
        <f>fact_kpi_weekly!J423</f>
        <v>284</v>
      </c>
      <c r="K423" s="20" t="str">
        <f t="array" ref="K423">IFERROR(INDEX(dim_date!H:H,MATCH(A423,dim_date!A:A,0)),"")</f>
        <v>Jun</v>
      </c>
      <c r="L423" s="20" t="str">
        <f t="array" ref="L423">IFERROR(INDEX(dim_date!G:G,MATCH(A423,dim_date!A:A,0)),"")</f>
        <v>06</v>
      </c>
      <c r="M423" s="9" t="str">
        <f t="array" ref="M423">IFERROR(INDEX(dim_date!I:I,MATCH(A423,dim_date!A:A,0)),"")</f>
        <v>Q2</v>
      </c>
      <c r="N423" s="20" t="str">
        <f t="array" ref="N423">IFERROR(INDEX(dim_date!K:K,MATCH(A423,dim_date!A:A,0)),"")</f>
        <v>27</v>
      </c>
      <c r="O423" s="9" t="str">
        <f t="array" ref="O423">IFERROR(INDEX(dim_date!F:F,MATCH(A423,dim_date!A:A,0)),"")</f>
        <v>6/28-7/4</v>
      </c>
      <c r="P423" s="9" t="str">
        <f t="array" ref="P423">IFERROR(INDEX(dim_kpi!E:E,MATCH(D423,dim_kpi!C:C,0)),"")</f>
        <v>count</v>
      </c>
      <c r="Q423" s="9" t="str">
        <f t="array" ref="Q423">IFERROR(INDEX(dim_kpi!F:F,MATCH(D423,dim_kpi!C:C,0)),"")</f>
        <v>N</v>
      </c>
    </row>
    <row r="424" ht="12.75" customHeight="1">
      <c r="A424" s="20" t="str">
        <f>fact_kpi_weekly!A424</f>
        <v>260705</v>
      </c>
      <c r="B424" s="21">
        <f>fact_kpi_weekly!B424</f>
        <v>46208</v>
      </c>
      <c r="C424" s="9" t="str">
        <f>fact_kpi_weekly!C424</f>
        <v>Growth</v>
      </c>
      <c r="D424" s="9" t="str">
        <f>fact_kpi_weekly!D424</f>
        <v>Total Activations</v>
      </c>
      <c r="E424" s="9" t="str">
        <f>fact_kpi_weekly!E424</f>
        <v>Forecast</v>
      </c>
      <c r="F424" s="9" t="str">
        <f>IF(fact_kpi_weekly!F424="","",fact_kpi_weekly!F424)</f>
        <v>Board</v>
      </c>
      <c r="G424" s="9" t="str">
        <f>fact_kpi_weekly!G424</f>
        <v>N/A</v>
      </c>
      <c r="H424" s="9" t="str">
        <f>fact_kpi_weekly!H424</f>
        <v>Luke</v>
      </c>
      <c r="I424" s="9">
        <f>fact_kpi_weekly!I424</f>
        <v>385</v>
      </c>
      <c r="J424" s="22">
        <f>fact_kpi_weekly!J424</f>
        <v>385</v>
      </c>
      <c r="K424" s="20" t="str">
        <f t="array" ref="K424">IFERROR(INDEX(dim_date!H:H,MATCH(A424,dim_date!A:A,0)),"")</f>
        <v>Jul</v>
      </c>
      <c r="L424" s="20" t="str">
        <f t="array" ref="L424">IFERROR(INDEX(dim_date!G:G,MATCH(A424,dim_date!A:A,0)),"")</f>
        <v>07</v>
      </c>
      <c r="M424" s="9" t="str">
        <f t="array" ref="M424">IFERROR(INDEX(dim_date!I:I,MATCH(A424,dim_date!A:A,0)),"")</f>
        <v>Q3</v>
      </c>
      <c r="N424" s="20" t="str">
        <f t="array" ref="N424">IFERROR(INDEX(dim_date!K:K,MATCH(A424,dim_date!A:A,0)),"")</f>
        <v>28</v>
      </c>
      <c r="O424" s="9" t="str">
        <f t="array" ref="O424">IFERROR(INDEX(dim_date!F:F,MATCH(A424,dim_date!A:A,0)),"")</f>
        <v>7/5-7/11</v>
      </c>
      <c r="P424" s="9" t="str">
        <f t="array" ref="P424">IFERROR(INDEX(dim_kpi!E:E,MATCH(D424,dim_kpi!C:C,0)),"")</f>
        <v>count</v>
      </c>
      <c r="Q424" s="9" t="str">
        <f t="array" ref="Q424">IFERROR(INDEX(dim_kpi!F:F,MATCH(D424,dim_kpi!C:C,0)),"")</f>
        <v>N</v>
      </c>
    </row>
    <row r="425" ht="12.75" customHeight="1">
      <c r="A425" s="20" t="str">
        <f>fact_kpi_weekly!A425</f>
        <v>260712</v>
      </c>
      <c r="B425" s="21">
        <f>fact_kpi_weekly!B425</f>
        <v>46215</v>
      </c>
      <c r="C425" s="9" t="str">
        <f>fact_kpi_weekly!C425</f>
        <v>Growth</v>
      </c>
      <c r="D425" s="9" t="str">
        <f>fact_kpi_weekly!D425</f>
        <v>Total Activations</v>
      </c>
      <c r="E425" s="9" t="str">
        <f>fact_kpi_weekly!E425</f>
        <v>Forecast</v>
      </c>
      <c r="F425" s="9" t="str">
        <f>IF(fact_kpi_weekly!F425="","",fact_kpi_weekly!F425)</f>
        <v>Board</v>
      </c>
      <c r="G425" s="9" t="str">
        <f>fact_kpi_weekly!G425</f>
        <v>N/A</v>
      </c>
      <c r="H425" s="9" t="str">
        <f>fact_kpi_weekly!H425</f>
        <v>Luke</v>
      </c>
      <c r="I425" s="9">
        <f>fact_kpi_weekly!I425</f>
        <v>385</v>
      </c>
      <c r="J425" s="22">
        <f>fact_kpi_weekly!J425</f>
        <v>385</v>
      </c>
      <c r="K425" s="20" t="str">
        <f t="array" ref="K425">IFERROR(INDEX(dim_date!H:H,MATCH(A425,dim_date!A:A,0)),"")</f>
        <v>Jul</v>
      </c>
      <c r="L425" s="20" t="str">
        <f t="array" ref="L425">IFERROR(INDEX(dim_date!G:G,MATCH(A425,dim_date!A:A,0)),"")</f>
        <v>07</v>
      </c>
      <c r="M425" s="9" t="str">
        <f t="array" ref="M425">IFERROR(INDEX(dim_date!I:I,MATCH(A425,dim_date!A:A,0)),"")</f>
        <v>Q3</v>
      </c>
      <c r="N425" s="20" t="str">
        <f t="array" ref="N425">IFERROR(INDEX(dim_date!K:K,MATCH(A425,dim_date!A:A,0)),"")</f>
        <v>29</v>
      </c>
      <c r="O425" s="9" t="str">
        <f t="array" ref="O425">IFERROR(INDEX(dim_date!F:F,MATCH(A425,dim_date!A:A,0)),"")</f>
        <v>7/12-7/18</v>
      </c>
      <c r="P425" s="9" t="str">
        <f t="array" ref="P425">IFERROR(INDEX(dim_kpi!E:E,MATCH(D425,dim_kpi!C:C,0)),"")</f>
        <v>count</v>
      </c>
      <c r="Q425" s="9" t="str">
        <f t="array" ref="Q425">IFERROR(INDEX(dim_kpi!F:F,MATCH(D425,dim_kpi!C:C,0)),"")</f>
        <v>N</v>
      </c>
    </row>
    <row r="426" ht="12.75" customHeight="1">
      <c r="A426" s="20" t="str">
        <f>fact_kpi_weekly!A426</f>
        <v>260719</v>
      </c>
      <c r="B426" s="21">
        <f>fact_kpi_weekly!B426</f>
        <v>46222</v>
      </c>
      <c r="C426" s="9" t="str">
        <f>fact_kpi_weekly!C426</f>
        <v>Growth</v>
      </c>
      <c r="D426" s="9" t="str">
        <f>fact_kpi_weekly!D426</f>
        <v>Total Activations</v>
      </c>
      <c r="E426" s="9" t="str">
        <f>fact_kpi_weekly!E426</f>
        <v>Forecast</v>
      </c>
      <c r="F426" s="9" t="str">
        <f>IF(fact_kpi_weekly!F426="","",fact_kpi_weekly!F426)</f>
        <v>Board</v>
      </c>
      <c r="G426" s="9" t="str">
        <f>fact_kpi_weekly!G426</f>
        <v>N/A</v>
      </c>
      <c r="H426" s="9" t="str">
        <f>fact_kpi_weekly!H426</f>
        <v>Luke</v>
      </c>
      <c r="I426" s="9">
        <f>fact_kpi_weekly!I426</f>
        <v>385</v>
      </c>
      <c r="J426" s="22">
        <f>fact_kpi_weekly!J426</f>
        <v>385</v>
      </c>
      <c r="K426" s="20" t="str">
        <f t="array" ref="K426">IFERROR(INDEX(dim_date!H:H,MATCH(A426,dim_date!A:A,0)),"")</f>
        <v>Jul</v>
      </c>
      <c r="L426" s="20" t="str">
        <f t="array" ref="L426">IFERROR(INDEX(dim_date!G:G,MATCH(A426,dim_date!A:A,0)),"")</f>
        <v>07</v>
      </c>
      <c r="M426" s="9" t="str">
        <f t="array" ref="M426">IFERROR(INDEX(dim_date!I:I,MATCH(A426,dim_date!A:A,0)),"")</f>
        <v>Q3</v>
      </c>
      <c r="N426" s="20" t="str">
        <f t="array" ref="N426">IFERROR(INDEX(dim_date!K:K,MATCH(A426,dim_date!A:A,0)),"")</f>
        <v>30</v>
      </c>
      <c r="O426" s="9" t="str">
        <f t="array" ref="O426">IFERROR(INDEX(dim_date!F:F,MATCH(A426,dim_date!A:A,0)),"")</f>
        <v>7/19-7/25</v>
      </c>
      <c r="P426" s="9" t="str">
        <f t="array" ref="P426">IFERROR(INDEX(dim_kpi!E:E,MATCH(D426,dim_kpi!C:C,0)),"")</f>
        <v>count</v>
      </c>
      <c r="Q426" s="9" t="str">
        <f t="array" ref="Q426">IFERROR(INDEX(dim_kpi!F:F,MATCH(D426,dim_kpi!C:C,0)),"")</f>
        <v>N</v>
      </c>
    </row>
    <row r="427" ht="12.75" customHeight="1">
      <c r="A427" s="20" t="str">
        <f>fact_kpi_weekly!A427</f>
        <v>260726</v>
      </c>
      <c r="B427" s="21">
        <f>fact_kpi_weekly!B427</f>
        <v>46229</v>
      </c>
      <c r="C427" s="9" t="str">
        <f>fact_kpi_weekly!C427</f>
        <v>Growth</v>
      </c>
      <c r="D427" s="9" t="str">
        <f>fact_kpi_weekly!D427</f>
        <v>Total Activations</v>
      </c>
      <c r="E427" s="9" t="str">
        <f>fact_kpi_weekly!E427</f>
        <v>Forecast</v>
      </c>
      <c r="F427" s="9" t="str">
        <f>IF(fact_kpi_weekly!F427="","",fact_kpi_weekly!F427)</f>
        <v>Board</v>
      </c>
      <c r="G427" s="9" t="str">
        <f>fact_kpi_weekly!G427</f>
        <v>N/A</v>
      </c>
      <c r="H427" s="9" t="str">
        <f>fact_kpi_weekly!H427</f>
        <v>Luke</v>
      </c>
      <c r="I427" s="9">
        <f>fact_kpi_weekly!I427</f>
        <v>385</v>
      </c>
      <c r="J427" s="22">
        <f>fact_kpi_weekly!J427</f>
        <v>385</v>
      </c>
      <c r="K427" s="20" t="str">
        <f t="array" ref="K427">IFERROR(INDEX(dim_date!H:H,MATCH(A427,dim_date!A:A,0)),"")</f>
        <v>Jul</v>
      </c>
      <c r="L427" s="20" t="str">
        <f t="array" ref="L427">IFERROR(INDEX(dim_date!G:G,MATCH(A427,dim_date!A:A,0)),"")</f>
        <v>07</v>
      </c>
      <c r="M427" s="9" t="str">
        <f t="array" ref="M427">IFERROR(INDEX(dim_date!I:I,MATCH(A427,dim_date!A:A,0)),"")</f>
        <v>Q3</v>
      </c>
      <c r="N427" s="20" t="str">
        <f t="array" ref="N427">IFERROR(INDEX(dim_date!K:K,MATCH(A427,dim_date!A:A,0)),"")</f>
        <v>31</v>
      </c>
      <c r="O427" s="9" t="str">
        <f t="array" ref="O427">IFERROR(INDEX(dim_date!F:F,MATCH(A427,dim_date!A:A,0)),"")</f>
        <v>7/26-8/1</v>
      </c>
      <c r="P427" s="9" t="str">
        <f t="array" ref="P427">IFERROR(INDEX(dim_kpi!E:E,MATCH(D427,dim_kpi!C:C,0)),"")</f>
        <v>count</v>
      </c>
      <c r="Q427" s="9" t="str">
        <f t="array" ref="Q427">IFERROR(INDEX(dim_kpi!F:F,MATCH(D427,dim_kpi!C:C,0)),"")</f>
        <v>N</v>
      </c>
    </row>
    <row r="428" ht="12.75" customHeight="1">
      <c r="A428" s="20" t="str">
        <f>fact_kpi_weekly!A428</f>
        <v>260802</v>
      </c>
      <c r="B428" s="21">
        <f>fact_kpi_weekly!B428</f>
        <v>46236</v>
      </c>
      <c r="C428" s="9" t="str">
        <f>fact_kpi_weekly!C428</f>
        <v>Growth</v>
      </c>
      <c r="D428" s="9" t="str">
        <f>fact_kpi_weekly!D428</f>
        <v>Total Activations</v>
      </c>
      <c r="E428" s="9" t="str">
        <f>fact_kpi_weekly!E428</f>
        <v>Forecast</v>
      </c>
      <c r="F428" s="9" t="str">
        <f>IF(fact_kpi_weekly!F428="","",fact_kpi_weekly!F428)</f>
        <v>Board</v>
      </c>
      <c r="G428" s="9" t="str">
        <f>fact_kpi_weekly!G428</f>
        <v>N/A</v>
      </c>
      <c r="H428" s="9" t="str">
        <f>fact_kpi_weekly!H428</f>
        <v>Luke</v>
      </c>
      <c r="I428" s="9">
        <f>fact_kpi_weekly!I428</f>
        <v>455</v>
      </c>
      <c r="J428" s="22">
        <f>fact_kpi_weekly!J428</f>
        <v>455</v>
      </c>
      <c r="K428" s="20" t="str">
        <f t="array" ref="K428">IFERROR(INDEX(dim_date!H:H,MATCH(A428,dim_date!A:A,0)),"")</f>
        <v>Aug</v>
      </c>
      <c r="L428" s="20" t="str">
        <f t="array" ref="L428">IFERROR(INDEX(dim_date!G:G,MATCH(A428,dim_date!A:A,0)),"")</f>
        <v>08</v>
      </c>
      <c r="M428" s="9" t="str">
        <f t="array" ref="M428">IFERROR(INDEX(dim_date!I:I,MATCH(A428,dim_date!A:A,0)),"")</f>
        <v>Q3</v>
      </c>
      <c r="N428" s="20" t="str">
        <f t="array" ref="N428">IFERROR(INDEX(dim_date!K:K,MATCH(A428,dim_date!A:A,0)),"")</f>
        <v>32</v>
      </c>
      <c r="O428" s="9" t="str">
        <f t="array" ref="O428">IFERROR(INDEX(dim_date!F:F,MATCH(A428,dim_date!A:A,0)),"")</f>
        <v>8/2-8/8</v>
      </c>
      <c r="P428" s="9" t="str">
        <f t="array" ref="P428">IFERROR(INDEX(dim_kpi!E:E,MATCH(D428,dim_kpi!C:C,0)),"")</f>
        <v>count</v>
      </c>
      <c r="Q428" s="9" t="str">
        <f t="array" ref="Q428">IFERROR(INDEX(dim_kpi!F:F,MATCH(D428,dim_kpi!C:C,0)),"")</f>
        <v>N</v>
      </c>
    </row>
    <row r="429" ht="12.75" customHeight="1">
      <c r="A429" s="20" t="str">
        <f>fact_kpi_weekly!A429</f>
        <v>260809</v>
      </c>
      <c r="B429" s="21">
        <f>fact_kpi_weekly!B429</f>
        <v>46243</v>
      </c>
      <c r="C429" s="9" t="str">
        <f>fact_kpi_weekly!C429</f>
        <v>Growth</v>
      </c>
      <c r="D429" s="9" t="str">
        <f>fact_kpi_weekly!D429</f>
        <v>Total Activations</v>
      </c>
      <c r="E429" s="9" t="str">
        <f>fact_kpi_weekly!E429</f>
        <v>Forecast</v>
      </c>
      <c r="F429" s="9" t="str">
        <f>IF(fact_kpi_weekly!F429="","",fact_kpi_weekly!F429)</f>
        <v>Board</v>
      </c>
      <c r="G429" s="9" t="str">
        <f>fact_kpi_weekly!G429</f>
        <v>N/A</v>
      </c>
      <c r="H429" s="9" t="str">
        <f>fact_kpi_weekly!H429</f>
        <v>Luke</v>
      </c>
      <c r="I429" s="9">
        <f>fact_kpi_weekly!I429</f>
        <v>455</v>
      </c>
      <c r="J429" s="22">
        <f>fact_kpi_weekly!J429</f>
        <v>455</v>
      </c>
      <c r="K429" s="20" t="str">
        <f t="array" ref="K429">IFERROR(INDEX(dim_date!H:H,MATCH(A429,dim_date!A:A,0)),"")</f>
        <v>Aug</v>
      </c>
      <c r="L429" s="20" t="str">
        <f t="array" ref="L429">IFERROR(INDEX(dim_date!G:G,MATCH(A429,dim_date!A:A,0)),"")</f>
        <v>08</v>
      </c>
      <c r="M429" s="9" t="str">
        <f t="array" ref="M429">IFERROR(INDEX(dim_date!I:I,MATCH(A429,dim_date!A:A,0)),"")</f>
        <v>Q3</v>
      </c>
      <c r="N429" s="20" t="str">
        <f t="array" ref="N429">IFERROR(INDEX(dim_date!K:K,MATCH(A429,dim_date!A:A,0)),"")</f>
        <v>33</v>
      </c>
      <c r="O429" s="9" t="str">
        <f t="array" ref="O429">IFERROR(INDEX(dim_date!F:F,MATCH(A429,dim_date!A:A,0)),"")</f>
        <v>8/9-8/15</v>
      </c>
      <c r="P429" s="9" t="str">
        <f t="array" ref="P429">IFERROR(INDEX(dim_kpi!E:E,MATCH(D429,dim_kpi!C:C,0)),"")</f>
        <v>count</v>
      </c>
      <c r="Q429" s="9" t="str">
        <f t="array" ref="Q429">IFERROR(INDEX(dim_kpi!F:F,MATCH(D429,dim_kpi!C:C,0)),"")</f>
        <v>N</v>
      </c>
    </row>
    <row r="430" ht="12.75" customHeight="1">
      <c r="A430" s="20" t="str">
        <f>fact_kpi_weekly!A430</f>
        <v>260816</v>
      </c>
      <c r="B430" s="21">
        <f>fact_kpi_weekly!B430</f>
        <v>46250</v>
      </c>
      <c r="C430" s="9" t="str">
        <f>fact_kpi_weekly!C430</f>
        <v>Growth</v>
      </c>
      <c r="D430" s="9" t="str">
        <f>fact_kpi_weekly!D430</f>
        <v>Total Activations</v>
      </c>
      <c r="E430" s="9" t="str">
        <f>fact_kpi_weekly!E430</f>
        <v>Forecast</v>
      </c>
      <c r="F430" s="9" t="str">
        <f>IF(fact_kpi_weekly!F430="","",fact_kpi_weekly!F430)</f>
        <v>Board</v>
      </c>
      <c r="G430" s="9" t="str">
        <f>fact_kpi_weekly!G430</f>
        <v>N/A</v>
      </c>
      <c r="H430" s="9" t="str">
        <f>fact_kpi_weekly!H430</f>
        <v>Luke</v>
      </c>
      <c r="I430" s="9">
        <f>fact_kpi_weekly!I430</f>
        <v>455</v>
      </c>
      <c r="J430" s="22">
        <f>fact_kpi_weekly!J430</f>
        <v>455</v>
      </c>
      <c r="K430" s="20" t="str">
        <f t="array" ref="K430">IFERROR(INDEX(dim_date!H:H,MATCH(A430,dim_date!A:A,0)),"")</f>
        <v>Aug</v>
      </c>
      <c r="L430" s="20" t="str">
        <f t="array" ref="L430">IFERROR(INDEX(dim_date!G:G,MATCH(A430,dim_date!A:A,0)),"")</f>
        <v>08</v>
      </c>
      <c r="M430" s="9" t="str">
        <f t="array" ref="M430">IFERROR(INDEX(dim_date!I:I,MATCH(A430,dim_date!A:A,0)),"")</f>
        <v>Q3</v>
      </c>
      <c r="N430" s="20" t="str">
        <f t="array" ref="N430">IFERROR(INDEX(dim_date!K:K,MATCH(A430,dim_date!A:A,0)),"")</f>
        <v>34</v>
      </c>
      <c r="O430" s="9" t="str">
        <f t="array" ref="O430">IFERROR(INDEX(dim_date!F:F,MATCH(A430,dim_date!A:A,0)),"")</f>
        <v>8/16-8/22</v>
      </c>
      <c r="P430" s="9" t="str">
        <f t="array" ref="P430">IFERROR(INDEX(dim_kpi!E:E,MATCH(D430,dim_kpi!C:C,0)),"")</f>
        <v>count</v>
      </c>
      <c r="Q430" s="9" t="str">
        <f t="array" ref="Q430">IFERROR(INDEX(dim_kpi!F:F,MATCH(D430,dim_kpi!C:C,0)),"")</f>
        <v>N</v>
      </c>
    </row>
    <row r="431" ht="12.75" customHeight="1">
      <c r="A431" s="20" t="str">
        <f>fact_kpi_weekly!A431</f>
        <v>260823</v>
      </c>
      <c r="B431" s="21">
        <f>fact_kpi_weekly!B431</f>
        <v>46257</v>
      </c>
      <c r="C431" s="9" t="str">
        <f>fact_kpi_weekly!C431</f>
        <v>Growth</v>
      </c>
      <c r="D431" s="9" t="str">
        <f>fact_kpi_weekly!D431</f>
        <v>Total Activations</v>
      </c>
      <c r="E431" s="9" t="str">
        <f>fact_kpi_weekly!E431</f>
        <v>Forecast</v>
      </c>
      <c r="F431" s="9" t="str">
        <f>IF(fact_kpi_weekly!F431="","",fact_kpi_weekly!F431)</f>
        <v>Board</v>
      </c>
      <c r="G431" s="9" t="str">
        <f>fact_kpi_weekly!G431</f>
        <v>N/A</v>
      </c>
      <c r="H431" s="9" t="str">
        <f>fact_kpi_weekly!H431</f>
        <v>Luke</v>
      </c>
      <c r="I431" s="9">
        <f>fact_kpi_weekly!I431</f>
        <v>455</v>
      </c>
      <c r="J431" s="22">
        <f>fact_kpi_weekly!J431</f>
        <v>455</v>
      </c>
      <c r="K431" s="20" t="str">
        <f t="array" ref="K431">IFERROR(INDEX(dim_date!H:H,MATCH(A431,dim_date!A:A,0)),"")</f>
        <v>Aug</v>
      </c>
      <c r="L431" s="20" t="str">
        <f t="array" ref="L431">IFERROR(INDEX(dim_date!G:G,MATCH(A431,dim_date!A:A,0)),"")</f>
        <v>08</v>
      </c>
      <c r="M431" s="9" t="str">
        <f t="array" ref="M431">IFERROR(INDEX(dim_date!I:I,MATCH(A431,dim_date!A:A,0)),"")</f>
        <v>Q3</v>
      </c>
      <c r="N431" s="20" t="str">
        <f t="array" ref="N431">IFERROR(INDEX(dim_date!K:K,MATCH(A431,dim_date!A:A,0)),"")</f>
        <v>35</v>
      </c>
      <c r="O431" s="9" t="str">
        <f t="array" ref="O431">IFERROR(INDEX(dim_date!F:F,MATCH(A431,dim_date!A:A,0)),"")</f>
        <v>8/23-8/29</v>
      </c>
      <c r="P431" s="9" t="str">
        <f t="array" ref="P431">IFERROR(INDEX(dim_kpi!E:E,MATCH(D431,dim_kpi!C:C,0)),"")</f>
        <v>count</v>
      </c>
      <c r="Q431" s="9" t="str">
        <f t="array" ref="Q431">IFERROR(INDEX(dim_kpi!F:F,MATCH(D431,dim_kpi!C:C,0)),"")</f>
        <v>N</v>
      </c>
    </row>
    <row r="432" ht="12.75" customHeight="1">
      <c r="A432" s="20" t="str">
        <f>fact_kpi_weekly!A432</f>
        <v>260830</v>
      </c>
      <c r="B432" s="21">
        <f>fact_kpi_weekly!B432</f>
        <v>46264</v>
      </c>
      <c r="C432" s="9" t="str">
        <f>fact_kpi_weekly!C432</f>
        <v>Growth</v>
      </c>
      <c r="D432" s="9" t="str">
        <f>fact_kpi_weekly!D432</f>
        <v>Total Activations</v>
      </c>
      <c r="E432" s="9" t="str">
        <f>fact_kpi_weekly!E432</f>
        <v>Forecast</v>
      </c>
      <c r="F432" s="9" t="str">
        <f>IF(fact_kpi_weekly!F432="","",fact_kpi_weekly!F432)</f>
        <v>Board</v>
      </c>
      <c r="G432" s="9" t="str">
        <f>fact_kpi_weekly!G432</f>
        <v>N/A</v>
      </c>
      <c r="H432" s="9" t="str">
        <f>fact_kpi_weekly!H432</f>
        <v>Luke</v>
      </c>
      <c r="I432" s="9">
        <f>fact_kpi_weekly!I432</f>
        <v>499</v>
      </c>
      <c r="J432" s="22">
        <f>fact_kpi_weekly!J432</f>
        <v>499</v>
      </c>
      <c r="K432" s="20" t="str">
        <f t="array" ref="K432">IFERROR(INDEX(dim_date!H:H,MATCH(A432,dim_date!A:A,0)),"")</f>
        <v>Aug</v>
      </c>
      <c r="L432" s="20" t="str">
        <f t="array" ref="L432">IFERROR(INDEX(dim_date!G:G,MATCH(A432,dim_date!A:A,0)),"")</f>
        <v>08</v>
      </c>
      <c r="M432" s="9" t="str">
        <f t="array" ref="M432">IFERROR(INDEX(dim_date!I:I,MATCH(A432,dim_date!A:A,0)),"")</f>
        <v>Q3</v>
      </c>
      <c r="N432" s="20" t="str">
        <f t="array" ref="N432">IFERROR(INDEX(dim_date!K:K,MATCH(A432,dim_date!A:A,0)),"")</f>
        <v>36</v>
      </c>
      <c r="O432" s="9" t="str">
        <f t="array" ref="O432">IFERROR(INDEX(dim_date!F:F,MATCH(A432,dim_date!A:A,0)),"")</f>
        <v>8/30-9/5</v>
      </c>
      <c r="P432" s="9" t="str">
        <f t="array" ref="P432">IFERROR(INDEX(dim_kpi!E:E,MATCH(D432,dim_kpi!C:C,0)),"")</f>
        <v>count</v>
      </c>
      <c r="Q432" s="9" t="str">
        <f t="array" ref="Q432">IFERROR(INDEX(dim_kpi!F:F,MATCH(D432,dim_kpi!C:C,0)),"")</f>
        <v>N</v>
      </c>
    </row>
    <row r="433" ht="12.75" customHeight="1">
      <c r="A433" s="20" t="str">
        <f>fact_kpi_weekly!A433</f>
        <v>260906</v>
      </c>
      <c r="B433" s="21">
        <f>fact_kpi_weekly!B433</f>
        <v>46271</v>
      </c>
      <c r="C433" s="9" t="str">
        <f>fact_kpi_weekly!C433</f>
        <v>Growth</v>
      </c>
      <c r="D433" s="9" t="str">
        <f>fact_kpi_weekly!D433</f>
        <v>Total Activations</v>
      </c>
      <c r="E433" s="9" t="str">
        <f>fact_kpi_weekly!E433</f>
        <v>Forecast</v>
      </c>
      <c r="F433" s="9" t="str">
        <f>IF(fact_kpi_weekly!F433="","",fact_kpi_weekly!F433)</f>
        <v>Board</v>
      </c>
      <c r="G433" s="9" t="str">
        <f>fact_kpi_weekly!G433</f>
        <v>N/A</v>
      </c>
      <c r="H433" s="9" t="str">
        <f>fact_kpi_weekly!H433</f>
        <v>Luke</v>
      </c>
      <c r="I433" s="9">
        <f>fact_kpi_weekly!I433</f>
        <v>408</v>
      </c>
      <c r="J433" s="22">
        <f>fact_kpi_weekly!J433</f>
        <v>408</v>
      </c>
      <c r="K433" s="20" t="str">
        <f t="array" ref="K433">IFERROR(INDEX(dim_date!H:H,MATCH(A433,dim_date!A:A,0)),"")</f>
        <v>Sep</v>
      </c>
      <c r="L433" s="20" t="str">
        <f t="array" ref="L433">IFERROR(INDEX(dim_date!G:G,MATCH(A433,dim_date!A:A,0)),"")</f>
        <v>09</v>
      </c>
      <c r="M433" s="9" t="str">
        <f t="array" ref="M433">IFERROR(INDEX(dim_date!I:I,MATCH(A433,dim_date!A:A,0)),"")</f>
        <v>Q3</v>
      </c>
      <c r="N433" s="20" t="str">
        <f t="array" ref="N433">IFERROR(INDEX(dim_date!K:K,MATCH(A433,dim_date!A:A,0)),"")</f>
        <v>37</v>
      </c>
      <c r="O433" s="9" t="str">
        <f t="array" ref="O433">IFERROR(INDEX(dim_date!F:F,MATCH(A433,dim_date!A:A,0)),"")</f>
        <v>9/6-9/12</v>
      </c>
      <c r="P433" s="9" t="str">
        <f t="array" ref="P433">IFERROR(INDEX(dim_kpi!E:E,MATCH(D433,dim_kpi!C:C,0)),"")</f>
        <v>count</v>
      </c>
      <c r="Q433" s="9" t="str">
        <f t="array" ref="Q433">IFERROR(INDEX(dim_kpi!F:F,MATCH(D433,dim_kpi!C:C,0)),"")</f>
        <v>N</v>
      </c>
    </row>
    <row r="434" ht="12.75" customHeight="1">
      <c r="A434" s="20" t="str">
        <f>fact_kpi_weekly!A434</f>
        <v>260913</v>
      </c>
      <c r="B434" s="21">
        <f>fact_kpi_weekly!B434</f>
        <v>46278</v>
      </c>
      <c r="C434" s="9" t="str">
        <f>fact_kpi_weekly!C434</f>
        <v>Growth</v>
      </c>
      <c r="D434" s="9" t="str">
        <f>fact_kpi_weekly!D434</f>
        <v>Total Activations</v>
      </c>
      <c r="E434" s="9" t="str">
        <f>fact_kpi_weekly!E434</f>
        <v>Forecast</v>
      </c>
      <c r="F434" s="9" t="str">
        <f>IF(fact_kpi_weekly!F434="","",fact_kpi_weekly!F434)</f>
        <v>Board</v>
      </c>
      <c r="G434" s="9" t="str">
        <f>fact_kpi_weekly!G434</f>
        <v>N/A</v>
      </c>
      <c r="H434" s="9" t="str">
        <f>fact_kpi_weekly!H434</f>
        <v>Luke</v>
      </c>
      <c r="I434" s="9">
        <f>fact_kpi_weekly!I434</f>
        <v>510</v>
      </c>
      <c r="J434" s="22">
        <f>fact_kpi_weekly!J434</f>
        <v>510</v>
      </c>
      <c r="K434" s="20" t="str">
        <f t="array" ref="K434">IFERROR(INDEX(dim_date!H:H,MATCH(A434,dim_date!A:A,0)),"")</f>
        <v>Sep</v>
      </c>
      <c r="L434" s="20" t="str">
        <f t="array" ref="L434">IFERROR(INDEX(dim_date!G:G,MATCH(A434,dim_date!A:A,0)),"")</f>
        <v>09</v>
      </c>
      <c r="M434" s="9" t="str">
        <f t="array" ref="M434">IFERROR(INDEX(dim_date!I:I,MATCH(A434,dim_date!A:A,0)),"")</f>
        <v>Q3</v>
      </c>
      <c r="N434" s="20" t="str">
        <f t="array" ref="N434">IFERROR(INDEX(dim_date!K:K,MATCH(A434,dim_date!A:A,0)),"")</f>
        <v>38</v>
      </c>
      <c r="O434" s="9" t="str">
        <f t="array" ref="O434">IFERROR(INDEX(dim_date!F:F,MATCH(A434,dim_date!A:A,0)),"")</f>
        <v>9/13-9/19</v>
      </c>
      <c r="P434" s="9" t="str">
        <f t="array" ref="P434">IFERROR(INDEX(dim_kpi!E:E,MATCH(D434,dim_kpi!C:C,0)),"")</f>
        <v>count</v>
      </c>
      <c r="Q434" s="9" t="str">
        <f t="array" ref="Q434">IFERROR(INDEX(dim_kpi!F:F,MATCH(D434,dim_kpi!C:C,0)),"")</f>
        <v>N</v>
      </c>
    </row>
    <row r="435" ht="12.75" customHeight="1">
      <c r="A435" s="20" t="str">
        <f>fact_kpi_weekly!A435</f>
        <v>260920</v>
      </c>
      <c r="B435" s="21">
        <f>fact_kpi_weekly!B435</f>
        <v>46285</v>
      </c>
      <c r="C435" s="9" t="str">
        <f>fact_kpi_weekly!C435</f>
        <v>Growth</v>
      </c>
      <c r="D435" s="9" t="str">
        <f>fact_kpi_weekly!D435</f>
        <v>Total Activations</v>
      </c>
      <c r="E435" s="9" t="str">
        <f>fact_kpi_weekly!E435</f>
        <v>Forecast</v>
      </c>
      <c r="F435" s="9" t="str">
        <f>IF(fact_kpi_weekly!F435="","",fact_kpi_weekly!F435)</f>
        <v>Board</v>
      </c>
      <c r="G435" s="9" t="str">
        <f>fact_kpi_weekly!G435</f>
        <v>N/A</v>
      </c>
      <c r="H435" s="9" t="str">
        <f>fact_kpi_weekly!H435</f>
        <v>Luke</v>
      </c>
      <c r="I435" s="9">
        <f>fact_kpi_weekly!I435</f>
        <v>510</v>
      </c>
      <c r="J435" s="22">
        <f>fact_kpi_weekly!J435</f>
        <v>510</v>
      </c>
      <c r="K435" s="20" t="str">
        <f t="array" ref="K435">IFERROR(INDEX(dim_date!H:H,MATCH(A435,dim_date!A:A,0)),"")</f>
        <v>Sep</v>
      </c>
      <c r="L435" s="20" t="str">
        <f t="array" ref="L435">IFERROR(INDEX(dim_date!G:G,MATCH(A435,dim_date!A:A,0)),"")</f>
        <v>09</v>
      </c>
      <c r="M435" s="9" t="str">
        <f t="array" ref="M435">IFERROR(INDEX(dim_date!I:I,MATCH(A435,dim_date!A:A,0)),"")</f>
        <v>Q3</v>
      </c>
      <c r="N435" s="20" t="str">
        <f t="array" ref="N435">IFERROR(INDEX(dim_date!K:K,MATCH(A435,dim_date!A:A,0)),"")</f>
        <v>39</v>
      </c>
      <c r="O435" s="9" t="str">
        <f t="array" ref="O435">IFERROR(INDEX(dim_date!F:F,MATCH(A435,dim_date!A:A,0)),"")</f>
        <v>9/20-9/26</v>
      </c>
      <c r="P435" s="9" t="str">
        <f t="array" ref="P435">IFERROR(INDEX(dim_kpi!E:E,MATCH(D435,dim_kpi!C:C,0)),"")</f>
        <v>count</v>
      </c>
      <c r="Q435" s="9" t="str">
        <f t="array" ref="Q435">IFERROR(INDEX(dim_kpi!F:F,MATCH(D435,dim_kpi!C:C,0)),"")</f>
        <v>N</v>
      </c>
    </row>
    <row r="436" ht="12.75" customHeight="1">
      <c r="A436" s="20" t="str">
        <f>fact_kpi_weekly!A436</f>
        <v>260927</v>
      </c>
      <c r="B436" s="21">
        <f>fact_kpi_weekly!B436</f>
        <v>46292</v>
      </c>
      <c r="C436" s="9" t="str">
        <f>fact_kpi_weekly!C436</f>
        <v>Growth</v>
      </c>
      <c r="D436" s="9" t="str">
        <f>fact_kpi_weekly!D436</f>
        <v>Total Activations</v>
      </c>
      <c r="E436" s="9" t="str">
        <f>fact_kpi_weekly!E436</f>
        <v>Forecast</v>
      </c>
      <c r="F436" s="9" t="str">
        <f>IF(fact_kpi_weekly!F436="","",fact_kpi_weekly!F436)</f>
        <v>Board</v>
      </c>
      <c r="G436" s="9" t="str">
        <f>fact_kpi_weekly!G436</f>
        <v>N/A</v>
      </c>
      <c r="H436" s="9" t="str">
        <f>fact_kpi_weekly!H436</f>
        <v>Luke</v>
      </c>
      <c r="I436" s="9">
        <f>fact_kpi_weekly!I436</f>
        <v>526</v>
      </c>
      <c r="J436" s="22">
        <f>fact_kpi_weekly!J436</f>
        <v>526</v>
      </c>
      <c r="K436" s="20" t="str">
        <f t="array" ref="K436">IFERROR(INDEX(dim_date!H:H,MATCH(A436,dim_date!A:A,0)),"")</f>
        <v>Sep</v>
      </c>
      <c r="L436" s="20" t="str">
        <f t="array" ref="L436">IFERROR(INDEX(dim_date!G:G,MATCH(A436,dim_date!A:A,0)),"")</f>
        <v>09</v>
      </c>
      <c r="M436" s="9" t="str">
        <f t="array" ref="M436">IFERROR(INDEX(dim_date!I:I,MATCH(A436,dim_date!A:A,0)),"")</f>
        <v>Q3</v>
      </c>
      <c r="N436" s="20" t="str">
        <f t="array" ref="N436">IFERROR(INDEX(dim_date!K:K,MATCH(A436,dim_date!A:A,0)),"")</f>
        <v>40</v>
      </c>
      <c r="O436" s="9" t="str">
        <f t="array" ref="O436">IFERROR(INDEX(dim_date!F:F,MATCH(A436,dim_date!A:A,0)),"")</f>
        <v>9/27-10/3</v>
      </c>
      <c r="P436" s="9" t="str">
        <f t="array" ref="P436">IFERROR(INDEX(dim_kpi!E:E,MATCH(D436,dim_kpi!C:C,0)),"")</f>
        <v>count</v>
      </c>
      <c r="Q436" s="9" t="str">
        <f t="array" ref="Q436">IFERROR(INDEX(dim_kpi!F:F,MATCH(D436,dim_kpi!C:C,0)),"")</f>
        <v>N</v>
      </c>
    </row>
    <row r="437" ht="12.75" customHeight="1">
      <c r="A437" s="20" t="str">
        <f>fact_kpi_weekly!A437</f>
        <v>261004</v>
      </c>
      <c r="B437" s="21">
        <f>fact_kpi_weekly!B437</f>
        <v>46299</v>
      </c>
      <c r="C437" s="9" t="str">
        <f>fact_kpi_weekly!C437</f>
        <v>Growth</v>
      </c>
      <c r="D437" s="9" t="str">
        <f>fact_kpi_weekly!D437</f>
        <v>Total Activations</v>
      </c>
      <c r="E437" s="9" t="str">
        <f>fact_kpi_weekly!E437</f>
        <v>Forecast</v>
      </c>
      <c r="F437" s="9" t="str">
        <f>IF(fact_kpi_weekly!F437="","",fact_kpi_weekly!F437)</f>
        <v>Board</v>
      </c>
      <c r="G437" s="9" t="str">
        <f>fact_kpi_weekly!G437</f>
        <v>N/A</v>
      </c>
      <c r="H437" s="9" t="str">
        <f>fact_kpi_weekly!H437</f>
        <v>Luke</v>
      </c>
      <c r="I437" s="9">
        <f>fact_kpi_weekly!I437</f>
        <v>550</v>
      </c>
      <c r="J437" s="22">
        <f>fact_kpi_weekly!J437</f>
        <v>550</v>
      </c>
      <c r="K437" s="20" t="str">
        <f t="array" ref="K437">IFERROR(INDEX(dim_date!H:H,MATCH(A437,dim_date!A:A,0)),"")</f>
        <v>Oct</v>
      </c>
      <c r="L437" s="20" t="str">
        <f t="array" ref="L437">IFERROR(INDEX(dim_date!G:G,MATCH(A437,dim_date!A:A,0)),"")</f>
        <v>10</v>
      </c>
      <c r="M437" s="9" t="str">
        <f t="array" ref="M437">IFERROR(INDEX(dim_date!I:I,MATCH(A437,dim_date!A:A,0)),"")</f>
        <v>Q4</v>
      </c>
      <c r="N437" s="20" t="str">
        <f t="array" ref="N437">IFERROR(INDEX(dim_date!K:K,MATCH(A437,dim_date!A:A,0)),"")</f>
        <v>41</v>
      </c>
      <c r="O437" s="9" t="str">
        <f t="array" ref="O437">IFERROR(INDEX(dim_date!F:F,MATCH(A437,dim_date!A:A,0)),"")</f>
        <v>10/4-10/10</v>
      </c>
      <c r="P437" s="9" t="str">
        <f t="array" ref="P437">IFERROR(INDEX(dim_kpi!E:E,MATCH(D437,dim_kpi!C:C,0)),"")</f>
        <v>count</v>
      </c>
      <c r="Q437" s="9" t="str">
        <f t="array" ref="Q437">IFERROR(INDEX(dim_kpi!F:F,MATCH(D437,dim_kpi!C:C,0)),"")</f>
        <v>N</v>
      </c>
    </row>
    <row r="438" ht="12.75" customHeight="1">
      <c r="A438" s="20" t="str">
        <f>fact_kpi_weekly!A438</f>
        <v>261011</v>
      </c>
      <c r="B438" s="21">
        <f>fact_kpi_weekly!B438</f>
        <v>46306</v>
      </c>
      <c r="C438" s="9" t="str">
        <f>fact_kpi_weekly!C438</f>
        <v>Growth</v>
      </c>
      <c r="D438" s="9" t="str">
        <f>fact_kpi_weekly!D438</f>
        <v>Total Activations</v>
      </c>
      <c r="E438" s="9" t="str">
        <f>fact_kpi_weekly!E438</f>
        <v>Forecast</v>
      </c>
      <c r="F438" s="9" t="str">
        <f>IF(fact_kpi_weekly!F438="","",fact_kpi_weekly!F438)</f>
        <v>Board</v>
      </c>
      <c r="G438" s="9" t="str">
        <f>fact_kpi_weekly!G438</f>
        <v>N/A</v>
      </c>
      <c r="H438" s="9" t="str">
        <f>fact_kpi_weekly!H438</f>
        <v>Luke</v>
      </c>
      <c r="I438" s="9">
        <f>fact_kpi_weekly!I438</f>
        <v>440</v>
      </c>
      <c r="J438" s="22">
        <f>fact_kpi_weekly!J438</f>
        <v>440</v>
      </c>
      <c r="K438" s="20" t="str">
        <f t="array" ref="K438">IFERROR(INDEX(dim_date!H:H,MATCH(A438,dim_date!A:A,0)),"")</f>
        <v>Oct</v>
      </c>
      <c r="L438" s="20" t="str">
        <f t="array" ref="L438">IFERROR(INDEX(dim_date!G:G,MATCH(A438,dim_date!A:A,0)),"")</f>
        <v>10</v>
      </c>
      <c r="M438" s="9" t="str">
        <f t="array" ref="M438">IFERROR(INDEX(dim_date!I:I,MATCH(A438,dim_date!A:A,0)),"")</f>
        <v>Q4</v>
      </c>
      <c r="N438" s="20" t="str">
        <f t="array" ref="N438">IFERROR(INDEX(dim_date!K:K,MATCH(A438,dim_date!A:A,0)),"")</f>
        <v>42</v>
      </c>
      <c r="O438" s="9" t="str">
        <f t="array" ref="O438">IFERROR(INDEX(dim_date!F:F,MATCH(A438,dim_date!A:A,0)),"")</f>
        <v>10/11-10/17</v>
      </c>
      <c r="P438" s="9" t="str">
        <f t="array" ref="P438">IFERROR(INDEX(dim_kpi!E:E,MATCH(D438,dim_kpi!C:C,0)),"")</f>
        <v>count</v>
      </c>
      <c r="Q438" s="9" t="str">
        <f t="array" ref="Q438">IFERROR(INDEX(dim_kpi!F:F,MATCH(D438,dim_kpi!C:C,0)),"")</f>
        <v>N</v>
      </c>
    </row>
    <row r="439" ht="12.75" customHeight="1">
      <c r="A439" s="20" t="str">
        <f>fact_kpi_weekly!A439</f>
        <v>261018</v>
      </c>
      <c r="B439" s="21">
        <f>fact_kpi_weekly!B439</f>
        <v>46313</v>
      </c>
      <c r="C439" s="9" t="str">
        <f>fact_kpi_weekly!C439</f>
        <v>Growth</v>
      </c>
      <c r="D439" s="9" t="str">
        <f>fact_kpi_weekly!D439</f>
        <v>Total Activations</v>
      </c>
      <c r="E439" s="9" t="str">
        <f>fact_kpi_weekly!E439</f>
        <v>Forecast</v>
      </c>
      <c r="F439" s="9" t="str">
        <f>IF(fact_kpi_weekly!F439="","",fact_kpi_weekly!F439)</f>
        <v>Board</v>
      </c>
      <c r="G439" s="9" t="str">
        <f>fact_kpi_weekly!G439</f>
        <v>N/A</v>
      </c>
      <c r="H439" s="9" t="str">
        <f>fact_kpi_weekly!H439</f>
        <v>Luke</v>
      </c>
      <c r="I439" s="9">
        <f>fact_kpi_weekly!I439</f>
        <v>550</v>
      </c>
      <c r="J439" s="22">
        <f>fact_kpi_weekly!J439</f>
        <v>550</v>
      </c>
      <c r="K439" s="20" t="str">
        <f t="array" ref="K439">IFERROR(INDEX(dim_date!H:H,MATCH(A439,dim_date!A:A,0)),"")</f>
        <v>Oct</v>
      </c>
      <c r="L439" s="20" t="str">
        <f t="array" ref="L439">IFERROR(INDEX(dim_date!G:G,MATCH(A439,dim_date!A:A,0)),"")</f>
        <v>10</v>
      </c>
      <c r="M439" s="9" t="str">
        <f t="array" ref="M439">IFERROR(INDEX(dim_date!I:I,MATCH(A439,dim_date!A:A,0)),"")</f>
        <v>Q4</v>
      </c>
      <c r="N439" s="20" t="str">
        <f t="array" ref="N439">IFERROR(INDEX(dim_date!K:K,MATCH(A439,dim_date!A:A,0)),"")</f>
        <v>43</v>
      </c>
      <c r="O439" s="9" t="str">
        <f t="array" ref="O439">IFERROR(INDEX(dim_date!F:F,MATCH(A439,dim_date!A:A,0)),"")</f>
        <v>10/18-10/24</v>
      </c>
      <c r="P439" s="9" t="str">
        <f t="array" ref="P439">IFERROR(INDEX(dim_kpi!E:E,MATCH(D439,dim_kpi!C:C,0)),"")</f>
        <v>count</v>
      </c>
      <c r="Q439" s="9" t="str">
        <f t="array" ref="Q439">IFERROR(INDEX(dim_kpi!F:F,MATCH(D439,dim_kpi!C:C,0)),"")</f>
        <v>N</v>
      </c>
    </row>
    <row r="440" ht="12.75" customHeight="1">
      <c r="A440" s="20" t="str">
        <f>fact_kpi_weekly!A440</f>
        <v>261025</v>
      </c>
      <c r="B440" s="21">
        <f>fact_kpi_weekly!B440</f>
        <v>46320</v>
      </c>
      <c r="C440" s="9" t="str">
        <f>fact_kpi_weekly!C440</f>
        <v>Growth</v>
      </c>
      <c r="D440" s="9" t="str">
        <f>fact_kpi_weekly!D440</f>
        <v>Total Activations</v>
      </c>
      <c r="E440" s="9" t="str">
        <f>fact_kpi_weekly!E440</f>
        <v>Forecast</v>
      </c>
      <c r="F440" s="9" t="str">
        <f>IF(fact_kpi_weekly!F440="","",fact_kpi_weekly!F440)</f>
        <v>Board</v>
      </c>
      <c r="G440" s="9" t="str">
        <f>fact_kpi_weekly!G440</f>
        <v>N/A</v>
      </c>
      <c r="H440" s="9" t="str">
        <f>fact_kpi_weekly!H440</f>
        <v>Luke</v>
      </c>
      <c r="I440" s="9">
        <f>fact_kpi_weekly!I440</f>
        <v>550</v>
      </c>
      <c r="J440" s="22">
        <f>fact_kpi_weekly!J440</f>
        <v>550</v>
      </c>
      <c r="K440" s="20" t="str">
        <f t="array" ref="K440">IFERROR(INDEX(dim_date!H:H,MATCH(A440,dim_date!A:A,0)),"")</f>
        <v>Oct</v>
      </c>
      <c r="L440" s="20" t="str">
        <f t="array" ref="L440">IFERROR(INDEX(dim_date!G:G,MATCH(A440,dim_date!A:A,0)),"")</f>
        <v>10</v>
      </c>
      <c r="M440" s="9" t="str">
        <f t="array" ref="M440">IFERROR(INDEX(dim_date!I:I,MATCH(A440,dim_date!A:A,0)),"")</f>
        <v>Q4</v>
      </c>
      <c r="N440" s="20" t="str">
        <f t="array" ref="N440">IFERROR(INDEX(dim_date!K:K,MATCH(A440,dim_date!A:A,0)),"")</f>
        <v>44</v>
      </c>
      <c r="O440" s="9" t="str">
        <f t="array" ref="O440">IFERROR(INDEX(dim_date!F:F,MATCH(A440,dim_date!A:A,0)),"")</f>
        <v>10/25-10/31</v>
      </c>
      <c r="P440" s="9" t="str">
        <f t="array" ref="P440">IFERROR(INDEX(dim_kpi!E:E,MATCH(D440,dim_kpi!C:C,0)),"")</f>
        <v>count</v>
      </c>
      <c r="Q440" s="9" t="str">
        <f t="array" ref="Q440">IFERROR(INDEX(dim_kpi!F:F,MATCH(D440,dim_kpi!C:C,0)),"")</f>
        <v>N</v>
      </c>
    </row>
    <row r="441" ht="12.75" customHeight="1">
      <c r="A441" s="20" t="str">
        <f>fact_kpi_weekly!A441</f>
        <v>261101</v>
      </c>
      <c r="B441" s="21">
        <f>fact_kpi_weekly!B441</f>
        <v>46327</v>
      </c>
      <c r="C441" s="9" t="str">
        <f>fact_kpi_weekly!C441</f>
        <v>Growth</v>
      </c>
      <c r="D441" s="9" t="str">
        <f>fact_kpi_weekly!D441</f>
        <v>Total Activations</v>
      </c>
      <c r="E441" s="9" t="str">
        <f>fact_kpi_weekly!E441</f>
        <v>Forecast</v>
      </c>
      <c r="F441" s="9" t="str">
        <f>IF(fact_kpi_weekly!F441="","",fact_kpi_weekly!F441)</f>
        <v>Board</v>
      </c>
      <c r="G441" s="9" t="str">
        <f>fact_kpi_weekly!G441</f>
        <v>N/A</v>
      </c>
      <c r="H441" s="9" t="str">
        <f>fact_kpi_weekly!H441</f>
        <v>Luke</v>
      </c>
      <c r="I441" s="9">
        <f>fact_kpi_weekly!I441</f>
        <v>575</v>
      </c>
      <c r="J441" s="22">
        <f>fact_kpi_weekly!J441</f>
        <v>575</v>
      </c>
      <c r="K441" s="20" t="str">
        <f t="array" ref="K441">IFERROR(INDEX(dim_date!H:H,MATCH(A441,dim_date!A:A,0)),"")</f>
        <v>Nov</v>
      </c>
      <c r="L441" s="20" t="str">
        <f t="array" ref="L441">IFERROR(INDEX(dim_date!G:G,MATCH(A441,dim_date!A:A,0)),"")</f>
        <v>11</v>
      </c>
      <c r="M441" s="9" t="str">
        <f t="array" ref="M441">IFERROR(INDEX(dim_date!I:I,MATCH(A441,dim_date!A:A,0)),"")</f>
        <v>Q4</v>
      </c>
      <c r="N441" s="20" t="str">
        <f t="array" ref="N441">IFERROR(INDEX(dim_date!K:K,MATCH(A441,dim_date!A:A,0)),"")</f>
        <v>45</v>
      </c>
      <c r="O441" s="9" t="str">
        <f t="array" ref="O441">IFERROR(INDEX(dim_date!F:F,MATCH(A441,dim_date!A:A,0)),"")</f>
        <v>11/1-11/7</v>
      </c>
      <c r="P441" s="9" t="str">
        <f t="array" ref="P441">IFERROR(INDEX(dim_kpi!E:E,MATCH(D441,dim_kpi!C:C,0)),"")</f>
        <v>count</v>
      </c>
      <c r="Q441" s="9" t="str">
        <f t="array" ref="Q441">IFERROR(INDEX(dim_kpi!F:F,MATCH(D441,dim_kpi!C:C,0)),"")</f>
        <v>N</v>
      </c>
    </row>
    <row r="442" ht="12.75" customHeight="1">
      <c r="A442" s="20" t="str">
        <f>fact_kpi_weekly!A442</f>
        <v>261108</v>
      </c>
      <c r="B442" s="21">
        <f>fact_kpi_weekly!B442</f>
        <v>46334</v>
      </c>
      <c r="C442" s="9" t="str">
        <f>fact_kpi_weekly!C442</f>
        <v>Growth</v>
      </c>
      <c r="D442" s="9" t="str">
        <f>fact_kpi_weekly!D442</f>
        <v>Total Activations</v>
      </c>
      <c r="E442" s="9" t="str">
        <f>fact_kpi_weekly!E442</f>
        <v>Forecast</v>
      </c>
      <c r="F442" s="9" t="str">
        <f>IF(fact_kpi_weekly!F442="","",fact_kpi_weekly!F442)</f>
        <v>Board</v>
      </c>
      <c r="G442" s="9" t="str">
        <f>fact_kpi_weekly!G442</f>
        <v>N/A</v>
      </c>
      <c r="H442" s="9" t="str">
        <f>fact_kpi_weekly!H442</f>
        <v>Luke</v>
      </c>
      <c r="I442" s="9">
        <f>fact_kpi_weekly!I442</f>
        <v>460</v>
      </c>
      <c r="J442" s="22">
        <f>fact_kpi_weekly!J442</f>
        <v>460</v>
      </c>
      <c r="K442" s="20" t="str">
        <f t="array" ref="K442">IFERROR(INDEX(dim_date!H:H,MATCH(A442,dim_date!A:A,0)),"")</f>
        <v>Nov</v>
      </c>
      <c r="L442" s="20" t="str">
        <f t="array" ref="L442">IFERROR(INDEX(dim_date!G:G,MATCH(A442,dim_date!A:A,0)),"")</f>
        <v>11</v>
      </c>
      <c r="M442" s="9" t="str">
        <f t="array" ref="M442">IFERROR(INDEX(dim_date!I:I,MATCH(A442,dim_date!A:A,0)),"")</f>
        <v>Q4</v>
      </c>
      <c r="N442" s="20" t="str">
        <f t="array" ref="N442">IFERROR(INDEX(dim_date!K:K,MATCH(A442,dim_date!A:A,0)),"")</f>
        <v>46</v>
      </c>
      <c r="O442" s="9" t="str">
        <f t="array" ref="O442">IFERROR(INDEX(dim_date!F:F,MATCH(A442,dim_date!A:A,0)),"")</f>
        <v>11/8-11/14</v>
      </c>
      <c r="P442" s="9" t="str">
        <f t="array" ref="P442">IFERROR(INDEX(dim_kpi!E:E,MATCH(D442,dim_kpi!C:C,0)),"")</f>
        <v>count</v>
      </c>
      <c r="Q442" s="9" t="str">
        <f t="array" ref="Q442">IFERROR(INDEX(dim_kpi!F:F,MATCH(D442,dim_kpi!C:C,0)),"")</f>
        <v>N</v>
      </c>
    </row>
    <row r="443" ht="12.75" customHeight="1">
      <c r="A443" s="20" t="str">
        <f>fact_kpi_weekly!A443</f>
        <v>261115</v>
      </c>
      <c r="B443" s="21">
        <f>fact_kpi_weekly!B443</f>
        <v>46341</v>
      </c>
      <c r="C443" s="9" t="str">
        <f>fact_kpi_weekly!C443</f>
        <v>Growth</v>
      </c>
      <c r="D443" s="9" t="str">
        <f>fact_kpi_weekly!D443</f>
        <v>Total Activations</v>
      </c>
      <c r="E443" s="9" t="str">
        <f>fact_kpi_weekly!E443</f>
        <v>Forecast</v>
      </c>
      <c r="F443" s="9" t="str">
        <f>IF(fact_kpi_weekly!F443="","",fact_kpi_weekly!F443)</f>
        <v>Board</v>
      </c>
      <c r="G443" s="9" t="str">
        <f>fact_kpi_weekly!G443</f>
        <v>N/A</v>
      </c>
      <c r="H443" s="9" t="str">
        <f>fact_kpi_weekly!H443</f>
        <v>Luke</v>
      </c>
      <c r="I443" s="9">
        <f>fact_kpi_weekly!I443</f>
        <v>575</v>
      </c>
      <c r="J443" s="22">
        <f>fact_kpi_weekly!J443</f>
        <v>575</v>
      </c>
      <c r="K443" s="20" t="str">
        <f t="array" ref="K443">IFERROR(INDEX(dim_date!H:H,MATCH(A443,dim_date!A:A,0)),"")</f>
        <v>Nov</v>
      </c>
      <c r="L443" s="20" t="str">
        <f t="array" ref="L443">IFERROR(INDEX(dim_date!G:G,MATCH(A443,dim_date!A:A,0)),"")</f>
        <v>11</v>
      </c>
      <c r="M443" s="9" t="str">
        <f t="array" ref="M443">IFERROR(INDEX(dim_date!I:I,MATCH(A443,dim_date!A:A,0)),"")</f>
        <v>Q4</v>
      </c>
      <c r="N443" s="20" t="str">
        <f t="array" ref="N443">IFERROR(INDEX(dim_date!K:K,MATCH(A443,dim_date!A:A,0)),"")</f>
        <v>47</v>
      </c>
      <c r="O443" s="9" t="str">
        <f t="array" ref="O443">IFERROR(INDEX(dim_date!F:F,MATCH(A443,dim_date!A:A,0)),"")</f>
        <v>11/15-11/21</v>
      </c>
      <c r="P443" s="9" t="str">
        <f t="array" ref="P443">IFERROR(INDEX(dim_kpi!E:E,MATCH(D443,dim_kpi!C:C,0)),"")</f>
        <v>count</v>
      </c>
      <c r="Q443" s="9" t="str">
        <f t="array" ref="Q443">IFERROR(INDEX(dim_kpi!F:F,MATCH(D443,dim_kpi!C:C,0)),"")</f>
        <v>N</v>
      </c>
    </row>
    <row r="444" ht="12.75" customHeight="1">
      <c r="A444" s="20" t="str">
        <f>fact_kpi_weekly!A444</f>
        <v>261122</v>
      </c>
      <c r="B444" s="21">
        <f>fact_kpi_weekly!B444</f>
        <v>46348</v>
      </c>
      <c r="C444" s="9" t="str">
        <f>fact_kpi_weekly!C444</f>
        <v>Growth</v>
      </c>
      <c r="D444" s="9" t="str">
        <f>fact_kpi_weekly!D444</f>
        <v>Total Activations</v>
      </c>
      <c r="E444" s="9" t="str">
        <f>fact_kpi_weekly!E444</f>
        <v>Forecast</v>
      </c>
      <c r="F444" s="9" t="str">
        <f>IF(fact_kpi_weekly!F444="","",fact_kpi_weekly!F444)</f>
        <v>Board</v>
      </c>
      <c r="G444" s="9" t="str">
        <f>fact_kpi_weekly!G444</f>
        <v>N/A</v>
      </c>
      <c r="H444" s="9" t="str">
        <f>fact_kpi_weekly!H444</f>
        <v>Luke</v>
      </c>
      <c r="I444" s="9">
        <f>fact_kpi_weekly!I444</f>
        <v>345</v>
      </c>
      <c r="J444" s="22">
        <f>fact_kpi_weekly!J444</f>
        <v>345</v>
      </c>
      <c r="K444" s="20" t="str">
        <f t="array" ref="K444">IFERROR(INDEX(dim_date!H:H,MATCH(A444,dim_date!A:A,0)),"")</f>
        <v>Nov</v>
      </c>
      <c r="L444" s="20" t="str">
        <f t="array" ref="L444">IFERROR(INDEX(dim_date!G:G,MATCH(A444,dim_date!A:A,0)),"")</f>
        <v>11</v>
      </c>
      <c r="M444" s="9" t="str">
        <f t="array" ref="M444">IFERROR(INDEX(dim_date!I:I,MATCH(A444,dim_date!A:A,0)),"")</f>
        <v>Q4</v>
      </c>
      <c r="N444" s="20" t="str">
        <f t="array" ref="N444">IFERROR(INDEX(dim_date!K:K,MATCH(A444,dim_date!A:A,0)),"")</f>
        <v>48</v>
      </c>
      <c r="O444" s="9" t="str">
        <f t="array" ref="O444">IFERROR(INDEX(dim_date!F:F,MATCH(A444,dim_date!A:A,0)),"")</f>
        <v>11/22-11/28</v>
      </c>
      <c r="P444" s="9" t="str">
        <f t="array" ref="P444">IFERROR(INDEX(dim_kpi!E:E,MATCH(D444,dim_kpi!C:C,0)),"")</f>
        <v>count</v>
      </c>
      <c r="Q444" s="9" t="str">
        <f t="array" ref="Q444">IFERROR(INDEX(dim_kpi!F:F,MATCH(D444,dim_kpi!C:C,0)),"")</f>
        <v>N</v>
      </c>
    </row>
    <row r="445" ht="12.75" customHeight="1">
      <c r="A445" s="20" t="str">
        <f>fact_kpi_weekly!A445</f>
        <v>261129</v>
      </c>
      <c r="B445" s="21">
        <f>fact_kpi_weekly!B445</f>
        <v>46355</v>
      </c>
      <c r="C445" s="9" t="str">
        <f>fact_kpi_weekly!C445</f>
        <v>Growth</v>
      </c>
      <c r="D445" s="9" t="str">
        <f>fact_kpi_weekly!D445</f>
        <v>Total Activations</v>
      </c>
      <c r="E445" s="9" t="str">
        <f>fact_kpi_weekly!E445</f>
        <v>Forecast</v>
      </c>
      <c r="F445" s="9" t="str">
        <f>IF(fact_kpi_weekly!F445="","",fact_kpi_weekly!F445)</f>
        <v>Board</v>
      </c>
      <c r="G445" s="9" t="str">
        <f>fact_kpi_weekly!G445</f>
        <v>N/A</v>
      </c>
      <c r="H445" s="9" t="str">
        <f>fact_kpi_weekly!H445</f>
        <v>Luke</v>
      </c>
      <c r="I445" s="9">
        <f>fact_kpi_weekly!I445</f>
        <v>463</v>
      </c>
      <c r="J445" s="22">
        <f>fact_kpi_weekly!J445</f>
        <v>463</v>
      </c>
      <c r="K445" s="20" t="str">
        <f t="array" ref="K445">IFERROR(INDEX(dim_date!H:H,MATCH(A445,dim_date!A:A,0)),"")</f>
        <v>Nov</v>
      </c>
      <c r="L445" s="20" t="str">
        <f t="array" ref="L445">IFERROR(INDEX(dim_date!G:G,MATCH(A445,dim_date!A:A,0)),"")</f>
        <v>11</v>
      </c>
      <c r="M445" s="9" t="str">
        <f t="array" ref="M445">IFERROR(INDEX(dim_date!I:I,MATCH(A445,dim_date!A:A,0)),"")</f>
        <v>Q4</v>
      </c>
      <c r="N445" s="20" t="str">
        <f t="array" ref="N445">IFERROR(INDEX(dim_date!K:K,MATCH(A445,dim_date!A:A,0)),"")</f>
        <v>49</v>
      </c>
      <c r="O445" s="9" t="str">
        <f t="array" ref="O445">IFERROR(INDEX(dim_date!F:F,MATCH(A445,dim_date!A:A,0)),"")</f>
        <v>11/29-12/5</v>
      </c>
      <c r="P445" s="9" t="str">
        <f t="array" ref="P445">IFERROR(INDEX(dim_kpi!E:E,MATCH(D445,dim_kpi!C:C,0)),"")</f>
        <v>count</v>
      </c>
      <c r="Q445" s="9" t="str">
        <f t="array" ref="Q445">IFERROR(INDEX(dim_kpi!F:F,MATCH(D445,dim_kpi!C:C,0)),"")</f>
        <v>N</v>
      </c>
    </row>
    <row r="446" ht="12.75" customHeight="1">
      <c r="A446" s="20" t="str">
        <f>fact_kpi_weekly!A446</f>
        <v>261206</v>
      </c>
      <c r="B446" s="21">
        <f>fact_kpi_weekly!B446</f>
        <v>46362</v>
      </c>
      <c r="C446" s="9" t="str">
        <f>fact_kpi_weekly!C446</f>
        <v>Growth</v>
      </c>
      <c r="D446" s="9" t="str">
        <f>fact_kpi_weekly!D446</f>
        <v>Total Activations</v>
      </c>
      <c r="E446" s="9" t="str">
        <f>fact_kpi_weekly!E446</f>
        <v>Forecast</v>
      </c>
      <c r="F446" s="9" t="str">
        <f>IF(fact_kpi_weekly!F446="","",fact_kpi_weekly!F446)</f>
        <v>Board</v>
      </c>
      <c r="G446" s="9" t="str">
        <f>fact_kpi_weekly!G446</f>
        <v>N/A</v>
      </c>
      <c r="H446" s="9" t="str">
        <f>fact_kpi_weekly!H446</f>
        <v>Luke</v>
      </c>
      <c r="I446" s="9">
        <f>fact_kpi_weekly!I446</f>
        <v>435</v>
      </c>
      <c r="J446" s="22">
        <f>fact_kpi_weekly!J446</f>
        <v>435</v>
      </c>
      <c r="K446" s="20" t="str">
        <f t="array" ref="K446">IFERROR(INDEX(dim_date!H:H,MATCH(A446,dim_date!A:A,0)),"")</f>
        <v>Dec</v>
      </c>
      <c r="L446" s="20" t="str">
        <f t="array" ref="L446">IFERROR(INDEX(dim_date!G:G,MATCH(A446,dim_date!A:A,0)),"")</f>
        <v>12</v>
      </c>
      <c r="M446" s="9" t="str">
        <f t="array" ref="M446">IFERROR(INDEX(dim_date!I:I,MATCH(A446,dim_date!A:A,0)),"")</f>
        <v>Q4</v>
      </c>
      <c r="N446" s="20" t="str">
        <f t="array" ref="N446">IFERROR(INDEX(dim_date!K:K,MATCH(A446,dim_date!A:A,0)),"")</f>
        <v>50</v>
      </c>
      <c r="O446" s="9" t="str">
        <f t="array" ref="O446">IFERROR(INDEX(dim_date!F:F,MATCH(A446,dim_date!A:A,0)),"")</f>
        <v>12/6-12/12</v>
      </c>
      <c r="P446" s="9" t="str">
        <f t="array" ref="P446">IFERROR(INDEX(dim_kpi!E:E,MATCH(D446,dim_kpi!C:C,0)),"")</f>
        <v>count</v>
      </c>
      <c r="Q446" s="9" t="str">
        <f t="array" ref="Q446">IFERROR(INDEX(dim_kpi!F:F,MATCH(D446,dim_kpi!C:C,0)),"")</f>
        <v>N</v>
      </c>
    </row>
    <row r="447" ht="12.75" customHeight="1">
      <c r="A447" s="20" t="str">
        <f>fact_kpi_weekly!A447</f>
        <v>261213</v>
      </c>
      <c r="B447" s="21">
        <f>fact_kpi_weekly!B447</f>
        <v>46369</v>
      </c>
      <c r="C447" s="9" t="str">
        <f>fact_kpi_weekly!C447</f>
        <v>Growth</v>
      </c>
      <c r="D447" s="9" t="str">
        <f>fact_kpi_weekly!D447</f>
        <v>Total Activations</v>
      </c>
      <c r="E447" s="9" t="str">
        <f>fact_kpi_weekly!E447</f>
        <v>Forecast</v>
      </c>
      <c r="F447" s="9" t="str">
        <f>IF(fact_kpi_weekly!F447="","",fact_kpi_weekly!F447)</f>
        <v>Board</v>
      </c>
      <c r="G447" s="9" t="str">
        <f>fact_kpi_weekly!G447</f>
        <v>N/A</v>
      </c>
      <c r="H447" s="9" t="str">
        <f>fact_kpi_weekly!H447</f>
        <v>Luke</v>
      </c>
      <c r="I447" s="9">
        <f>fact_kpi_weekly!I447</f>
        <v>435</v>
      </c>
      <c r="J447" s="22">
        <f>fact_kpi_weekly!J447</f>
        <v>435</v>
      </c>
      <c r="K447" s="20" t="str">
        <f t="array" ref="K447">IFERROR(INDEX(dim_date!H:H,MATCH(A447,dim_date!A:A,0)),"")</f>
        <v>Dec</v>
      </c>
      <c r="L447" s="20" t="str">
        <f t="array" ref="L447">IFERROR(INDEX(dim_date!G:G,MATCH(A447,dim_date!A:A,0)),"")</f>
        <v>12</v>
      </c>
      <c r="M447" s="9" t="str">
        <f t="array" ref="M447">IFERROR(INDEX(dim_date!I:I,MATCH(A447,dim_date!A:A,0)),"")</f>
        <v>Q4</v>
      </c>
      <c r="N447" s="20" t="str">
        <f t="array" ref="N447">IFERROR(INDEX(dim_date!K:K,MATCH(A447,dim_date!A:A,0)),"")</f>
        <v>51</v>
      </c>
      <c r="O447" s="9" t="str">
        <f t="array" ref="O447">IFERROR(INDEX(dim_date!F:F,MATCH(A447,dim_date!A:A,0)),"")</f>
        <v>12/13-12/19</v>
      </c>
      <c r="P447" s="9" t="str">
        <f t="array" ref="P447">IFERROR(INDEX(dim_kpi!E:E,MATCH(D447,dim_kpi!C:C,0)),"")</f>
        <v>count</v>
      </c>
      <c r="Q447" s="9" t="str">
        <f t="array" ref="Q447">IFERROR(INDEX(dim_kpi!F:F,MATCH(D447,dim_kpi!C:C,0)),"")</f>
        <v>N</v>
      </c>
    </row>
    <row r="448" ht="12.75" customHeight="1">
      <c r="A448" s="20" t="str">
        <f>fact_kpi_weekly!A448</f>
        <v>261220</v>
      </c>
      <c r="B448" s="21">
        <f>fact_kpi_weekly!B448</f>
        <v>46376</v>
      </c>
      <c r="C448" s="9" t="str">
        <f>fact_kpi_weekly!C448</f>
        <v>Growth</v>
      </c>
      <c r="D448" s="9" t="str">
        <f>fact_kpi_weekly!D448</f>
        <v>Total Activations</v>
      </c>
      <c r="E448" s="9" t="str">
        <f>fact_kpi_weekly!E448</f>
        <v>Forecast</v>
      </c>
      <c r="F448" s="9" t="str">
        <f>IF(fact_kpi_weekly!F448="","",fact_kpi_weekly!F448)</f>
        <v>Board</v>
      </c>
      <c r="G448" s="9" t="str">
        <f>fact_kpi_weekly!G448</f>
        <v>N/A</v>
      </c>
      <c r="H448" s="9" t="str">
        <f>fact_kpi_weekly!H448</f>
        <v>Luke</v>
      </c>
      <c r="I448" s="9">
        <f>fact_kpi_weekly!I448</f>
        <v>348</v>
      </c>
      <c r="J448" s="22">
        <f>fact_kpi_weekly!J448</f>
        <v>348</v>
      </c>
      <c r="K448" s="20" t="str">
        <f t="array" ref="K448">IFERROR(INDEX(dim_date!H:H,MATCH(A448,dim_date!A:A,0)),"")</f>
        <v>Dec</v>
      </c>
      <c r="L448" s="20" t="str">
        <f t="array" ref="L448">IFERROR(INDEX(dim_date!G:G,MATCH(A448,dim_date!A:A,0)),"")</f>
        <v>12</v>
      </c>
      <c r="M448" s="9" t="str">
        <f t="array" ref="M448">IFERROR(INDEX(dim_date!I:I,MATCH(A448,dim_date!A:A,0)),"")</f>
        <v>Q4</v>
      </c>
      <c r="N448" s="20" t="str">
        <f t="array" ref="N448">IFERROR(INDEX(dim_date!K:K,MATCH(A448,dim_date!A:A,0)),"")</f>
        <v>52</v>
      </c>
      <c r="O448" s="9" t="str">
        <f t="array" ref="O448">IFERROR(INDEX(dim_date!F:F,MATCH(A448,dim_date!A:A,0)),"")</f>
        <v>12/20-12/26</v>
      </c>
      <c r="P448" s="9" t="str">
        <f t="array" ref="P448">IFERROR(INDEX(dim_kpi!E:E,MATCH(D448,dim_kpi!C:C,0)),"")</f>
        <v>count</v>
      </c>
      <c r="Q448" s="9" t="str">
        <f t="array" ref="Q448">IFERROR(INDEX(dim_kpi!F:F,MATCH(D448,dim_kpi!C:C,0)),"")</f>
        <v>N</v>
      </c>
    </row>
    <row r="449" ht="12.75" customHeight="1">
      <c r="A449" s="20" t="str">
        <f>fact_kpi_weekly!A449</f>
        <v>261227</v>
      </c>
      <c r="B449" s="21">
        <f>fact_kpi_weekly!B449</f>
        <v>46383</v>
      </c>
      <c r="C449" s="9" t="str">
        <f>fact_kpi_weekly!C449</f>
        <v>Growth</v>
      </c>
      <c r="D449" s="9" t="str">
        <f>fact_kpi_weekly!D449</f>
        <v>Total Activations</v>
      </c>
      <c r="E449" s="9" t="str">
        <f>fact_kpi_weekly!E449</f>
        <v>Forecast</v>
      </c>
      <c r="F449" s="9" t="str">
        <f>IF(fact_kpi_weekly!F449="","",fact_kpi_weekly!F449)</f>
        <v>Board</v>
      </c>
      <c r="G449" s="9" t="str">
        <f>fact_kpi_weekly!G449</f>
        <v>N/A</v>
      </c>
      <c r="H449" s="9" t="str">
        <f>fact_kpi_weekly!H449</f>
        <v>Luke</v>
      </c>
      <c r="I449" s="9">
        <f>fact_kpi_weekly!I449</f>
        <v>348</v>
      </c>
      <c r="J449" s="22">
        <f>fact_kpi_weekly!J449</f>
        <v>348</v>
      </c>
      <c r="K449" s="20" t="str">
        <f t="array" ref="K449">IFERROR(INDEX(dim_date!H:H,MATCH(A449,dim_date!A:A,0)),"")</f>
        <v>Dec</v>
      </c>
      <c r="L449" s="20" t="str">
        <f t="array" ref="L449">IFERROR(INDEX(dim_date!G:G,MATCH(A449,dim_date!A:A,0)),"")</f>
        <v>12</v>
      </c>
      <c r="M449" s="9" t="str">
        <f t="array" ref="M449">IFERROR(INDEX(dim_date!I:I,MATCH(A449,dim_date!A:A,0)),"")</f>
        <v>Q4</v>
      </c>
      <c r="N449" s="20" t="str">
        <f t="array" ref="N449">IFERROR(INDEX(dim_date!K:K,MATCH(A449,dim_date!A:A,0)),"")</f>
        <v>53</v>
      </c>
      <c r="O449" s="9" t="str">
        <f t="array" ref="O449">IFERROR(INDEX(dim_date!F:F,MATCH(A449,dim_date!A:A,0)),"")</f>
        <v>12/27-1/2</v>
      </c>
      <c r="P449" s="9" t="str">
        <f t="array" ref="P449">IFERROR(INDEX(dim_kpi!E:E,MATCH(D449,dim_kpi!C:C,0)),"")</f>
        <v>count</v>
      </c>
      <c r="Q449" s="9" t="str">
        <f t="array" ref="Q449">IFERROR(INDEX(dim_kpi!F:F,MATCH(D449,dim_kpi!C:C,0)),"")</f>
        <v>N</v>
      </c>
    </row>
    <row r="450" ht="12.75" customHeight="1">
      <c r="A450" s="20" t="str">
        <f>fact_kpi_weekly!A450</f>
        <v>260301</v>
      </c>
      <c r="B450" s="21">
        <f>fact_kpi_weekly!B450</f>
        <v>46082</v>
      </c>
      <c r="C450" s="9" t="str">
        <f>fact_kpi_weekly!C450</f>
        <v>Growth</v>
      </c>
      <c r="D450" s="9" t="str">
        <f>fact_kpi_weekly!D450</f>
        <v>Total Activations</v>
      </c>
      <c r="E450" s="9" t="str">
        <f>fact_kpi_weekly!E450</f>
        <v>Forecast</v>
      </c>
      <c r="F450" s="9" t="str">
        <f>IF(fact_kpi_weekly!F450="","",fact_kpi_weekly!F450)</f>
        <v>Projection</v>
      </c>
      <c r="G450" s="9" t="str">
        <f>fact_kpi_weekly!G450</f>
        <v>N/A</v>
      </c>
      <c r="H450" s="9" t="str">
        <f>fact_kpi_weekly!H450</f>
        <v>Luke</v>
      </c>
      <c r="I450" s="9">
        <f>fact_kpi_weekly!I450</f>
        <v>135</v>
      </c>
      <c r="J450" s="22">
        <f>fact_kpi_weekly!J450</f>
        <v>135</v>
      </c>
      <c r="K450" s="20" t="str">
        <f t="array" ref="K450">IFERROR(INDEX(dim_date!H:H,MATCH(A450,dim_date!A:A,0)),"")</f>
        <v>Mar</v>
      </c>
      <c r="L450" s="20" t="str">
        <f t="array" ref="L450">IFERROR(INDEX(dim_date!G:G,MATCH(A450,dim_date!A:A,0)),"")</f>
        <v>03</v>
      </c>
      <c r="M450" s="9" t="str">
        <f t="array" ref="M450">IFERROR(INDEX(dim_date!I:I,MATCH(A450,dim_date!A:A,0)),"")</f>
        <v>Q1</v>
      </c>
      <c r="N450" s="20" t="str">
        <f t="array" ref="N450">IFERROR(INDEX(dim_date!K:K,MATCH(A450,dim_date!A:A,0)),"")</f>
        <v>10</v>
      </c>
      <c r="O450" s="9" t="str">
        <f t="array" ref="O450">IFERROR(INDEX(dim_date!F:F,MATCH(A450,dim_date!A:A,0)),"")</f>
        <v>3/1-3/7</v>
      </c>
      <c r="P450" s="9" t="str">
        <f t="array" ref="P450">IFERROR(INDEX(dim_kpi!E:E,MATCH(D450,dim_kpi!C:C,0)),"")</f>
        <v>count</v>
      </c>
      <c r="Q450" s="9" t="str">
        <f t="array" ref="Q450">IFERROR(INDEX(dim_kpi!F:F,MATCH(D450,dim_kpi!C:C,0)),"")</f>
        <v>N</v>
      </c>
    </row>
    <row r="451" ht="12.75" customHeight="1">
      <c r="A451" s="20" t="str">
        <f>fact_kpi_weekly!A451</f>
        <v>260308</v>
      </c>
      <c r="B451" s="21">
        <f>fact_kpi_weekly!B451</f>
        <v>46089</v>
      </c>
      <c r="C451" s="9" t="str">
        <f>fact_kpi_weekly!C451</f>
        <v>Growth</v>
      </c>
      <c r="D451" s="9" t="str">
        <f>fact_kpi_weekly!D451</f>
        <v>Total Activations</v>
      </c>
      <c r="E451" s="9" t="str">
        <f>fact_kpi_weekly!E451</f>
        <v>Forecast</v>
      </c>
      <c r="F451" s="9" t="str">
        <f>IF(fact_kpi_weekly!F451="","",fact_kpi_weekly!F451)</f>
        <v>Projection</v>
      </c>
      <c r="G451" s="9" t="str">
        <f>fact_kpi_weekly!G451</f>
        <v>N/A</v>
      </c>
      <c r="H451" s="9" t="str">
        <f>fact_kpi_weekly!H451</f>
        <v>Luke</v>
      </c>
      <c r="I451" s="9">
        <f>fact_kpi_weekly!I451</f>
        <v>135</v>
      </c>
      <c r="J451" s="22">
        <f>fact_kpi_weekly!J451</f>
        <v>135</v>
      </c>
      <c r="K451" s="20" t="str">
        <f t="array" ref="K451">IFERROR(INDEX(dim_date!H:H,MATCH(A451,dim_date!A:A,0)),"")</f>
        <v>Mar</v>
      </c>
      <c r="L451" s="20" t="str">
        <f t="array" ref="L451">IFERROR(INDEX(dim_date!G:G,MATCH(A451,dim_date!A:A,0)),"")</f>
        <v>03</v>
      </c>
      <c r="M451" s="9" t="str">
        <f t="array" ref="M451">IFERROR(INDEX(dim_date!I:I,MATCH(A451,dim_date!A:A,0)),"")</f>
        <v>Q1</v>
      </c>
      <c r="N451" s="20" t="str">
        <f t="array" ref="N451">IFERROR(INDEX(dim_date!K:K,MATCH(A451,dim_date!A:A,0)),"")</f>
        <v>11</v>
      </c>
      <c r="O451" s="9" t="str">
        <f t="array" ref="O451">IFERROR(INDEX(dim_date!F:F,MATCH(A451,dim_date!A:A,0)),"")</f>
        <v>3/8-3/14</v>
      </c>
      <c r="P451" s="9" t="str">
        <f t="array" ref="P451">IFERROR(INDEX(dim_kpi!E:E,MATCH(D451,dim_kpi!C:C,0)),"")</f>
        <v>count</v>
      </c>
      <c r="Q451" s="9" t="str">
        <f t="array" ref="Q451">IFERROR(INDEX(dim_kpi!F:F,MATCH(D451,dim_kpi!C:C,0)),"")</f>
        <v>N</v>
      </c>
    </row>
    <row r="452" ht="12.75" customHeight="1">
      <c r="A452" s="20" t="str">
        <f>fact_kpi_weekly!A452</f>
        <v>260315</v>
      </c>
      <c r="B452" s="21">
        <f>fact_kpi_weekly!B452</f>
        <v>46096</v>
      </c>
      <c r="C452" s="9" t="str">
        <f>fact_kpi_weekly!C452</f>
        <v>Growth</v>
      </c>
      <c r="D452" s="9" t="str">
        <f>fact_kpi_weekly!D452</f>
        <v>Total Activations</v>
      </c>
      <c r="E452" s="9" t="str">
        <f>fact_kpi_weekly!E452</f>
        <v>Forecast</v>
      </c>
      <c r="F452" s="9" t="str">
        <f>IF(fact_kpi_weekly!F452="","",fact_kpi_weekly!F452)</f>
        <v>Projection</v>
      </c>
      <c r="G452" s="9" t="str">
        <f>fact_kpi_weekly!G452</f>
        <v>N/A</v>
      </c>
      <c r="H452" s="9" t="str">
        <f>fact_kpi_weekly!H452</f>
        <v>Luke</v>
      </c>
      <c r="I452" s="9">
        <f>fact_kpi_weekly!I452</f>
        <v>135</v>
      </c>
      <c r="J452" s="22">
        <f>fact_kpi_weekly!J452</f>
        <v>135</v>
      </c>
      <c r="K452" s="20" t="str">
        <f t="array" ref="K452">IFERROR(INDEX(dim_date!H:H,MATCH(A452,dim_date!A:A,0)),"")</f>
        <v>Mar</v>
      </c>
      <c r="L452" s="20" t="str">
        <f t="array" ref="L452">IFERROR(INDEX(dim_date!G:G,MATCH(A452,dim_date!A:A,0)),"")</f>
        <v>03</v>
      </c>
      <c r="M452" s="9" t="str">
        <f t="array" ref="M452">IFERROR(INDEX(dim_date!I:I,MATCH(A452,dim_date!A:A,0)),"")</f>
        <v>Q1</v>
      </c>
      <c r="N452" s="20" t="str">
        <f t="array" ref="N452">IFERROR(INDEX(dim_date!K:K,MATCH(A452,dim_date!A:A,0)),"")</f>
        <v>12</v>
      </c>
      <c r="O452" s="9" t="str">
        <f t="array" ref="O452">IFERROR(INDEX(dim_date!F:F,MATCH(A452,dim_date!A:A,0)),"")</f>
        <v>3/15-3/21</v>
      </c>
      <c r="P452" s="9" t="str">
        <f t="array" ref="P452">IFERROR(INDEX(dim_kpi!E:E,MATCH(D452,dim_kpi!C:C,0)),"")</f>
        <v>count</v>
      </c>
      <c r="Q452" s="9" t="str">
        <f t="array" ref="Q452">IFERROR(INDEX(dim_kpi!F:F,MATCH(D452,dim_kpi!C:C,0)),"")</f>
        <v>N</v>
      </c>
    </row>
    <row r="453" ht="12.75" customHeight="1">
      <c r="A453" s="20" t="str">
        <f>fact_kpi_weekly!A453</f>
        <v>260322</v>
      </c>
      <c r="B453" s="21">
        <f>fact_kpi_weekly!B453</f>
        <v>46103</v>
      </c>
      <c r="C453" s="9" t="str">
        <f>fact_kpi_weekly!C453</f>
        <v>Growth</v>
      </c>
      <c r="D453" s="9" t="str">
        <f>fact_kpi_weekly!D453</f>
        <v>Total Activations</v>
      </c>
      <c r="E453" s="9" t="str">
        <f>fact_kpi_weekly!E453</f>
        <v>Forecast</v>
      </c>
      <c r="F453" s="9" t="str">
        <f>IF(fact_kpi_weekly!F453="","",fact_kpi_weekly!F453)</f>
        <v>Projection</v>
      </c>
      <c r="G453" s="9" t="str">
        <f>fact_kpi_weekly!G453</f>
        <v>N/A</v>
      </c>
      <c r="H453" s="9" t="str">
        <f>fact_kpi_weekly!H453</f>
        <v>Luke</v>
      </c>
      <c r="I453" s="9">
        <f>fact_kpi_weekly!I453</f>
        <v>140</v>
      </c>
      <c r="J453" s="22">
        <f>fact_kpi_weekly!J453</f>
        <v>140</v>
      </c>
      <c r="K453" s="20" t="str">
        <f t="array" ref="K453">IFERROR(INDEX(dim_date!H:H,MATCH(A453,dim_date!A:A,0)),"")</f>
        <v>Mar</v>
      </c>
      <c r="L453" s="20" t="str">
        <f t="array" ref="L453">IFERROR(INDEX(dim_date!G:G,MATCH(A453,dim_date!A:A,0)),"")</f>
        <v>03</v>
      </c>
      <c r="M453" s="9" t="str">
        <f t="array" ref="M453">IFERROR(INDEX(dim_date!I:I,MATCH(A453,dim_date!A:A,0)),"")</f>
        <v>Q1</v>
      </c>
      <c r="N453" s="20" t="str">
        <f t="array" ref="N453">IFERROR(INDEX(dim_date!K:K,MATCH(A453,dim_date!A:A,0)),"")</f>
        <v>13</v>
      </c>
      <c r="O453" s="9" t="str">
        <f t="array" ref="O453">IFERROR(INDEX(dim_date!F:F,MATCH(A453,dim_date!A:A,0)),"")</f>
        <v>3/22-3/28</v>
      </c>
      <c r="P453" s="9" t="str">
        <f t="array" ref="P453">IFERROR(INDEX(dim_kpi!E:E,MATCH(D453,dim_kpi!C:C,0)),"")</f>
        <v>count</v>
      </c>
      <c r="Q453" s="9" t="str">
        <f t="array" ref="Q453">IFERROR(INDEX(dim_kpi!F:F,MATCH(D453,dim_kpi!C:C,0)),"")</f>
        <v>N</v>
      </c>
    </row>
    <row r="454" ht="12.75" customHeight="1">
      <c r="A454" s="20" t="str">
        <f>fact_kpi_weekly!A454</f>
        <v>260329</v>
      </c>
      <c r="B454" s="21">
        <f>fact_kpi_weekly!B454</f>
        <v>46110</v>
      </c>
      <c r="C454" s="9" t="str">
        <f>fact_kpi_weekly!C454</f>
        <v>Growth</v>
      </c>
      <c r="D454" s="9" t="str">
        <f>fact_kpi_weekly!D454</f>
        <v>Total Activations</v>
      </c>
      <c r="E454" s="9" t="str">
        <f>fact_kpi_weekly!E454</f>
        <v>Forecast</v>
      </c>
      <c r="F454" s="9" t="str">
        <f>IF(fact_kpi_weekly!F454="","",fact_kpi_weekly!F454)</f>
        <v>Projection</v>
      </c>
      <c r="G454" s="9" t="str">
        <f>fact_kpi_weekly!G454</f>
        <v>N/A</v>
      </c>
      <c r="H454" s="9" t="str">
        <f>fact_kpi_weekly!H454</f>
        <v>Luke</v>
      </c>
      <c r="I454" s="9">
        <f>fact_kpi_weekly!I454</f>
        <v>170</v>
      </c>
      <c r="J454" s="22">
        <f>fact_kpi_weekly!J454</f>
        <v>170</v>
      </c>
      <c r="K454" s="20" t="str">
        <f t="array" ref="K454">IFERROR(INDEX(dim_date!H:H,MATCH(A454,dim_date!A:A,0)),"")</f>
        <v>Mar</v>
      </c>
      <c r="L454" s="20" t="str">
        <f t="array" ref="L454">IFERROR(INDEX(dim_date!G:G,MATCH(A454,dim_date!A:A,0)),"")</f>
        <v>03</v>
      </c>
      <c r="M454" s="9" t="str">
        <f t="array" ref="M454">IFERROR(INDEX(dim_date!I:I,MATCH(A454,dim_date!A:A,0)),"")</f>
        <v>Q1</v>
      </c>
      <c r="N454" s="20" t="str">
        <f t="array" ref="N454">IFERROR(INDEX(dim_date!K:K,MATCH(A454,dim_date!A:A,0)),"")</f>
        <v>14</v>
      </c>
      <c r="O454" s="9" t="str">
        <f t="array" ref="O454">IFERROR(INDEX(dim_date!F:F,MATCH(A454,dim_date!A:A,0)),"")</f>
        <v>3/29-4/4</v>
      </c>
      <c r="P454" s="9" t="str">
        <f t="array" ref="P454">IFERROR(INDEX(dim_kpi!E:E,MATCH(D454,dim_kpi!C:C,0)),"")</f>
        <v>count</v>
      </c>
      <c r="Q454" s="9" t="str">
        <f t="array" ref="Q454">IFERROR(INDEX(dim_kpi!F:F,MATCH(D454,dim_kpi!C:C,0)),"")</f>
        <v>N</v>
      </c>
    </row>
    <row r="455" ht="12.75" customHeight="1">
      <c r="A455" s="20" t="str">
        <f>fact_kpi_weekly!A455</f>
        <v>260405</v>
      </c>
      <c r="B455" s="21">
        <f>fact_kpi_weekly!B455</f>
        <v>46117</v>
      </c>
      <c r="C455" s="9" t="str">
        <f>fact_kpi_weekly!C455</f>
        <v>Growth</v>
      </c>
      <c r="D455" s="9" t="str">
        <f>fact_kpi_weekly!D455</f>
        <v>Total Activations</v>
      </c>
      <c r="E455" s="9" t="str">
        <f>fact_kpi_weekly!E455</f>
        <v>Forecast</v>
      </c>
      <c r="F455" s="9" t="str">
        <f>IF(fact_kpi_weekly!F455="","",fact_kpi_weekly!F455)</f>
        <v>Projection</v>
      </c>
      <c r="G455" s="9" t="str">
        <f>fact_kpi_weekly!G455</f>
        <v>N/A</v>
      </c>
      <c r="H455" s="9" t="str">
        <f>fact_kpi_weekly!H455</f>
        <v>Luke</v>
      </c>
      <c r="I455" s="9">
        <f>fact_kpi_weekly!I455</f>
        <v>142</v>
      </c>
      <c r="J455" s="22">
        <f>fact_kpi_weekly!J455</f>
        <v>142</v>
      </c>
      <c r="K455" s="20" t="str">
        <f t="array" ref="K455">IFERROR(INDEX(dim_date!H:H,MATCH(A455,dim_date!A:A,0)),"")</f>
        <v>Apr</v>
      </c>
      <c r="L455" s="20" t="str">
        <f t="array" ref="L455">IFERROR(INDEX(dim_date!G:G,MATCH(A455,dim_date!A:A,0)),"")</f>
        <v>04</v>
      </c>
      <c r="M455" s="9" t="str">
        <f t="array" ref="M455">IFERROR(INDEX(dim_date!I:I,MATCH(A455,dim_date!A:A,0)),"")</f>
        <v>Q2</v>
      </c>
      <c r="N455" s="20" t="str">
        <f t="array" ref="N455">IFERROR(INDEX(dim_date!K:K,MATCH(A455,dim_date!A:A,0)),"")</f>
        <v>15</v>
      </c>
      <c r="O455" s="9" t="str">
        <f t="array" ref="O455">IFERROR(INDEX(dim_date!F:F,MATCH(A455,dim_date!A:A,0)),"")</f>
        <v>4/5-4/11</v>
      </c>
      <c r="P455" s="9" t="str">
        <f t="array" ref="P455">IFERROR(INDEX(dim_kpi!E:E,MATCH(D455,dim_kpi!C:C,0)),"")</f>
        <v>count</v>
      </c>
      <c r="Q455" s="9" t="str">
        <f t="array" ref="Q455">IFERROR(INDEX(dim_kpi!F:F,MATCH(D455,dim_kpi!C:C,0)),"")</f>
        <v>N</v>
      </c>
    </row>
    <row r="456" ht="12.75" customHeight="1">
      <c r="A456" s="20" t="str">
        <f>fact_kpi_weekly!A456</f>
        <v>260412</v>
      </c>
      <c r="B456" s="21">
        <f>fact_kpi_weekly!B456</f>
        <v>46124</v>
      </c>
      <c r="C456" s="9" t="str">
        <f>fact_kpi_weekly!C456</f>
        <v>Growth</v>
      </c>
      <c r="D456" s="9" t="str">
        <f>fact_kpi_weekly!D456</f>
        <v>Total Activations</v>
      </c>
      <c r="E456" s="9" t="str">
        <f>fact_kpi_weekly!E456</f>
        <v>Forecast</v>
      </c>
      <c r="F456" s="9" t="str">
        <f>IF(fact_kpi_weekly!F456="","",fact_kpi_weekly!F456)</f>
        <v>Projection</v>
      </c>
      <c r="G456" s="9" t="str">
        <f>fact_kpi_weekly!G456</f>
        <v>N/A</v>
      </c>
      <c r="H456" s="9" t="str">
        <f>fact_kpi_weekly!H456</f>
        <v>Luke</v>
      </c>
      <c r="I456" s="9">
        <f>fact_kpi_weekly!I456</f>
        <v>142</v>
      </c>
      <c r="J456" s="22">
        <f>fact_kpi_weekly!J456</f>
        <v>142</v>
      </c>
      <c r="K456" s="20" t="str">
        <f t="array" ref="K456">IFERROR(INDEX(dim_date!H:H,MATCH(A456,dim_date!A:A,0)),"")</f>
        <v>Apr</v>
      </c>
      <c r="L456" s="20" t="str">
        <f t="array" ref="L456">IFERROR(INDEX(dim_date!G:G,MATCH(A456,dim_date!A:A,0)),"")</f>
        <v>04</v>
      </c>
      <c r="M456" s="9" t="str">
        <f t="array" ref="M456">IFERROR(INDEX(dim_date!I:I,MATCH(A456,dim_date!A:A,0)),"")</f>
        <v>Q2</v>
      </c>
      <c r="N456" s="20" t="str">
        <f t="array" ref="N456">IFERROR(INDEX(dim_date!K:K,MATCH(A456,dim_date!A:A,0)),"")</f>
        <v>16</v>
      </c>
      <c r="O456" s="9" t="str">
        <f t="array" ref="O456">IFERROR(INDEX(dim_date!F:F,MATCH(A456,dim_date!A:A,0)),"")</f>
        <v>4/12-4/18</v>
      </c>
      <c r="P456" s="9" t="str">
        <f t="array" ref="P456">IFERROR(INDEX(dim_kpi!E:E,MATCH(D456,dim_kpi!C:C,0)),"")</f>
        <v>count</v>
      </c>
      <c r="Q456" s="9" t="str">
        <f t="array" ref="Q456">IFERROR(INDEX(dim_kpi!F:F,MATCH(D456,dim_kpi!C:C,0)),"")</f>
        <v>N</v>
      </c>
    </row>
    <row r="457" ht="12.75" customHeight="1">
      <c r="A457" s="20" t="str">
        <f>fact_kpi_weekly!A457</f>
        <v>260419</v>
      </c>
      <c r="B457" s="21">
        <f>fact_kpi_weekly!B457</f>
        <v>46131</v>
      </c>
      <c r="C457" s="9" t="str">
        <f>fact_kpi_weekly!C457</f>
        <v>Growth</v>
      </c>
      <c r="D457" s="9" t="str">
        <f>fact_kpi_weekly!D457</f>
        <v>Total Activations</v>
      </c>
      <c r="E457" s="9" t="str">
        <f>fact_kpi_weekly!E457</f>
        <v>Forecast</v>
      </c>
      <c r="F457" s="9" t="str">
        <f>IF(fact_kpi_weekly!F457="","",fact_kpi_weekly!F457)</f>
        <v>Projection</v>
      </c>
      <c r="G457" s="9" t="str">
        <f>fact_kpi_weekly!G457</f>
        <v>N/A</v>
      </c>
      <c r="H457" s="9" t="str">
        <f>fact_kpi_weekly!H457</f>
        <v>Luke</v>
      </c>
      <c r="I457" s="9">
        <f>fact_kpi_weekly!I457</f>
        <v>144</v>
      </c>
      <c r="J457" s="22">
        <f>fact_kpi_weekly!J457</f>
        <v>144</v>
      </c>
      <c r="K457" s="20" t="str">
        <f t="array" ref="K457">IFERROR(INDEX(dim_date!H:H,MATCH(A457,dim_date!A:A,0)),"")</f>
        <v>Apr</v>
      </c>
      <c r="L457" s="20" t="str">
        <f t="array" ref="L457">IFERROR(INDEX(dim_date!G:G,MATCH(A457,dim_date!A:A,0)),"")</f>
        <v>04</v>
      </c>
      <c r="M457" s="9" t="str">
        <f t="array" ref="M457">IFERROR(INDEX(dim_date!I:I,MATCH(A457,dim_date!A:A,0)),"")</f>
        <v>Q2</v>
      </c>
      <c r="N457" s="20" t="str">
        <f t="array" ref="N457">IFERROR(INDEX(dim_date!K:K,MATCH(A457,dim_date!A:A,0)),"")</f>
        <v>17</v>
      </c>
      <c r="O457" s="9" t="str">
        <f t="array" ref="O457">IFERROR(INDEX(dim_date!F:F,MATCH(A457,dim_date!A:A,0)),"")</f>
        <v>4/19-4/25</v>
      </c>
      <c r="P457" s="9" t="str">
        <f t="array" ref="P457">IFERROR(INDEX(dim_kpi!E:E,MATCH(D457,dim_kpi!C:C,0)),"")</f>
        <v>count</v>
      </c>
      <c r="Q457" s="9" t="str">
        <f t="array" ref="Q457">IFERROR(INDEX(dim_kpi!F:F,MATCH(D457,dim_kpi!C:C,0)),"")</f>
        <v>N</v>
      </c>
    </row>
    <row r="458" ht="12.75" customHeight="1">
      <c r="A458" s="20" t="str">
        <f>fact_kpi_weekly!A458</f>
        <v>260426</v>
      </c>
      <c r="B458" s="21">
        <f>fact_kpi_weekly!B458</f>
        <v>46138</v>
      </c>
      <c r="C458" s="9" t="str">
        <f>fact_kpi_weekly!C458</f>
        <v>Growth</v>
      </c>
      <c r="D458" s="9" t="str">
        <f>fact_kpi_weekly!D458</f>
        <v>Total Activations</v>
      </c>
      <c r="E458" s="9" t="str">
        <f>fact_kpi_weekly!E458</f>
        <v>Forecast</v>
      </c>
      <c r="F458" s="9" t="str">
        <f>IF(fact_kpi_weekly!F458="","",fact_kpi_weekly!F458)</f>
        <v>Projection</v>
      </c>
      <c r="G458" s="9" t="str">
        <f>fact_kpi_weekly!G458</f>
        <v>N/A</v>
      </c>
      <c r="H458" s="9" t="str">
        <f>fact_kpi_weekly!H458</f>
        <v>Luke</v>
      </c>
      <c r="I458" s="9">
        <f>fact_kpi_weekly!I458</f>
        <v>187</v>
      </c>
      <c r="J458" s="22">
        <f>fact_kpi_weekly!J458</f>
        <v>187</v>
      </c>
      <c r="K458" s="20" t="str">
        <f t="array" ref="K458">IFERROR(INDEX(dim_date!H:H,MATCH(A458,dim_date!A:A,0)),"")</f>
        <v>Apr</v>
      </c>
      <c r="L458" s="20" t="str">
        <f t="array" ref="L458">IFERROR(INDEX(dim_date!G:G,MATCH(A458,dim_date!A:A,0)),"")</f>
        <v>04</v>
      </c>
      <c r="M458" s="9" t="str">
        <f t="array" ref="M458">IFERROR(INDEX(dim_date!I:I,MATCH(A458,dim_date!A:A,0)),"")</f>
        <v>Q2</v>
      </c>
      <c r="N458" s="20" t="str">
        <f t="array" ref="N458">IFERROR(INDEX(dim_date!K:K,MATCH(A458,dim_date!A:A,0)),"")</f>
        <v>18</v>
      </c>
      <c r="O458" s="9" t="str">
        <f t="array" ref="O458">IFERROR(INDEX(dim_date!F:F,MATCH(A458,dim_date!A:A,0)),"")</f>
        <v>4/26-5/2</v>
      </c>
      <c r="P458" s="9" t="str">
        <f t="array" ref="P458">IFERROR(INDEX(dim_kpi!E:E,MATCH(D458,dim_kpi!C:C,0)),"")</f>
        <v>count</v>
      </c>
      <c r="Q458" s="9" t="str">
        <f t="array" ref="Q458">IFERROR(INDEX(dim_kpi!F:F,MATCH(D458,dim_kpi!C:C,0)),"")</f>
        <v>N</v>
      </c>
    </row>
    <row r="459" ht="12.75" customHeight="1">
      <c r="A459" s="20" t="str">
        <f>fact_kpi_weekly!A459</f>
        <v>260503</v>
      </c>
      <c r="B459" s="21">
        <f>fact_kpi_weekly!B459</f>
        <v>46145</v>
      </c>
      <c r="C459" s="9" t="str">
        <f>fact_kpi_weekly!C459</f>
        <v>Growth</v>
      </c>
      <c r="D459" s="9" t="str">
        <f>fact_kpi_weekly!D459</f>
        <v>Total Activations</v>
      </c>
      <c r="E459" s="9" t="str">
        <f>fact_kpi_weekly!E459</f>
        <v>Forecast</v>
      </c>
      <c r="F459" s="9" t="str">
        <f>IF(fact_kpi_weekly!F459="","",fact_kpi_weekly!F459)</f>
        <v>Projection</v>
      </c>
      <c r="G459" s="9" t="str">
        <f>fact_kpi_weekly!G459</f>
        <v>N/A</v>
      </c>
      <c r="H459" s="9" t="str">
        <f>fact_kpi_weekly!H459</f>
        <v>Luke</v>
      </c>
      <c r="I459" s="9">
        <f>fact_kpi_weekly!I459</f>
        <v>174</v>
      </c>
      <c r="J459" s="22">
        <f>fact_kpi_weekly!J459</f>
        <v>174</v>
      </c>
      <c r="K459" s="20" t="str">
        <f t="array" ref="K459">IFERROR(INDEX(dim_date!H:H,MATCH(A459,dim_date!A:A,0)),"")</f>
        <v>May</v>
      </c>
      <c r="L459" s="20" t="str">
        <f t="array" ref="L459">IFERROR(INDEX(dim_date!G:G,MATCH(A459,dim_date!A:A,0)),"")</f>
        <v>05</v>
      </c>
      <c r="M459" s="9" t="str">
        <f t="array" ref="M459">IFERROR(INDEX(dim_date!I:I,MATCH(A459,dim_date!A:A,0)),"")</f>
        <v>Q2</v>
      </c>
      <c r="N459" s="20" t="str">
        <f t="array" ref="N459">IFERROR(INDEX(dim_date!K:K,MATCH(A459,dim_date!A:A,0)),"")</f>
        <v>19</v>
      </c>
      <c r="O459" s="9" t="str">
        <f t="array" ref="O459">IFERROR(INDEX(dim_date!F:F,MATCH(A459,dim_date!A:A,0)),"")</f>
        <v>5/3-5/9</v>
      </c>
      <c r="P459" s="9" t="str">
        <f t="array" ref="P459">IFERROR(INDEX(dim_kpi!E:E,MATCH(D459,dim_kpi!C:C,0)),"")</f>
        <v>count</v>
      </c>
      <c r="Q459" s="9" t="str">
        <f t="array" ref="Q459">IFERROR(INDEX(dim_kpi!F:F,MATCH(D459,dim_kpi!C:C,0)),"")</f>
        <v>N</v>
      </c>
    </row>
    <row r="460" ht="12.75" customHeight="1">
      <c r="A460" s="20" t="str">
        <f>fact_kpi_weekly!A460</f>
        <v>260510</v>
      </c>
      <c r="B460" s="21">
        <f>fact_kpi_weekly!B460</f>
        <v>46152</v>
      </c>
      <c r="C460" s="9" t="str">
        <f>fact_kpi_weekly!C460</f>
        <v>Growth</v>
      </c>
      <c r="D460" s="9" t="str">
        <f>fact_kpi_weekly!D460</f>
        <v>Total Activations</v>
      </c>
      <c r="E460" s="9" t="str">
        <f>fact_kpi_weekly!E460</f>
        <v>Forecast</v>
      </c>
      <c r="F460" s="9" t="str">
        <f>IF(fact_kpi_weekly!F460="","",fact_kpi_weekly!F460)</f>
        <v>Projection</v>
      </c>
      <c r="G460" s="9" t="str">
        <f>fact_kpi_weekly!G460</f>
        <v>N/A</v>
      </c>
      <c r="H460" s="9" t="str">
        <f>fact_kpi_weekly!H460</f>
        <v>Luke</v>
      </c>
      <c r="I460" s="9">
        <f>fact_kpi_weekly!I460</f>
        <v>177</v>
      </c>
      <c r="J460" s="22">
        <f>fact_kpi_weekly!J460</f>
        <v>177</v>
      </c>
      <c r="K460" s="20" t="str">
        <f t="array" ref="K460">IFERROR(INDEX(dim_date!H:H,MATCH(A460,dim_date!A:A,0)),"")</f>
        <v>May</v>
      </c>
      <c r="L460" s="20" t="str">
        <f t="array" ref="L460">IFERROR(INDEX(dim_date!G:G,MATCH(A460,dim_date!A:A,0)),"")</f>
        <v>05</v>
      </c>
      <c r="M460" s="9" t="str">
        <f t="array" ref="M460">IFERROR(INDEX(dim_date!I:I,MATCH(A460,dim_date!A:A,0)),"")</f>
        <v>Q2</v>
      </c>
      <c r="N460" s="20" t="str">
        <f t="array" ref="N460">IFERROR(INDEX(dim_date!K:K,MATCH(A460,dim_date!A:A,0)),"")</f>
        <v>20</v>
      </c>
      <c r="O460" s="9" t="str">
        <f t="array" ref="O460">IFERROR(INDEX(dim_date!F:F,MATCH(A460,dim_date!A:A,0)),"")</f>
        <v>5/10-5/16</v>
      </c>
      <c r="P460" s="9" t="str">
        <f t="array" ref="P460">IFERROR(INDEX(dim_kpi!E:E,MATCH(D460,dim_kpi!C:C,0)),"")</f>
        <v>count</v>
      </c>
      <c r="Q460" s="9" t="str">
        <f t="array" ref="Q460">IFERROR(INDEX(dim_kpi!F:F,MATCH(D460,dim_kpi!C:C,0)),"")</f>
        <v>N</v>
      </c>
    </row>
    <row r="461" ht="12.75" customHeight="1">
      <c r="A461" s="20" t="str">
        <f>fact_kpi_weekly!A461</f>
        <v>260517</v>
      </c>
      <c r="B461" s="21">
        <f>fact_kpi_weekly!B461</f>
        <v>46159</v>
      </c>
      <c r="C461" s="9" t="str">
        <f>fact_kpi_weekly!C461</f>
        <v>Growth</v>
      </c>
      <c r="D461" s="9" t="str">
        <f>fact_kpi_weekly!D461</f>
        <v>Total Activations</v>
      </c>
      <c r="E461" s="9" t="str">
        <f>fact_kpi_weekly!E461</f>
        <v>Forecast</v>
      </c>
      <c r="F461" s="9" t="str">
        <f>IF(fact_kpi_weekly!F461="","",fact_kpi_weekly!F461)</f>
        <v>Projection</v>
      </c>
      <c r="G461" s="9" t="str">
        <f>fact_kpi_weekly!G461</f>
        <v>N/A</v>
      </c>
      <c r="H461" s="9" t="str">
        <f>fact_kpi_weekly!H461</f>
        <v>Luke</v>
      </c>
      <c r="I461" s="9">
        <f>fact_kpi_weekly!I461</f>
        <v>205</v>
      </c>
      <c r="J461" s="22">
        <f>fact_kpi_weekly!J461</f>
        <v>205</v>
      </c>
      <c r="K461" s="20" t="str">
        <f t="array" ref="K461">IFERROR(INDEX(dim_date!H:H,MATCH(A461,dim_date!A:A,0)),"")</f>
        <v>May</v>
      </c>
      <c r="L461" s="20" t="str">
        <f t="array" ref="L461">IFERROR(INDEX(dim_date!G:G,MATCH(A461,dim_date!A:A,0)),"")</f>
        <v>05</v>
      </c>
      <c r="M461" s="9" t="str">
        <f t="array" ref="M461">IFERROR(INDEX(dim_date!I:I,MATCH(A461,dim_date!A:A,0)),"")</f>
        <v>Q2</v>
      </c>
      <c r="N461" s="20" t="str">
        <f t="array" ref="N461">IFERROR(INDEX(dim_date!K:K,MATCH(A461,dim_date!A:A,0)),"")</f>
        <v>21</v>
      </c>
      <c r="O461" s="9" t="str">
        <f t="array" ref="O461">IFERROR(INDEX(dim_date!F:F,MATCH(A461,dim_date!A:A,0)),"")</f>
        <v>5/17-5/23</v>
      </c>
      <c r="P461" s="9" t="str">
        <f t="array" ref="P461">IFERROR(INDEX(dim_kpi!E:E,MATCH(D461,dim_kpi!C:C,0)),"")</f>
        <v>count</v>
      </c>
      <c r="Q461" s="9" t="str">
        <f t="array" ref="Q461">IFERROR(INDEX(dim_kpi!F:F,MATCH(D461,dim_kpi!C:C,0)),"")</f>
        <v>N</v>
      </c>
    </row>
    <row r="462" ht="12.75" customHeight="1">
      <c r="A462" s="20" t="str">
        <f>fact_kpi_weekly!A462</f>
        <v>260524</v>
      </c>
      <c r="B462" s="21">
        <f>fact_kpi_weekly!B462</f>
        <v>46166</v>
      </c>
      <c r="C462" s="9" t="str">
        <f>fact_kpi_weekly!C462</f>
        <v>Growth</v>
      </c>
      <c r="D462" s="9" t="str">
        <f>fact_kpi_weekly!D462</f>
        <v>Total Activations</v>
      </c>
      <c r="E462" s="9" t="str">
        <f>fact_kpi_weekly!E462</f>
        <v>Forecast</v>
      </c>
      <c r="F462" s="9" t="str">
        <f>IF(fact_kpi_weekly!F462="","",fact_kpi_weekly!F462)</f>
        <v>Projection</v>
      </c>
      <c r="G462" s="9" t="str">
        <f>fact_kpi_weekly!G462</f>
        <v>N/A</v>
      </c>
      <c r="H462" s="9" t="str">
        <f>fact_kpi_weekly!H462</f>
        <v>Luke</v>
      </c>
      <c r="I462" s="9">
        <f>fact_kpi_weekly!I462</f>
        <v>222</v>
      </c>
      <c r="J462" s="22">
        <f>fact_kpi_weekly!J462</f>
        <v>222</v>
      </c>
      <c r="K462" s="20" t="str">
        <f t="array" ref="K462">IFERROR(INDEX(dim_date!H:H,MATCH(A462,dim_date!A:A,0)),"")</f>
        <v>May</v>
      </c>
      <c r="L462" s="20" t="str">
        <f t="array" ref="L462">IFERROR(INDEX(dim_date!G:G,MATCH(A462,dim_date!A:A,0)),"")</f>
        <v>05</v>
      </c>
      <c r="M462" s="9" t="str">
        <f t="array" ref="M462">IFERROR(INDEX(dim_date!I:I,MATCH(A462,dim_date!A:A,0)),"")</f>
        <v>Q2</v>
      </c>
      <c r="N462" s="20" t="str">
        <f t="array" ref="N462">IFERROR(INDEX(dim_date!K:K,MATCH(A462,dim_date!A:A,0)),"")</f>
        <v>22</v>
      </c>
      <c r="O462" s="9" t="str">
        <f t="array" ref="O462">IFERROR(INDEX(dim_date!F:F,MATCH(A462,dim_date!A:A,0)),"")</f>
        <v>5/24-5/30</v>
      </c>
      <c r="P462" s="9" t="str">
        <f t="array" ref="P462">IFERROR(INDEX(dim_kpi!E:E,MATCH(D462,dim_kpi!C:C,0)),"")</f>
        <v>count</v>
      </c>
      <c r="Q462" s="9" t="str">
        <f t="array" ref="Q462">IFERROR(INDEX(dim_kpi!F:F,MATCH(D462,dim_kpi!C:C,0)),"")</f>
        <v>N</v>
      </c>
    </row>
    <row r="463" ht="12.75" customHeight="1">
      <c r="A463" s="20" t="str">
        <f>fact_kpi_weekly!A463</f>
        <v>260601</v>
      </c>
      <c r="B463" s="21">
        <f>fact_kpi_weekly!B463</f>
        <v>46174</v>
      </c>
      <c r="C463" s="9" t="str">
        <f>fact_kpi_weekly!C463</f>
        <v>Growth</v>
      </c>
      <c r="D463" s="9" t="str">
        <f>fact_kpi_weekly!D463</f>
        <v>Total Activations</v>
      </c>
      <c r="E463" s="9" t="str">
        <f>fact_kpi_weekly!E463</f>
        <v>Forecast</v>
      </c>
      <c r="F463" s="9" t="str">
        <f>IF(fact_kpi_weekly!F463="","",fact_kpi_weekly!F463)</f>
        <v>Projection</v>
      </c>
      <c r="G463" s="9" t="str">
        <f>fact_kpi_weekly!G463</f>
        <v>N/A</v>
      </c>
      <c r="H463" s="9" t="str">
        <f>fact_kpi_weekly!H463</f>
        <v>Luke</v>
      </c>
      <c r="I463" s="9">
        <f>fact_kpi_weekly!I463</f>
        <v>234</v>
      </c>
      <c r="J463" s="22">
        <f>fact_kpi_weekly!J463</f>
        <v>234</v>
      </c>
      <c r="K463" s="20" t="str">
        <f t="array" ref="K463">IFERROR(INDEX(dim_date!H:H,MATCH(A463,dim_date!A:A,0)),"")</f>
        <v>Jun</v>
      </c>
      <c r="L463" s="20" t="str">
        <f t="array" ref="L463">IFERROR(INDEX(dim_date!G:G,MATCH(A463,dim_date!A:A,0)),"")</f>
        <v>06</v>
      </c>
      <c r="M463" s="9" t="str">
        <f t="array" ref="M463">IFERROR(INDEX(dim_date!I:I,MATCH(A463,dim_date!A:A,0)),"")</f>
        <v>Q2</v>
      </c>
      <c r="N463" s="20" t="str">
        <f t="array" ref="N463">IFERROR(INDEX(dim_date!K:K,MATCH(A463,dim_date!A:A,0)),"")</f>
        <v>23</v>
      </c>
      <c r="O463" s="9" t="str">
        <f t="array" ref="O463">IFERROR(INDEX(dim_date!F:F,MATCH(A463,dim_date!A:A,0)),"")</f>
        <v>5/31-6/6</v>
      </c>
      <c r="P463" s="9" t="str">
        <f t="array" ref="P463">IFERROR(INDEX(dim_kpi!E:E,MATCH(D463,dim_kpi!C:C,0)),"")</f>
        <v>count</v>
      </c>
      <c r="Q463" s="9" t="str">
        <f t="array" ref="Q463">IFERROR(INDEX(dim_kpi!F:F,MATCH(D463,dim_kpi!C:C,0)),"")</f>
        <v>N</v>
      </c>
    </row>
    <row r="464" ht="12.75" customHeight="1">
      <c r="A464" s="20" t="str">
        <f>fact_kpi_weekly!A464</f>
        <v>260607</v>
      </c>
      <c r="B464" s="21">
        <f>fact_kpi_weekly!B464</f>
        <v>46180</v>
      </c>
      <c r="C464" s="9" t="str">
        <f>fact_kpi_weekly!C464</f>
        <v>Growth</v>
      </c>
      <c r="D464" s="9" t="str">
        <f>fact_kpi_weekly!D464</f>
        <v>Total Activations</v>
      </c>
      <c r="E464" s="9" t="str">
        <f>fact_kpi_weekly!E464</f>
        <v>Forecast</v>
      </c>
      <c r="F464" s="9" t="str">
        <f>IF(fact_kpi_weekly!F464="","",fact_kpi_weekly!F464)</f>
        <v>Projection</v>
      </c>
      <c r="G464" s="9" t="str">
        <f>fact_kpi_weekly!G464</f>
        <v>N/A</v>
      </c>
      <c r="H464" s="9" t="str">
        <f>fact_kpi_weekly!H464</f>
        <v>Luke</v>
      </c>
      <c r="I464" s="9">
        <f>fact_kpi_weekly!I464</f>
        <v>236</v>
      </c>
      <c r="J464" s="22">
        <f>fact_kpi_weekly!J464</f>
        <v>236</v>
      </c>
      <c r="K464" s="20" t="str">
        <f t="array" ref="K464">IFERROR(INDEX(dim_date!H:H,MATCH(A464,dim_date!A:A,0)),"")</f>
        <v>Jun</v>
      </c>
      <c r="L464" s="20" t="str">
        <f t="array" ref="L464">IFERROR(INDEX(dim_date!G:G,MATCH(A464,dim_date!A:A,0)),"")</f>
        <v>06</v>
      </c>
      <c r="M464" s="9" t="str">
        <f t="array" ref="M464">IFERROR(INDEX(dim_date!I:I,MATCH(A464,dim_date!A:A,0)),"")</f>
        <v>Q2</v>
      </c>
      <c r="N464" s="20" t="str">
        <f t="array" ref="N464">IFERROR(INDEX(dim_date!K:K,MATCH(A464,dim_date!A:A,0)),"")</f>
        <v>24</v>
      </c>
      <c r="O464" s="9" t="str">
        <f t="array" ref="O464">IFERROR(INDEX(dim_date!F:F,MATCH(A464,dim_date!A:A,0)),"")</f>
        <v>6/7-6/13</v>
      </c>
      <c r="P464" s="9" t="str">
        <f t="array" ref="P464">IFERROR(INDEX(dim_kpi!E:E,MATCH(D464,dim_kpi!C:C,0)),"")</f>
        <v>count</v>
      </c>
      <c r="Q464" s="9" t="str">
        <f t="array" ref="Q464">IFERROR(INDEX(dim_kpi!F:F,MATCH(D464,dim_kpi!C:C,0)),"")</f>
        <v>N</v>
      </c>
    </row>
    <row r="465" ht="12.75" customHeight="1">
      <c r="A465" s="20" t="str">
        <f>fact_kpi_weekly!A465</f>
        <v>260614</v>
      </c>
      <c r="B465" s="21">
        <f>fact_kpi_weekly!B465</f>
        <v>46187</v>
      </c>
      <c r="C465" s="9" t="str">
        <f>fact_kpi_weekly!C465</f>
        <v>Growth</v>
      </c>
      <c r="D465" s="9" t="str">
        <f>fact_kpi_weekly!D465</f>
        <v>Total Activations</v>
      </c>
      <c r="E465" s="9" t="str">
        <f>fact_kpi_weekly!E465</f>
        <v>Forecast</v>
      </c>
      <c r="F465" s="9" t="str">
        <f>IF(fact_kpi_weekly!F465="","",fact_kpi_weekly!F465)</f>
        <v>Projection</v>
      </c>
      <c r="G465" s="9" t="str">
        <f>fact_kpi_weekly!G465</f>
        <v>N/A</v>
      </c>
      <c r="H465" s="9" t="str">
        <f>fact_kpi_weekly!H465</f>
        <v>Luke</v>
      </c>
      <c r="I465" s="9">
        <f>fact_kpi_weekly!I465</f>
        <v>240</v>
      </c>
      <c r="J465" s="22">
        <f>fact_kpi_weekly!J465</f>
        <v>240</v>
      </c>
      <c r="K465" s="20" t="str">
        <f t="array" ref="K465">IFERROR(INDEX(dim_date!H:H,MATCH(A465,dim_date!A:A,0)),"")</f>
        <v>Jun</v>
      </c>
      <c r="L465" s="20" t="str">
        <f t="array" ref="L465">IFERROR(INDEX(dim_date!G:G,MATCH(A465,dim_date!A:A,0)),"")</f>
        <v>06</v>
      </c>
      <c r="M465" s="9" t="str">
        <f t="array" ref="M465">IFERROR(INDEX(dim_date!I:I,MATCH(A465,dim_date!A:A,0)),"")</f>
        <v>Q2</v>
      </c>
      <c r="N465" s="20" t="str">
        <f t="array" ref="N465">IFERROR(INDEX(dim_date!K:K,MATCH(A465,dim_date!A:A,0)),"")</f>
        <v>25</v>
      </c>
      <c r="O465" s="9" t="str">
        <f t="array" ref="O465">IFERROR(INDEX(dim_date!F:F,MATCH(A465,dim_date!A:A,0)),"")</f>
        <v>6/14-6/20</v>
      </c>
      <c r="P465" s="9" t="str">
        <f t="array" ref="P465">IFERROR(INDEX(dim_kpi!E:E,MATCH(D465,dim_kpi!C:C,0)),"")</f>
        <v>count</v>
      </c>
      <c r="Q465" s="9" t="str">
        <f t="array" ref="Q465">IFERROR(INDEX(dim_kpi!F:F,MATCH(D465,dim_kpi!C:C,0)),"")</f>
        <v>N</v>
      </c>
    </row>
    <row r="466" ht="12.75" customHeight="1">
      <c r="A466" s="20" t="str">
        <f>fact_kpi_weekly!A466</f>
        <v>260621</v>
      </c>
      <c r="B466" s="21">
        <f>fact_kpi_weekly!B466</f>
        <v>46194</v>
      </c>
      <c r="C466" s="9" t="str">
        <f>fact_kpi_weekly!C466</f>
        <v>Growth</v>
      </c>
      <c r="D466" s="9" t="str">
        <f>fact_kpi_weekly!D466</f>
        <v>Total Activations</v>
      </c>
      <c r="E466" s="9" t="str">
        <f>fact_kpi_weekly!E466</f>
        <v>Forecast</v>
      </c>
      <c r="F466" s="9" t="str">
        <f>IF(fact_kpi_weekly!F466="","",fact_kpi_weekly!F466)</f>
        <v>Projection</v>
      </c>
      <c r="G466" s="9" t="str">
        <f>fact_kpi_weekly!G466</f>
        <v>N/A</v>
      </c>
      <c r="H466" s="9" t="str">
        <f>fact_kpi_weekly!H466</f>
        <v>Luke</v>
      </c>
      <c r="I466" s="9">
        <f>fact_kpi_weekly!I466</f>
        <v>239</v>
      </c>
      <c r="J466" s="22">
        <f>fact_kpi_weekly!J466</f>
        <v>239</v>
      </c>
      <c r="K466" s="20" t="str">
        <f t="array" ref="K466">IFERROR(INDEX(dim_date!H:H,MATCH(A466,dim_date!A:A,0)),"")</f>
        <v>Jun</v>
      </c>
      <c r="L466" s="20" t="str">
        <f t="array" ref="L466">IFERROR(INDEX(dim_date!G:G,MATCH(A466,dim_date!A:A,0)),"")</f>
        <v>06</v>
      </c>
      <c r="M466" s="9" t="str">
        <f t="array" ref="M466">IFERROR(INDEX(dim_date!I:I,MATCH(A466,dim_date!A:A,0)),"")</f>
        <v>Q2</v>
      </c>
      <c r="N466" s="20" t="str">
        <f t="array" ref="N466">IFERROR(INDEX(dim_date!K:K,MATCH(A466,dim_date!A:A,0)),"")</f>
        <v>26</v>
      </c>
      <c r="O466" s="9" t="str">
        <f t="array" ref="O466">IFERROR(INDEX(dim_date!F:F,MATCH(A466,dim_date!A:A,0)),"")</f>
        <v>6/21-6/27</v>
      </c>
      <c r="P466" s="9" t="str">
        <f t="array" ref="P466">IFERROR(INDEX(dim_kpi!E:E,MATCH(D466,dim_kpi!C:C,0)),"")</f>
        <v>count</v>
      </c>
      <c r="Q466" s="9" t="str">
        <f t="array" ref="Q466">IFERROR(INDEX(dim_kpi!F:F,MATCH(D466,dim_kpi!C:C,0)),"")</f>
        <v>N</v>
      </c>
    </row>
    <row r="467" ht="12.75" customHeight="1">
      <c r="A467" s="20" t="str">
        <f>fact_kpi_weekly!A467</f>
        <v>260628</v>
      </c>
      <c r="B467" s="21">
        <f>fact_kpi_weekly!B467</f>
        <v>46201</v>
      </c>
      <c r="C467" s="9" t="str">
        <f>fact_kpi_weekly!C467</f>
        <v>Growth</v>
      </c>
      <c r="D467" s="9" t="str">
        <f>fact_kpi_weekly!D467</f>
        <v>Total Activations</v>
      </c>
      <c r="E467" s="9" t="str">
        <f>fact_kpi_weekly!E467</f>
        <v>Forecast</v>
      </c>
      <c r="F467" s="9" t="str">
        <f>IF(fact_kpi_weekly!F467="","",fact_kpi_weekly!F467)</f>
        <v>Projection</v>
      </c>
      <c r="G467" s="9" t="str">
        <f>fact_kpi_weekly!G467</f>
        <v>N/A</v>
      </c>
      <c r="H467" s="9" t="str">
        <f>fact_kpi_weekly!H467</f>
        <v>Luke</v>
      </c>
      <c r="I467" s="9">
        <f>fact_kpi_weekly!I467</f>
        <v>222</v>
      </c>
      <c r="J467" s="22">
        <f>fact_kpi_weekly!J467</f>
        <v>222</v>
      </c>
      <c r="K467" s="20" t="str">
        <f t="array" ref="K467">IFERROR(INDEX(dim_date!H:H,MATCH(A467,dim_date!A:A,0)),"")</f>
        <v>Jun</v>
      </c>
      <c r="L467" s="20" t="str">
        <f t="array" ref="L467">IFERROR(INDEX(dim_date!G:G,MATCH(A467,dim_date!A:A,0)),"")</f>
        <v>06</v>
      </c>
      <c r="M467" s="9" t="str">
        <f t="array" ref="M467">IFERROR(INDEX(dim_date!I:I,MATCH(A467,dim_date!A:A,0)),"")</f>
        <v>Q2</v>
      </c>
      <c r="N467" s="20" t="str">
        <f t="array" ref="N467">IFERROR(INDEX(dim_date!K:K,MATCH(A467,dim_date!A:A,0)),"")</f>
        <v>27</v>
      </c>
      <c r="O467" s="9" t="str">
        <f t="array" ref="O467">IFERROR(INDEX(dim_date!F:F,MATCH(A467,dim_date!A:A,0)),"")</f>
        <v>6/28-7/4</v>
      </c>
      <c r="P467" s="9" t="str">
        <f t="array" ref="P467">IFERROR(INDEX(dim_kpi!E:E,MATCH(D467,dim_kpi!C:C,0)),"")</f>
        <v>count</v>
      </c>
      <c r="Q467" s="9" t="str">
        <f t="array" ref="Q467">IFERROR(INDEX(dim_kpi!F:F,MATCH(D467,dim_kpi!C:C,0)),"")</f>
        <v>N</v>
      </c>
    </row>
    <row r="468" ht="12.75" customHeight="1">
      <c r="A468" s="20" t="str">
        <f>fact_kpi_weekly!A468</f>
        <v>260705</v>
      </c>
      <c r="B468" s="21">
        <f>fact_kpi_weekly!B468</f>
        <v>46208</v>
      </c>
      <c r="C468" s="9" t="str">
        <f>fact_kpi_weekly!C468</f>
        <v>Growth</v>
      </c>
      <c r="D468" s="9" t="str">
        <f>fact_kpi_weekly!D468</f>
        <v>Total Activations</v>
      </c>
      <c r="E468" s="9" t="str">
        <f>fact_kpi_weekly!E468</f>
        <v>Forecast</v>
      </c>
      <c r="F468" s="9" t="str">
        <f>IF(fact_kpi_weekly!F468="","",fact_kpi_weekly!F468)</f>
        <v>Projection</v>
      </c>
      <c r="G468" s="9" t="str">
        <f>fact_kpi_weekly!G468</f>
        <v>N/A</v>
      </c>
      <c r="H468" s="9" t="str">
        <f>fact_kpi_weekly!H468</f>
        <v>Luke</v>
      </c>
      <c r="I468" s="9">
        <f>fact_kpi_weekly!I468</f>
        <v>221</v>
      </c>
      <c r="J468" s="22">
        <f>fact_kpi_weekly!J468</f>
        <v>221</v>
      </c>
      <c r="K468" s="20" t="str">
        <f t="array" ref="K468">IFERROR(INDEX(dim_date!H:H,MATCH(A468,dim_date!A:A,0)),"")</f>
        <v>Jul</v>
      </c>
      <c r="L468" s="20" t="str">
        <f t="array" ref="L468">IFERROR(INDEX(dim_date!G:G,MATCH(A468,dim_date!A:A,0)),"")</f>
        <v>07</v>
      </c>
      <c r="M468" s="9" t="str">
        <f t="array" ref="M468">IFERROR(INDEX(dim_date!I:I,MATCH(A468,dim_date!A:A,0)),"")</f>
        <v>Q3</v>
      </c>
      <c r="N468" s="20" t="str">
        <f t="array" ref="N468">IFERROR(INDEX(dim_date!K:K,MATCH(A468,dim_date!A:A,0)),"")</f>
        <v>28</v>
      </c>
      <c r="O468" s="9" t="str">
        <f t="array" ref="O468">IFERROR(INDEX(dim_date!F:F,MATCH(A468,dim_date!A:A,0)),"")</f>
        <v>7/5-7/11</v>
      </c>
      <c r="P468" s="9" t="str">
        <f t="array" ref="P468">IFERROR(INDEX(dim_kpi!E:E,MATCH(D468,dim_kpi!C:C,0)),"")</f>
        <v>count</v>
      </c>
      <c r="Q468" s="9" t="str">
        <f t="array" ref="Q468">IFERROR(INDEX(dim_kpi!F:F,MATCH(D468,dim_kpi!C:C,0)),"")</f>
        <v>N</v>
      </c>
    </row>
    <row r="469" ht="12.75" customHeight="1">
      <c r="A469" s="20" t="str">
        <f>fact_kpi_weekly!A469</f>
        <v>260712</v>
      </c>
      <c r="B469" s="21">
        <f>fact_kpi_weekly!B469</f>
        <v>46215</v>
      </c>
      <c r="C469" s="9" t="str">
        <f>fact_kpi_weekly!C469</f>
        <v>Growth</v>
      </c>
      <c r="D469" s="9" t="str">
        <f>fact_kpi_weekly!D469</f>
        <v>Total Activations</v>
      </c>
      <c r="E469" s="9" t="str">
        <f>fact_kpi_weekly!E469</f>
        <v>Forecast</v>
      </c>
      <c r="F469" s="9" t="str">
        <f>IF(fact_kpi_weekly!F469="","",fact_kpi_weekly!F469)</f>
        <v>Projection</v>
      </c>
      <c r="G469" s="9" t="str">
        <f>fact_kpi_weekly!G469</f>
        <v>N/A</v>
      </c>
      <c r="H469" s="9" t="str">
        <f>fact_kpi_weekly!H469</f>
        <v>Luke</v>
      </c>
      <c r="I469" s="9">
        <f>fact_kpi_weekly!I469</f>
        <v>265</v>
      </c>
      <c r="J469" s="22">
        <f>fact_kpi_weekly!J469</f>
        <v>265</v>
      </c>
      <c r="K469" s="20" t="str">
        <f t="array" ref="K469">IFERROR(INDEX(dim_date!H:H,MATCH(A469,dim_date!A:A,0)),"")</f>
        <v>Jul</v>
      </c>
      <c r="L469" s="20" t="str">
        <f t="array" ref="L469">IFERROR(INDEX(dim_date!G:G,MATCH(A469,dim_date!A:A,0)),"")</f>
        <v>07</v>
      </c>
      <c r="M469" s="9" t="str">
        <f t="array" ref="M469">IFERROR(INDEX(dim_date!I:I,MATCH(A469,dim_date!A:A,0)),"")</f>
        <v>Q3</v>
      </c>
      <c r="N469" s="20" t="str">
        <f t="array" ref="N469">IFERROR(INDEX(dim_date!K:K,MATCH(A469,dim_date!A:A,0)),"")</f>
        <v>29</v>
      </c>
      <c r="O469" s="9" t="str">
        <f t="array" ref="O469">IFERROR(INDEX(dim_date!F:F,MATCH(A469,dim_date!A:A,0)),"")</f>
        <v>7/12-7/18</v>
      </c>
      <c r="P469" s="9" t="str">
        <f t="array" ref="P469">IFERROR(INDEX(dim_kpi!E:E,MATCH(D469,dim_kpi!C:C,0)),"")</f>
        <v>count</v>
      </c>
      <c r="Q469" s="9" t="str">
        <f t="array" ref="Q469">IFERROR(INDEX(dim_kpi!F:F,MATCH(D469,dim_kpi!C:C,0)),"")</f>
        <v>N</v>
      </c>
    </row>
    <row r="470" ht="12.75" customHeight="1">
      <c r="A470" s="20" t="str">
        <f>fact_kpi_weekly!A470</f>
        <v>260719</v>
      </c>
      <c r="B470" s="21">
        <f>fact_kpi_weekly!B470</f>
        <v>46222</v>
      </c>
      <c r="C470" s="9" t="str">
        <f>fact_kpi_weekly!C470</f>
        <v>Growth</v>
      </c>
      <c r="D470" s="9" t="str">
        <f>fact_kpi_weekly!D470</f>
        <v>Total Activations</v>
      </c>
      <c r="E470" s="9" t="str">
        <f>fact_kpi_weekly!E470</f>
        <v>Forecast</v>
      </c>
      <c r="F470" s="9" t="str">
        <f>IF(fact_kpi_weekly!F470="","",fact_kpi_weekly!F470)</f>
        <v>Projection</v>
      </c>
      <c r="G470" s="9" t="str">
        <f>fact_kpi_weekly!G470</f>
        <v>N/A</v>
      </c>
      <c r="H470" s="9" t="str">
        <f>fact_kpi_weekly!H470</f>
        <v>Luke</v>
      </c>
      <c r="I470" s="9">
        <f>fact_kpi_weekly!I470</f>
        <v>259</v>
      </c>
      <c r="J470" s="22">
        <f>fact_kpi_weekly!J470</f>
        <v>259</v>
      </c>
      <c r="K470" s="20" t="str">
        <f t="array" ref="K470">IFERROR(INDEX(dim_date!H:H,MATCH(A470,dim_date!A:A,0)),"")</f>
        <v>Jul</v>
      </c>
      <c r="L470" s="20" t="str">
        <f t="array" ref="L470">IFERROR(INDEX(dim_date!G:G,MATCH(A470,dim_date!A:A,0)),"")</f>
        <v>07</v>
      </c>
      <c r="M470" s="9" t="str">
        <f t="array" ref="M470">IFERROR(INDEX(dim_date!I:I,MATCH(A470,dim_date!A:A,0)),"")</f>
        <v>Q3</v>
      </c>
      <c r="N470" s="20" t="str">
        <f t="array" ref="N470">IFERROR(INDEX(dim_date!K:K,MATCH(A470,dim_date!A:A,0)),"")</f>
        <v>30</v>
      </c>
      <c r="O470" s="9" t="str">
        <f t="array" ref="O470">IFERROR(INDEX(dim_date!F:F,MATCH(A470,dim_date!A:A,0)),"")</f>
        <v>7/19-7/25</v>
      </c>
      <c r="P470" s="9" t="str">
        <f t="array" ref="P470">IFERROR(INDEX(dim_kpi!E:E,MATCH(D470,dim_kpi!C:C,0)),"")</f>
        <v>count</v>
      </c>
      <c r="Q470" s="9" t="str">
        <f t="array" ref="Q470">IFERROR(INDEX(dim_kpi!F:F,MATCH(D470,dim_kpi!C:C,0)),"")</f>
        <v>N</v>
      </c>
    </row>
    <row r="471" ht="12.75" customHeight="1">
      <c r="A471" s="20" t="str">
        <f>fact_kpi_weekly!A471</f>
        <v>260726</v>
      </c>
      <c r="B471" s="21">
        <f>fact_kpi_weekly!B471</f>
        <v>46229</v>
      </c>
      <c r="C471" s="9" t="str">
        <f>fact_kpi_weekly!C471</f>
        <v>Growth</v>
      </c>
      <c r="D471" s="9" t="str">
        <f>fact_kpi_weekly!D471</f>
        <v>Total Activations</v>
      </c>
      <c r="E471" s="9" t="str">
        <f>fact_kpi_weekly!E471</f>
        <v>Forecast</v>
      </c>
      <c r="F471" s="9" t="str">
        <f>IF(fact_kpi_weekly!F471="","",fact_kpi_weekly!F471)</f>
        <v>Projection</v>
      </c>
      <c r="G471" s="9" t="str">
        <f>fact_kpi_weekly!G471</f>
        <v>N/A</v>
      </c>
      <c r="H471" s="9" t="str">
        <f>fact_kpi_weekly!H471</f>
        <v>Luke</v>
      </c>
      <c r="I471" s="9">
        <f>fact_kpi_weekly!I471</f>
        <v>284</v>
      </c>
      <c r="J471" s="22">
        <f>fact_kpi_weekly!J471</f>
        <v>284</v>
      </c>
      <c r="K471" s="20" t="str">
        <f t="array" ref="K471">IFERROR(INDEX(dim_date!H:H,MATCH(A471,dim_date!A:A,0)),"")</f>
        <v>Jul</v>
      </c>
      <c r="L471" s="20" t="str">
        <f t="array" ref="L471">IFERROR(INDEX(dim_date!G:G,MATCH(A471,dim_date!A:A,0)),"")</f>
        <v>07</v>
      </c>
      <c r="M471" s="9" t="str">
        <f t="array" ref="M471">IFERROR(INDEX(dim_date!I:I,MATCH(A471,dim_date!A:A,0)),"")</f>
        <v>Q3</v>
      </c>
      <c r="N471" s="20" t="str">
        <f t="array" ref="N471">IFERROR(INDEX(dim_date!K:K,MATCH(A471,dim_date!A:A,0)),"")</f>
        <v>31</v>
      </c>
      <c r="O471" s="9" t="str">
        <f t="array" ref="O471">IFERROR(INDEX(dim_date!F:F,MATCH(A471,dim_date!A:A,0)),"")</f>
        <v>7/26-8/1</v>
      </c>
      <c r="P471" s="9" t="str">
        <f t="array" ref="P471">IFERROR(INDEX(dim_kpi!E:E,MATCH(D471,dim_kpi!C:C,0)),"")</f>
        <v>count</v>
      </c>
      <c r="Q471" s="9" t="str">
        <f t="array" ref="Q471">IFERROR(INDEX(dim_kpi!F:F,MATCH(D471,dim_kpi!C:C,0)),"")</f>
        <v>N</v>
      </c>
    </row>
    <row r="472" ht="12.75" customHeight="1">
      <c r="A472" s="20" t="str">
        <f>fact_kpi_weekly!A472</f>
        <v>260802</v>
      </c>
      <c r="B472" s="21">
        <f>fact_kpi_weekly!B472</f>
        <v>46236</v>
      </c>
      <c r="C472" s="9" t="str">
        <f>fact_kpi_weekly!C472</f>
        <v>Growth</v>
      </c>
      <c r="D472" s="9" t="str">
        <f>fact_kpi_weekly!D472</f>
        <v>Total Activations</v>
      </c>
      <c r="E472" s="9" t="str">
        <f>fact_kpi_weekly!E472</f>
        <v>Forecast</v>
      </c>
      <c r="F472" s="9" t="str">
        <f>IF(fact_kpi_weekly!F472="","",fact_kpi_weekly!F472)</f>
        <v>Projection</v>
      </c>
      <c r="G472" s="9" t="str">
        <f>fact_kpi_weekly!G472</f>
        <v>N/A</v>
      </c>
      <c r="H472" s="9" t="str">
        <f>fact_kpi_weekly!H472</f>
        <v>Luke</v>
      </c>
      <c r="I472" s="9">
        <f>fact_kpi_weekly!I472</f>
        <v>273</v>
      </c>
      <c r="J472" s="22">
        <f>fact_kpi_weekly!J472</f>
        <v>273</v>
      </c>
      <c r="K472" s="20" t="str">
        <f t="array" ref="K472">IFERROR(INDEX(dim_date!H:H,MATCH(A472,dim_date!A:A,0)),"")</f>
        <v>Aug</v>
      </c>
      <c r="L472" s="20" t="str">
        <f t="array" ref="L472">IFERROR(INDEX(dim_date!G:G,MATCH(A472,dim_date!A:A,0)),"")</f>
        <v>08</v>
      </c>
      <c r="M472" s="9" t="str">
        <f t="array" ref="M472">IFERROR(INDEX(dim_date!I:I,MATCH(A472,dim_date!A:A,0)),"")</f>
        <v>Q3</v>
      </c>
      <c r="N472" s="20" t="str">
        <f t="array" ref="N472">IFERROR(INDEX(dim_date!K:K,MATCH(A472,dim_date!A:A,0)),"")</f>
        <v>32</v>
      </c>
      <c r="O472" s="9" t="str">
        <f t="array" ref="O472">IFERROR(INDEX(dim_date!F:F,MATCH(A472,dim_date!A:A,0)),"")</f>
        <v>8/2-8/8</v>
      </c>
      <c r="P472" s="9" t="str">
        <f t="array" ref="P472">IFERROR(INDEX(dim_kpi!E:E,MATCH(D472,dim_kpi!C:C,0)),"")</f>
        <v>count</v>
      </c>
      <c r="Q472" s="9" t="str">
        <f t="array" ref="Q472">IFERROR(INDEX(dim_kpi!F:F,MATCH(D472,dim_kpi!C:C,0)),"")</f>
        <v>N</v>
      </c>
    </row>
    <row r="473" ht="12.75" customHeight="1">
      <c r="A473" s="20" t="str">
        <f>fact_kpi_weekly!A473</f>
        <v>260809</v>
      </c>
      <c r="B473" s="21">
        <f>fact_kpi_weekly!B473</f>
        <v>46243</v>
      </c>
      <c r="C473" s="9" t="str">
        <f>fact_kpi_weekly!C473</f>
        <v>Growth</v>
      </c>
      <c r="D473" s="9" t="str">
        <f>fact_kpi_weekly!D473</f>
        <v>Total Activations</v>
      </c>
      <c r="E473" s="9" t="str">
        <f>fact_kpi_weekly!E473</f>
        <v>Forecast</v>
      </c>
      <c r="F473" s="9" t="str">
        <f>IF(fact_kpi_weekly!F473="","",fact_kpi_weekly!F473)</f>
        <v>Projection</v>
      </c>
      <c r="G473" s="9" t="str">
        <f>fact_kpi_weekly!G473</f>
        <v>N/A</v>
      </c>
      <c r="H473" s="9" t="str">
        <f>fact_kpi_weekly!H473</f>
        <v>Luke</v>
      </c>
      <c r="I473" s="9">
        <f>fact_kpi_weekly!I473</f>
        <v>314</v>
      </c>
      <c r="J473" s="22">
        <f>fact_kpi_weekly!J473</f>
        <v>314</v>
      </c>
      <c r="K473" s="20" t="str">
        <f t="array" ref="K473">IFERROR(INDEX(dim_date!H:H,MATCH(A473,dim_date!A:A,0)),"")</f>
        <v>Aug</v>
      </c>
      <c r="L473" s="20" t="str">
        <f t="array" ref="L473">IFERROR(INDEX(dim_date!G:G,MATCH(A473,dim_date!A:A,0)),"")</f>
        <v>08</v>
      </c>
      <c r="M473" s="9" t="str">
        <f t="array" ref="M473">IFERROR(INDEX(dim_date!I:I,MATCH(A473,dim_date!A:A,0)),"")</f>
        <v>Q3</v>
      </c>
      <c r="N473" s="20" t="str">
        <f t="array" ref="N473">IFERROR(INDEX(dim_date!K:K,MATCH(A473,dim_date!A:A,0)),"")</f>
        <v>33</v>
      </c>
      <c r="O473" s="9" t="str">
        <f t="array" ref="O473">IFERROR(INDEX(dim_date!F:F,MATCH(A473,dim_date!A:A,0)),"")</f>
        <v>8/9-8/15</v>
      </c>
      <c r="P473" s="9" t="str">
        <f t="array" ref="P473">IFERROR(INDEX(dim_kpi!E:E,MATCH(D473,dim_kpi!C:C,0)),"")</f>
        <v>count</v>
      </c>
      <c r="Q473" s="9" t="str">
        <f t="array" ref="Q473">IFERROR(INDEX(dim_kpi!F:F,MATCH(D473,dim_kpi!C:C,0)),"")</f>
        <v>N</v>
      </c>
    </row>
    <row r="474" ht="12.75" customHeight="1">
      <c r="A474" s="20" t="str">
        <f>fact_kpi_weekly!A474</f>
        <v>260816</v>
      </c>
      <c r="B474" s="21">
        <f>fact_kpi_weekly!B474</f>
        <v>46250</v>
      </c>
      <c r="C474" s="9" t="str">
        <f>fact_kpi_weekly!C474</f>
        <v>Growth</v>
      </c>
      <c r="D474" s="9" t="str">
        <f>fact_kpi_weekly!D474</f>
        <v>Total Activations</v>
      </c>
      <c r="E474" s="9" t="str">
        <f>fact_kpi_weekly!E474</f>
        <v>Forecast</v>
      </c>
      <c r="F474" s="9" t="str">
        <f>IF(fact_kpi_weekly!F474="","",fact_kpi_weekly!F474)</f>
        <v>Projection</v>
      </c>
      <c r="G474" s="9" t="str">
        <f>fact_kpi_weekly!G474</f>
        <v>N/A</v>
      </c>
      <c r="H474" s="9" t="str">
        <f>fact_kpi_weekly!H474</f>
        <v>Luke</v>
      </c>
      <c r="I474" s="9">
        <f>fact_kpi_weekly!I474</f>
        <v>292</v>
      </c>
      <c r="J474" s="22">
        <f>fact_kpi_weekly!J474</f>
        <v>292</v>
      </c>
      <c r="K474" s="20" t="str">
        <f t="array" ref="K474">IFERROR(INDEX(dim_date!H:H,MATCH(A474,dim_date!A:A,0)),"")</f>
        <v>Aug</v>
      </c>
      <c r="L474" s="20" t="str">
        <f t="array" ref="L474">IFERROR(INDEX(dim_date!G:G,MATCH(A474,dim_date!A:A,0)),"")</f>
        <v>08</v>
      </c>
      <c r="M474" s="9" t="str">
        <f t="array" ref="M474">IFERROR(INDEX(dim_date!I:I,MATCH(A474,dim_date!A:A,0)),"")</f>
        <v>Q3</v>
      </c>
      <c r="N474" s="20" t="str">
        <f t="array" ref="N474">IFERROR(INDEX(dim_date!K:K,MATCH(A474,dim_date!A:A,0)),"")</f>
        <v>34</v>
      </c>
      <c r="O474" s="9" t="str">
        <f t="array" ref="O474">IFERROR(INDEX(dim_date!F:F,MATCH(A474,dim_date!A:A,0)),"")</f>
        <v>8/16-8/22</v>
      </c>
      <c r="P474" s="9" t="str">
        <f t="array" ref="P474">IFERROR(INDEX(dim_kpi!E:E,MATCH(D474,dim_kpi!C:C,0)),"")</f>
        <v>count</v>
      </c>
      <c r="Q474" s="9" t="str">
        <f t="array" ref="Q474">IFERROR(INDEX(dim_kpi!F:F,MATCH(D474,dim_kpi!C:C,0)),"")</f>
        <v>N</v>
      </c>
    </row>
    <row r="475" ht="12.75" customHeight="1">
      <c r="A475" s="20" t="str">
        <f>fact_kpi_weekly!A475</f>
        <v>260823</v>
      </c>
      <c r="B475" s="21">
        <f>fact_kpi_weekly!B475</f>
        <v>46257</v>
      </c>
      <c r="C475" s="9" t="str">
        <f>fact_kpi_weekly!C475</f>
        <v>Growth</v>
      </c>
      <c r="D475" s="9" t="str">
        <f>fact_kpi_weekly!D475</f>
        <v>Total Activations</v>
      </c>
      <c r="E475" s="9" t="str">
        <f>fact_kpi_weekly!E475</f>
        <v>Forecast</v>
      </c>
      <c r="F475" s="9" t="str">
        <f>IF(fact_kpi_weekly!F475="","",fact_kpi_weekly!F475)</f>
        <v>Projection</v>
      </c>
      <c r="G475" s="9" t="str">
        <f>fact_kpi_weekly!G475</f>
        <v>N/A</v>
      </c>
      <c r="H475" s="9" t="str">
        <f>fact_kpi_weekly!H475</f>
        <v>Luke</v>
      </c>
      <c r="I475" s="9">
        <f>fact_kpi_weekly!I475</f>
        <v>289</v>
      </c>
      <c r="J475" s="22">
        <f>fact_kpi_weekly!J475</f>
        <v>289</v>
      </c>
      <c r="K475" s="20" t="str">
        <f t="array" ref="K475">IFERROR(INDEX(dim_date!H:H,MATCH(A475,dim_date!A:A,0)),"")</f>
        <v>Aug</v>
      </c>
      <c r="L475" s="20" t="str">
        <f t="array" ref="L475">IFERROR(INDEX(dim_date!G:G,MATCH(A475,dim_date!A:A,0)),"")</f>
        <v>08</v>
      </c>
      <c r="M475" s="9" t="str">
        <f t="array" ref="M475">IFERROR(INDEX(dim_date!I:I,MATCH(A475,dim_date!A:A,0)),"")</f>
        <v>Q3</v>
      </c>
      <c r="N475" s="20" t="str">
        <f t="array" ref="N475">IFERROR(INDEX(dim_date!K:K,MATCH(A475,dim_date!A:A,0)),"")</f>
        <v>35</v>
      </c>
      <c r="O475" s="9" t="str">
        <f t="array" ref="O475">IFERROR(INDEX(dim_date!F:F,MATCH(A475,dim_date!A:A,0)),"")</f>
        <v>8/23-8/29</v>
      </c>
      <c r="P475" s="9" t="str">
        <f t="array" ref="P475">IFERROR(INDEX(dim_kpi!E:E,MATCH(D475,dim_kpi!C:C,0)),"")</f>
        <v>count</v>
      </c>
      <c r="Q475" s="9" t="str">
        <f t="array" ref="Q475">IFERROR(INDEX(dim_kpi!F:F,MATCH(D475,dim_kpi!C:C,0)),"")</f>
        <v>N</v>
      </c>
    </row>
    <row r="476" ht="12.75" customHeight="1">
      <c r="A476" s="20" t="str">
        <f>fact_kpi_weekly!A476</f>
        <v>260830</v>
      </c>
      <c r="B476" s="21">
        <f>fact_kpi_weekly!B476</f>
        <v>46264</v>
      </c>
      <c r="C476" s="9" t="str">
        <f>fact_kpi_weekly!C476</f>
        <v>Growth</v>
      </c>
      <c r="D476" s="9" t="str">
        <f>fact_kpi_weekly!D476</f>
        <v>Total Activations</v>
      </c>
      <c r="E476" s="9" t="str">
        <f>fact_kpi_weekly!E476</f>
        <v>Forecast</v>
      </c>
      <c r="F476" s="9" t="str">
        <f>IF(fact_kpi_weekly!F476="","",fact_kpi_weekly!F476)</f>
        <v>Projection</v>
      </c>
      <c r="G476" s="9" t="str">
        <f>fact_kpi_weekly!G476</f>
        <v>N/A</v>
      </c>
      <c r="H476" s="9" t="str">
        <f>fact_kpi_weekly!H476</f>
        <v>Luke</v>
      </c>
      <c r="I476" s="9">
        <f>fact_kpi_weekly!I476</f>
        <v>332</v>
      </c>
      <c r="J476" s="22">
        <f>fact_kpi_weekly!J476</f>
        <v>332</v>
      </c>
      <c r="K476" s="20" t="str">
        <f t="array" ref="K476">IFERROR(INDEX(dim_date!H:H,MATCH(A476,dim_date!A:A,0)),"")</f>
        <v>Aug</v>
      </c>
      <c r="L476" s="20" t="str">
        <f t="array" ref="L476">IFERROR(INDEX(dim_date!G:G,MATCH(A476,dim_date!A:A,0)),"")</f>
        <v>08</v>
      </c>
      <c r="M476" s="9" t="str">
        <f t="array" ref="M476">IFERROR(INDEX(dim_date!I:I,MATCH(A476,dim_date!A:A,0)),"")</f>
        <v>Q3</v>
      </c>
      <c r="N476" s="20" t="str">
        <f t="array" ref="N476">IFERROR(INDEX(dim_date!K:K,MATCH(A476,dim_date!A:A,0)),"")</f>
        <v>36</v>
      </c>
      <c r="O476" s="9" t="str">
        <f t="array" ref="O476">IFERROR(INDEX(dim_date!F:F,MATCH(A476,dim_date!A:A,0)),"")</f>
        <v>8/30-9/5</v>
      </c>
      <c r="P476" s="9" t="str">
        <f t="array" ref="P476">IFERROR(INDEX(dim_kpi!E:E,MATCH(D476,dim_kpi!C:C,0)),"")</f>
        <v>count</v>
      </c>
      <c r="Q476" s="9" t="str">
        <f t="array" ref="Q476">IFERROR(INDEX(dim_kpi!F:F,MATCH(D476,dim_kpi!C:C,0)),"")</f>
        <v>N</v>
      </c>
    </row>
    <row r="477" ht="12.75" customHeight="1">
      <c r="A477" s="20" t="str">
        <f>fact_kpi_weekly!A477</f>
        <v>260906</v>
      </c>
      <c r="B477" s="21">
        <f>fact_kpi_weekly!B477</f>
        <v>46271</v>
      </c>
      <c r="C477" s="9" t="str">
        <f>fact_kpi_weekly!C477</f>
        <v>Growth</v>
      </c>
      <c r="D477" s="9" t="str">
        <f>fact_kpi_weekly!D477</f>
        <v>Total Activations</v>
      </c>
      <c r="E477" s="9" t="str">
        <f>fact_kpi_weekly!E477</f>
        <v>Forecast</v>
      </c>
      <c r="F477" s="9" t="str">
        <f>IF(fact_kpi_weekly!F477="","",fact_kpi_weekly!F477)</f>
        <v>Projection</v>
      </c>
      <c r="G477" s="9" t="str">
        <f>fact_kpi_weekly!G477</f>
        <v>N/A</v>
      </c>
      <c r="H477" s="9" t="str">
        <f>fact_kpi_weekly!H477</f>
        <v>Luke</v>
      </c>
      <c r="I477" s="9">
        <f>fact_kpi_weekly!I477</f>
        <v>373</v>
      </c>
      <c r="J477" s="22">
        <f>fact_kpi_weekly!J477</f>
        <v>373</v>
      </c>
      <c r="K477" s="20" t="str">
        <f t="array" ref="K477">IFERROR(INDEX(dim_date!H:H,MATCH(A477,dim_date!A:A,0)),"")</f>
        <v>Sep</v>
      </c>
      <c r="L477" s="20" t="str">
        <f t="array" ref="L477">IFERROR(INDEX(dim_date!G:G,MATCH(A477,dim_date!A:A,0)),"")</f>
        <v>09</v>
      </c>
      <c r="M477" s="9" t="str">
        <f t="array" ref="M477">IFERROR(INDEX(dim_date!I:I,MATCH(A477,dim_date!A:A,0)),"")</f>
        <v>Q3</v>
      </c>
      <c r="N477" s="20" t="str">
        <f t="array" ref="N477">IFERROR(INDEX(dim_date!K:K,MATCH(A477,dim_date!A:A,0)),"")</f>
        <v>37</v>
      </c>
      <c r="O477" s="9" t="str">
        <f t="array" ref="O477">IFERROR(INDEX(dim_date!F:F,MATCH(A477,dim_date!A:A,0)),"")</f>
        <v>9/6-9/12</v>
      </c>
      <c r="P477" s="9" t="str">
        <f t="array" ref="P477">IFERROR(INDEX(dim_kpi!E:E,MATCH(D477,dim_kpi!C:C,0)),"")</f>
        <v>count</v>
      </c>
      <c r="Q477" s="9" t="str">
        <f t="array" ref="Q477">IFERROR(INDEX(dim_kpi!F:F,MATCH(D477,dim_kpi!C:C,0)),"")</f>
        <v>N</v>
      </c>
    </row>
    <row r="478" ht="12.75" customHeight="1">
      <c r="A478" s="20" t="str">
        <f>fact_kpi_weekly!A478</f>
        <v>260913</v>
      </c>
      <c r="B478" s="21">
        <f>fact_kpi_weekly!B478</f>
        <v>46278</v>
      </c>
      <c r="C478" s="9" t="str">
        <f>fact_kpi_weekly!C478</f>
        <v>Growth</v>
      </c>
      <c r="D478" s="9" t="str">
        <f>fact_kpi_weekly!D478</f>
        <v>Total Activations</v>
      </c>
      <c r="E478" s="9" t="str">
        <f>fact_kpi_weekly!E478</f>
        <v>Forecast</v>
      </c>
      <c r="F478" s="9" t="str">
        <f>IF(fact_kpi_weekly!F478="","",fact_kpi_weekly!F478)</f>
        <v>Projection</v>
      </c>
      <c r="G478" s="9" t="str">
        <f>fact_kpi_weekly!G478</f>
        <v>N/A</v>
      </c>
      <c r="H478" s="9" t="str">
        <f>fact_kpi_weekly!H478</f>
        <v>Luke</v>
      </c>
      <c r="I478" s="9">
        <f>fact_kpi_weekly!I478</f>
        <v>337</v>
      </c>
      <c r="J478" s="22">
        <f>fact_kpi_weekly!J478</f>
        <v>337</v>
      </c>
      <c r="K478" s="20" t="str">
        <f t="array" ref="K478">IFERROR(INDEX(dim_date!H:H,MATCH(A478,dim_date!A:A,0)),"")</f>
        <v>Sep</v>
      </c>
      <c r="L478" s="20" t="str">
        <f t="array" ref="L478">IFERROR(INDEX(dim_date!G:G,MATCH(A478,dim_date!A:A,0)),"")</f>
        <v>09</v>
      </c>
      <c r="M478" s="9" t="str">
        <f t="array" ref="M478">IFERROR(INDEX(dim_date!I:I,MATCH(A478,dim_date!A:A,0)),"")</f>
        <v>Q3</v>
      </c>
      <c r="N478" s="20" t="str">
        <f t="array" ref="N478">IFERROR(INDEX(dim_date!K:K,MATCH(A478,dim_date!A:A,0)),"")</f>
        <v>38</v>
      </c>
      <c r="O478" s="9" t="str">
        <f t="array" ref="O478">IFERROR(INDEX(dim_date!F:F,MATCH(A478,dim_date!A:A,0)),"")</f>
        <v>9/13-9/19</v>
      </c>
      <c r="P478" s="9" t="str">
        <f t="array" ref="P478">IFERROR(INDEX(dim_kpi!E:E,MATCH(D478,dim_kpi!C:C,0)),"")</f>
        <v>count</v>
      </c>
      <c r="Q478" s="9" t="str">
        <f t="array" ref="Q478">IFERROR(INDEX(dim_kpi!F:F,MATCH(D478,dim_kpi!C:C,0)),"")</f>
        <v>N</v>
      </c>
    </row>
    <row r="479" ht="12.75" customHeight="1">
      <c r="A479" s="20" t="str">
        <f>fact_kpi_weekly!A479</f>
        <v>260920</v>
      </c>
      <c r="B479" s="21">
        <f>fact_kpi_weekly!B479</f>
        <v>46285</v>
      </c>
      <c r="C479" s="9" t="str">
        <f>fact_kpi_weekly!C479</f>
        <v>Growth</v>
      </c>
      <c r="D479" s="9" t="str">
        <f>fact_kpi_weekly!D479</f>
        <v>Total Activations</v>
      </c>
      <c r="E479" s="9" t="str">
        <f>fact_kpi_weekly!E479</f>
        <v>Forecast</v>
      </c>
      <c r="F479" s="9" t="str">
        <f>IF(fact_kpi_weekly!F479="","",fact_kpi_weekly!F479)</f>
        <v>Projection</v>
      </c>
      <c r="G479" s="9" t="str">
        <f>fact_kpi_weekly!G479</f>
        <v>N/A</v>
      </c>
      <c r="H479" s="9" t="str">
        <f>fact_kpi_weekly!H479</f>
        <v>Luke</v>
      </c>
      <c r="I479" s="9">
        <f>fact_kpi_weekly!I479</f>
        <v>354</v>
      </c>
      <c r="J479" s="22">
        <f>fact_kpi_weekly!J479</f>
        <v>354</v>
      </c>
      <c r="K479" s="20" t="str">
        <f t="array" ref="K479">IFERROR(INDEX(dim_date!H:H,MATCH(A479,dim_date!A:A,0)),"")</f>
        <v>Sep</v>
      </c>
      <c r="L479" s="20" t="str">
        <f t="array" ref="L479">IFERROR(INDEX(dim_date!G:G,MATCH(A479,dim_date!A:A,0)),"")</f>
        <v>09</v>
      </c>
      <c r="M479" s="9" t="str">
        <f t="array" ref="M479">IFERROR(INDEX(dim_date!I:I,MATCH(A479,dim_date!A:A,0)),"")</f>
        <v>Q3</v>
      </c>
      <c r="N479" s="20" t="str">
        <f t="array" ref="N479">IFERROR(INDEX(dim_date!K:K,MATCH(A479,dim_date!A:A,0)),"")</f>
        <v>39</v>
      </c>
      <c r="O479" s="9" t="str">
        <f t="array" ref="O479">IFERROR(INDEX(dim_date!F:F,MATCH(A479,dim_date!A:A,0)),"")</f>
        <v>9/20-9/26</v>
      </c>
      <c r="P479" s="9" t="str">
        <f t="array" ref="P479">IFERROR(INDEX(dim_kpi!E:E,MATCH(D479,dim_kpi!C:C,0)),"")</f>
        <v>count</v>
      </c>
      <c r="Q479" s="9" t="str">
        <f t="array" ref="Q479">IFERROR(INDEX(dim_kpi!F:F,MATCH(D479,dim_kpi!C:C,0)),"")</f>
        <v>N</v>
      </c>
    </row>
    <row r="480" ht="12.75" customHeight="1">
      <c r="A480" s="20" t="str">
        <f>fact_kpi_weekly!A480</f>
        <v>260927</v>
      </c>
      <c r="B480" s="21">
        <f>fact_kpi_weekly!B480</f>
        <v>46292</v>
      </c>
      <c r="C480" s="9" t="str">
        <f>fact_kpi_weekly!C480</f>
        <v>Growth</v>
      </c>
      <c r="D480" s="9" t="str">
        <f>fact_kpi_weekly!D480</f>
        <v>Total Activations</v>
      </c>
      <c r="E480" s="9" t="str">
        <f>fact_kpi_weekly!E480</f>
        <v>Forecast</v>
      </c>
      <c r="F480" s="9" t="str">
        <f>IF(fact_kpi_weekly!F480="","",fact_kpi_weekly!F480)</f>
        <v>Projection</v>
      </c>
      <c r="G480" s="9" t="str">
        <f>fact_kpi_weekly!G480</f>
        <v>N/A</v>
      </c>
      <c r="H480" s="9" t="str">
        <f>fact_kpi_weekly!H480</f>
        <v>Luke</v>
      </c>
      <c r="I480" s="9">
        <f>fact_kpi_weekly!I480</f>
        <v>335</v>
      </c>
      <c r="J480" s="22">
        <f>fact_kpi_weekly!J480</f>
        <v>335</v>
      </c>
      <c r="K480" s="20" t="str">
        <f t="array" ref="K480">IFERROR(INDEX(dim_date!H:H,MATCH(A480,dim_date!A:A,0)),"")</f>
        <v>Sep</v>
      </c>
      <c r="L480" s="20" t="str">
        <f t="array" ref="L480">IFERROR(INDEX(dim_date!G:G,MATCH(A480,dim_date!A:A,0)),"")</f>
        <v>09</v>
      </c>
      <c r="M480" s="9" t="str">
        <f t="array" ref="M480">IFERROR(INDEX(dim_date!I:I,MATCH(A480,dim_date!A:A,0)),"")</f>
        <v>Q3</v>
      </c>
      <c r="N480" s="20" t="str">
        <f t="array" ref="N480">IFERROR(INDEX(dim_date!K:K,MATCH(A480,dim_date!A:A,0)),"")</f>
        <v>40</v>
      </c>
      <c r="O480" s="9" t="str">
        <f t="array" ref="O480">IFERROR(INDEX(dim_date!F:F,MATCH(A480,dim_date!A:A,0)),"")</f>
        <v>9/27-10/3</v>
      </c>
      <c r="P480" s="9" t="str">
        <f t="array" ref="P480">IFERROR(INDEX(dim_kpi!E:E,MATCH(D480,dim_kpi!C:C,0)),"")</f>
        <v>count</v>
      </c>
      <c r="Q480" s="9" t="str">
        <f t="array" ref="Q480">IFERROR(INDEX(dim_kpi!F:F,MATCH(D480,dim_kpi!C:C,0)),"")</f>
        <v>N</v>
      </c>
    </row>
    <row r="481" ht="12.75" customHeight="1">
      <c r="A481" s="20" t="str">
        <f>fact_kpi_weekly!A481</f>
        <v>261004</v>
      </c>
      <c r="B481" s="21">
        <f>fact_kpi_weekly!B481</f>
        <v>46299</v>
      </c>
      <c r="C481" s="9" t="str">
        <f>fact_kpi_weekly!C481</f>
        <v>Growth</v>
      </c>
      <c r="D481" s="9" t="str">
        <f>fact_kpi_weekly!D481</f>
        <v>Total Activations</v>
      </c>
      <c r="E481" s="9" t="str">
        <f>fact_kpi_weekly!E481</f>
        <v>Forecast</v>
      </c>
      <c r="F481" s="9" t="str">
        <f>IF(fact_kpi_weekly!F481="","",fact_kpi_weekly!F481)</f>
        <v>Projection</v>
      </c>
      <c r="G481" s="9" t="str">
        <f>fact_kpi_weekly!G481</f>
        <v>N/A</v>
      </c>
      <c r="H481" s="9" t="str">
        <f>fact_kpi_weekly!H481</f>
        <v>Luke</v>
      </c>
      <c r="I481" s="9">
        <f>fact_kpi_weekly!I481</f>
        <v>334</v>
      </c>
      <c r="J481" s="22">
        <f>fact_kpi_weekly!J481</f>
        <v>334</v>
      </c>
      <c r="K481" s="20" t="str">
        <f t="array" ref="K481">IFERROR(INDEX(dim_date!H:H,MATCH(A481,dim_date!A:A,0)),"")</f>
        <v>Oct</v>
      </c>
      <c r="L481" s="20" t="str">
        <f t="array" ref="L481">IFERROR(INDEX(dim_date!G:G,MATCH(A481,dim_date!A:A,0)),"")</f>
        <v>10</v>
      </c>
      <c r="M481" s="9" t="str">
        <f t="array" ref="M481">IFERROR(INDEX(dim_date!I:I,MATCH(A481,dim_date!A:A,0)),"")</f>
        <v>Q4</v>
      </c>
      <c r="N481" s="20" t="str">
        <f t="array" ref="N481">IFERROR(INDEX(dim_date!K:K,MATCH(A481,dim_date!A:A,0)),"")</f>
        <v>41</v>
      </c>
      <c r="O481" s="9" t="str">
        <f t="array" ref="O481">IFERROR(INDEX(dim_date!F:F,MATCH(A481,dim_date!A:A,0)),"")</f>
        <v>10/4-10/10</v>
      </c>
      <c r="P481" s="9" t="str">
        <f t="array" ref="P481">IFERROR(INDEX(dim_kpi!E:E,MATCH(D481,dim_kpi!C:C,0)),"")</f>
        <v>count</v>
      </c>
      <c r="Q481" s="9" t="str">
        <f t="array" ref="Q481">IFERROR(INDEX(dim_kpi!F:F,MATCH(D481,dim_kpi!C:C,0)),"")</f>
        <v>N</v>
      </c>
    </row>
    <row r="482" ht="12.75" customHeight="1">
      <c r="A482" s="20" t="str">
        <f>fact_kpi_weekly!A482</f>
        <v>261011</v>
      </c>
      <c r="B482" s="21">
        <f>fact_kpi_weekly!B482</f>
        <v>46306</v>
      </c>
      <c r="C482" s="9" t="str">
        <f>fact_kpi_weekly!C482</f>
        <v>Growth</v>
      </c>
      <c r="D482" s="9" t="str">
        <f>fact_kpi_weekly!D482</f>
        <v>Total Activations</v>
      </c>
      <c r="E482" s="9" t="str">
        <f>fact_kpi_weekly!E482</f>
        <v>Forecast</v>
      </c>
      <c r="F482" s="9" t="str">
        <f>IF(fact_kpi_weekly!F482="","",fact_kpi_weekly!F482)</f>
        <v>Projection</v>
      </c>
      <c r="G482" s="9" t="str">
        <f>fact_kpi_weekly!G482</f>
        <v>N/A</v>
      </c>
      <c r="H482" s="9" t="str">
        <f>fact_kpi_weekly!H482</f>
        <v>Luke</v>
      </c>
      <c r="I482" s="9">
        <f>fact_kpi_weekly!I482</f>
        <v>338</v>
      </c>
      <c r="J482" s="22">
        <f>fact_kpi_weekly!J482</f>
        <v>338</v>
      </c>
      <c r="K482" s="20" t="str">
        <f t="array" ref="K482">IFERROR(INDEX(dim_date!H:H,MATCH(A482,dim_date!A:A,0)),"")</f>
        <v>Oct</v>
      </c>
      <c r="L482" s="20" t="str">
        <f t="array" ref="L482">IFERROR(INDEX(dim_date!G:G,MATCH(A482,dim_date!A:A,0)),"")</f>
        <v>10</v>
      </c>
      <c r="M482" s="9" t="str">
        <f t="array" ref="M482">IFERROR(INDEX(dim_date!I:I,MATCH(A482,dim_date!A:A,0)),"")</f>
        <v>Q4</v>
      </c>
      <c r="N482" s="20" t="str">
        <f t="array" ref="N482">IFERROR(INDEX(dim_date!K:K,MATCH(A482,dim_date!A:A,0)),"")</f>
        <v>42</v>
      </c>
      <c r="O482" s="9" t="str">
        <f t="array" ref="O482">IFERROR(INDEX(dim_date!F:F,MATCH(A482,dim_date!A:A,0)),"")</f>
        <v>10/11-10/17</v>
      </c>
      <c r="P482" s="9" t="str">
        <f t="array" ref="P482">IFERROR(INDEX(dim_kpi!E:E,MATCH(D482,dim_kpi!C:C,0)),"")</f>
        <v>count</v>
      </c>
      <c r="Q482" s="9" t="str">
        <f t="array" ref="Q482">IFERROR(INDEX(dim_kpi!F:F,MATCH(D482,dim_kpi!C:C,0)),"")</f>
        <v>N</v>
      </c>
    </row>
    <row r="483" ht="12.75" customHeight="1">
      <c r="A483" s="20" t="str">
        <f>fact_kpi_weekly!A483</f>
        <v>261018</v>
      </c>
      <c r="B483" s="21">
        <f>fact_kpi_weekly!B483</f>
        <v>46313</v>
      </c>
      <c r="C483" s="9" t="str">
        <f>fact_kpi_weekly!C483</f>
        <v>Growth</v>
      </c>
      <c r="D483" s="9" t="str">
        <f>fact_kpi_weekly!D483</f>
        <v>Total Activations</v>
      </c>
      <c r="E483" s="9" t="str">
        <f>fact_kpi_weekly!E483</f>
        <v>Forecast</v>
      </c>
      <c r="F483" s="9" t="str">
        <f>IF(fact_kpi_weekly!F483="","",fact_kpi_weekly!F483)</f>
        <v>Projection</v>
      </c>
      <c r="G483" s="9" t="str">
        <f>fact_kpi_weekly!G483</f>
        <v>N/A</v>
      </c>
      <c r="H483" s="9" t="str">
        <f>fact_kpi_weekly!H483</f>
        <v>Luke</v>
      </c>
      <c r="I483" s="9">
        <f>fact_kpi_weekly!I483</f>
        <v>349</v>
      </c>
      <c r="J483" s="22">
        <f>fact_kpi_weekly!J483</f>
        <v>349</v>
      </c>
      <c r="K483" s="20" t="str">
        <f t="array" ref="K483">IFERROR(INDEX(dim_date!H:H,MATCH(A483,dim_date!A:A,0)),"")</f>
        <v>Oct</v>
      </c>
      <c r="L483" s="20" t="str">
        <f t="array" ref="L483">IFERROR(INDEX(dim_date!G:G,MATCH(A483,dim_date!A:A,0)),"")</f>
        <v>10</v>
      </c>
      <c r="M483" s="9" t="str">
        <f t="array" ref="M483">IFERROR(INDEX(dim_date!I:I,MATCH(A483,dim_date!A:A,0)),"")</f>
        <v>Q4</v>
      </c>
      <c r="N483" s="20" t="str">
        <f t="array" ref="N483">IFERROR(INDEX(dim_date!K:K,MATCH(A483,dim_date!A:A,0)),"")</f>
        <v>43</v>
      </c>
      <c r="O483" s="9" t="str">
        <f t="array" ref="O483">IFERROR(INDEX(dim_date!F:F,MATCH(A483,dim_date!A:A,0)),"")</f>
        <v>10/18-10/24</v>
      </c>
      <c r="P483" s="9" t="str">
        <f t="array" ref="P483">IFERROR(INDEX(dim_kpi!E:E,MATCH(D483,dim_kpi!C:C,0)),"")</f>
        <v>count</v>
      </c>
      <c r="Q483" s="9" t="str">
        <f t="array" ref="Q483">IFERROR(INDEX(dim_kpi!F:F,MATCH(D483,dim_kpi!C:C,0)),"")</f>
        <v>N</v>
      </c>
    </row>
    <row r="484" ht="12.75" customHeight="1">
      <c r="A484" s="20" t="str">
        <f>fact_kpi_weekly!A484</f>
        <v>261025</v>
      </c>
      <c r="B484" s="21">
        <f>fact_kpi_weekly!B484</f>
        <v>46320</v>
      </c>
      <c r="C484" s="9" t="str">
        <f>fact_kpi_weekly!C484</f>
        <v>Growth</v>
      </c>
      <c r="D484" s="9" t="str">
        <f>fact_kpi_weekly!D484</f>
        <v>Total Activations</v>
      </c>
      <c r="E484" s="9" t="str">
        <f>fact_kpi_weekly!E484</f>
        <v>Forecast</v>
      </c>
      <c r="F484" s="9" t="str">
        <f>IF(fact_kpi_weekly!F484="","",fact_kpi_weekly!F484)</f>
        <v>Projection</v>
      </c>
      <c r="G484" s="9" t="str">
        <f>fact_kpi_weekly!G484</f>
        <v>N/A</v>
      </c>
      <c r="H484" s="9" t="str">
        <f>fact_kpi_weekly!H484</f>
        <v>Luke</v>
      </c>
      <c r="I484" s="9">
        <f>fact_kpi_weekly!I484</f>
        <v>354</v>
      </c>
      <c r="J484" s="22">
        <f>fact_kpi_weekly!J484</f>
        <v>354</v>
      </c>
      <c r="K484" s="20" t="str">
        <f t="array" ref="K484">IFERROR(INDEX(dim_date!H:H,MATCH(A484,dim_date!A:A,0)),"")</f>
        <v>Oct</v>
      </c>
      <c r="L484" s="20" t="str">
        <f t="array" ref="L484">IFERROR(INDEX(dim_date!G:G,MATCH(A484,dim_date!A:A,0)),"")</f>
        <v>10</v>
      </c>
      <c r="M484" s="9" t="str">
        <f t="array" ref="M484">IFERROR(INDEX(dim_date!I:I,MATCH(A484,dim_date!A:A,0)),"")</f>
        <v>Q4</v>
      </c>
      <c r="N484" s="20" t="str">
        <f t="array" ref="N484">IFERROR(INDEX(dim_date!K:K,MATCH(A484,dim_date!A:A,0)),"")</f>
        <v>44</v>
      </c>
      <c r="O484" s="9" t="str">
        <f t="array" ref="O484">IFERROR(INDEX(dim_date!F:F,MATCH(A484,dim_date!A:A,0)),"")</f>
        <v>10/25-10/31</v>
      </c>
      <c r="P484" s="9" t="str">
        <f t="array" ref="P484">IFERROR(INDEX(dim_kpi!E:E,MATCH(D484,dim_kpi!C:C,0)),"")</f>
        <v>count</v>
      </c>
      <c r="Q484" s="9" t="str">
        <f t="array" ref="Q484">IFERROR(INDEX(dim_kpi!F:F,MATCH(D484,dim_kpi!C:C,0)),"")</f>
        <v>N</v>
      </c>
    </row>
    <row r="485" ht="12.75" customHeight="1">
      <c r="A485" s="20" t="str">
        <f>fact_kpi_weekly!A485</f>
        <v>261101</v>
      </c>
      <c r="B485" s="21">
        <f>fact_kpi_weekly!B485</f>
        <v>46327</v>
      </c>
      <c r="C485" s="9" t="str">
        <f>fact_kpi_weekly!C485</f>
        <v>Growth</v>
      </c>
      <c r="D485" s="9" t="str">
        <f>fact_kpi_weekly!D485</f>
        <v>Total Activations</v>
      </c>
      <c r="E485" s="9" t="str">
        <f>fact_kpi_weekly!E485</f>
        <v>Forecast</v>
      </c>
      <c r="F485" s="9" t="str">
        <f>IF(fact_kpi_weekly!F485="","",fact_kpi_weekly!F485)</f>
        <v>Projection</v>
      </c>
      <c r="G485" s="9" t="str">
        <f>fact_kpi_weekly!G485</f>
        <v>N/A</v>
      </c>
      <c r="H485" s="9" t="str">
        <f>fact_kpi_weekly!H485</f>
        <v>Luke</v>
      </c>
      <c r="I485" s="9">
        <f>fact_kpi_weekly!I485</f>
        <v>323</v>
      </c>
      <c r="J485" s="22">
        <f>fact_kpi_weekly!J485</f>
        <v>323</v>
      </c>
      <c r="K485" s="20" t="str">
        <f t="array" ref="K485">IFERROR(INDEX(dim_date!H:H,MATCH(A485,dim_date!A:A,0)),"")</f>
        <v>Nov</v>
      </c>
      <c r="L485" s="20" t="str">
        <f t="array" ref="L485">IFERROR(INDEX(dim_date!G:G,MATCH(A485,dim_date!A:A,0)),"")</f>
        <v>11</v>
      </c>
      <c r="M485" s="9" t="str">
        <f t="array" ref="M485">IFERROR(INDEX(dim_date!I:I,MATCH(A485,dim_date!A:A,0)),"")</f>
        <v>Q4</v>
      </c>
      <c r="N485" s="20" t="str">
        <f t="array" ref="N485">IFERROR(INDEX(dim_date!K:K,MATCH(A485,dim_date!A:A,0)),"")</f>
        <v>45</v>
      </c>
      <c r="O485" s="9" t="str">
        <f t="array" ref="O485">IFERROR(INDEX(dim_date!F:F,MATCH(A485,dim_date!A:A,0)),"")</f>
        <v>11/1-11/7</v>
      </c>
      <c r="P485" s="9" t="str">
        <f t="array" ref="P485">IFERROR(INDEX(dim_kpi!E:E,MATCH(D485,dim_kpi!C:C,0)),"")</f>
        <v>count</v>
      </c>
      <c r="Q485" s="9" t="str">
        <f t="array" ref="Q485">IFERROR(INDEX(dim_kpi!F:F,MATCH(D485,dim_kpi!C:C,0)),"")</f>
        <v>N</v>
      </c>
    </row>
    <row r="486" ht="12.75" customHeight="1">
      <c r="A486" s="20" t="str">
        <f>fact_kpi_weekly!A486</f>
        <v>261108</v>
      </c>
      <c r="B486" s="21">
        <f>fact_kpi_weekly!B486</f>
        <v>46334</v>
      </c>
      <c r="C486" s="9" t="str">
        <f>fact_kpi_weekly!C486</f>
        <v>Growth</v>
      </c>
      <c r="D486" s="9" t="str">
        <f>fact_kpi_weekly!D486</f>
        <v>Total Activations</v>
      </c>
      <c r="E486" s="9" t="str">
        <f>fact_kpi_weekly!E486</f>
        <v>Forecast</v>
      </c>
      <c r="F486" s="9" t="str">
        <f>IF(fact_kpi_weekly!F486="","",fact_kpi_weekly!F486)</f>
        <v>Projection</v>
      </c>
      <c r="G486" s="9" t="str">
        <f>fact_kpi_weekly!G486</f>
        <v>N/A</v>
      </c>
      <c r="H486" s="9" t="str">
        <f>fact_kpi_weekly!H486</f>
        <v>Luke</v>
      </c>
      <c r="I486" s="9">
        <f>fact_kpi_weekly!I486</f>
        <v>316</v>
      </c>
      <c r="J486" s="22">
        <f>fact_kpi_weekly!J486</f>
        <v>316</v>
      </c>
      <c r="K486" s="20" t="str">
        <f t="array" ref="K486">IFERROR(INDEX(dim_date!H:H,MATCH(A486,dim_date!A:A,0)),"")</f>
        <v>Nov</v>
      </c>
      <c r="L486" s="20" t="str">
        <f t="array" ref="L486">IFERROR(INDEX(dim_date!G:G,MATCH(A486,dim_date!A:A,0)),"")</f>
        <v>11</v>
      </c>
      <c r="M486" s="9" t="str">
        <f t="array" ref="M486">IFERROR(INDEX(dim_date!I:I,MATCH(A486,dim_date!A:A,0)),"")</f>
        <v>Q4</v>
      </c>
      <c r="N486" s="20" t="str">
        <f t="array" ref="N486">IFERROR(INDEX(dim_date!K:K,MATCH(A486,dim_date!A:A,0)),"")</f>
        <v>46</v>
      </c>
      <c r="O486" s="9" t="str">
        <f t="array" ref="O486">IFERROR(INDEX(dim_date!F:F,MATCH(A486,dim_date!A:A,0)),"")</f>
        <v>11/8-11/14</v>
      </c>
      <c r="P486" s="9" t="str">
        <f t="array" ref="P486">IFERROR(INDEX(dim_kpi!E:E,MATCH(D486,dim_kpi!C:C,0)),"")</f>
        <v>count</v>
      </c>
      <c r="Q486" s="9" t="str">
        <f t="array" ref="Q486">IFERROR(INDEX(dim_kpi!F:F,MATCH(D486,dim_kpi!C:C,0)),"")</f>
        <v>N</v>
      </c>
    </row>
    <row r="487" ht="12.75" customHeight="1">
      <c r="A487" s="20" t="str">
        <f>fact_kpi_weekly!A487</f>
        <v>261115</v>
      </c>
      <c r="B487" s="21">
        <f>fact_kpi_weekly!B487</f>
        <v>46341</v>
      </c>
      <c r="C487" s="9" t="str">
        <f>fact_kpi_weekly!C487</f>
        <v>Growth</v>
      </c>
      <c r="D487" s="9" t="str">
        <f>fact_kpi_weekly!D487</f>
        <v>Total Activations</v>
      </c>
      <c r="E487" s="9" t="str">
        <f>fact_kpi_weekly!E487</f>
        <v>Forecast</v>
      </c>
      <c r="F487" s="9" t="str">
        <f>IF(fact_kpi_weekly!F487="","",fact_kpi_weekly!F487)</f>
        <v>Projection</v>
      </c>
      <c r="G487" s="9" t="str">
        <f>fact_kpi_weekly!G487</f>
        <v>N/A</v>
      </c>
      <c r="H487" s="9" t="str">
        <f>fact_kpi_weekly!H487</f>
        <v>Luke</v>
      </c>
      <c r="I487" s="9">
        <f>fact_kpi_weekly!I487</f>
        <v>341</v>
      </c>
      <c r="J487" s="22">
        <f>fact_kpi_weekly!J487</f>
        <v>341</v>
      </c>
      <c r="K487" s="20" t="str">
        <f t="array" ref="K487">IFERROR(INDEX(dim_date!H:H,MATCH(A487,dim_date!A:A,0)),"")</f>
        <v>Nov</v>
      </c>
      <c r="L487" s="20" t="str">
        <f t="array" ref="L487">IFERROR(INDEX(dim_date!G:G,MATCH(A487,dim_date!A:A,0)),"")</f>
        <v>11</v>
      </c>
      <c r="M487" s="9" t="str">
        <f t="array" ref="M487">IFERROR(INDEX(dim_date!I:I,MATCH(A487,dim_date!A:A,0)),"")</f>
        <v>Q4</v>
      </c>
      <c r="N487" s="20" t="str">
        <f t="array" ref="N487">IFERROR(INDEX(dim_date!K:K,MATCH(A487,dim_date!A:A,0)),"")</f>
        <v>47</v>
      </c>
      <c r="O487" s="9" t="str">
        <f t="array" ref="O487">IFERROR(INDEX(dim_date!F:F,MATCH(A487,dim_date!A:A,0)),"")</f>
        <v>11/15-11/21</v>
      </c>
      <c r="P487" s="9" t="str">
        <f t="array" ref="P487">IFERROR(INDEX(dim_kpi!E:E,MATCH(D487,dim_kpi!C:C,0)),"")</f>
        <v>count</v>
      </c>
      <c r="Q487" s="9" t="str">
        <f t="array" ref="Q487">IFERROR(INDEX(dim_kpi!F:F,MATCH(D487,dim_kpi!C:C,0)),"")</f>
        <v>N</v>
      </c>
    </row>
    <row r="488" ht="12.75" customHeight="1">
      <c r="A488" s="20" t="str">
        <f>fact_kpi_weekly!A488</f>
        <v>261122</v>
      </c>
      <c r="B488" s="21">
        <f>fact_kpi_weekly!B488</f>
        <v>46348</v>
      </c>
      <c r="C488" s="9" t="str">
        <f>fact_kpi_weekly!C488</f>
        <v>Growth</v>
      </c>
      <c r="D488" s="9" t="str">
        <f>fact_kpi_weekly!D488</f>
        <v>Total Activations</v>
      </c>
      <c r="E488" s="9" t="str">
        <f>fact_kpi_weekly!E488</f>
        <v>Forecast</v>
      </c>
      <c r="F488" s="9" t="str">
        <f>IF(fact_kpi_weekly!F488="","",fact_kpi_weekly!F488)</f>
        <v>Projection</v>
      </c>
      <c r="G488" s="9" t="str">
        <f>fact_kpi_weekly!G488</f>
        <v>N/A</v>
      </c>
      <c r="H488" s="9" t="str">
        <f>fact_kpi_weekly!H488</f>
        <v>Luke</v>
      </c>
      <c r="I488" s="9">
        <f>fact_kpi_weekly!I488</f>
        <v>329</v>
      </c>
      <c r="J488" s="22">
        <f>fact_kpi_weekly!J488</f>
        <v>329</v>
      </c>
      <c r="K488" s="20" t="str">
        <f t="array" ref="K488">IFERROR(INDEX(dim_date!H:H,MATCH(A488,dim_date!A:A,0)),"")</f>
        <v>Nov</v>
      </c>
      <c r="L488" s="20" t="str">
        <f t="array" ref="L488">IFERROR(INDEX(dim_date!G:G,MATCH(A488,dim_date!A:A,0)),"")</f>
        <v>11</v>
      </c>
      <c r="M488" s="9" t="str">
        <f t="array" ref="M488">IFERROR(INDEX(dim_date!I:I,MATCH(A488,dim_date!A:A,0)),"")</f>
        <v>Q4</v>
      </c>
      <c r="N488" s="20" t="str">
        <f t="array" ref="N488">IFERROR(INDEX(dim_date!K:K,MATCH(A488,dim_date!A:A,0)),"")</f>
        <v>48</v>
      </c>
      <c r="O488" s="9" t="str">
        <f t="array" ref="O488">IFERROR(INDEX(dim_date!F:F,MATCH(A488,dim_date!A:A,0)),"")</f>
        <v>11/22-11/28</v>
      </c>
      <c r="P488" s="9" t="str">
        <f t="array" ref="P488">IFERROR(INDEX(dim_kpi!E:E,MATCH(D488,dim_kpi!C:C,0)),"")</f>
        <v>count</v>
      </c>
      <c r="Q488" s="9" t="str">
        <f t="array" ref="Q488">IFERROR(INDEX(dim_kpi!F:F,MATCH(D488,dim_kpi!C:C,0)),"")</f>
        <v>N</v>
      </c>
    </row>
    <row r="489" ht="12.75" customHeight="1">
      <c r="A489" s="20" t="str">
        <f>fact_kpi_weekly!A489</f>
        <v>261129</v>
      </c>
      <c r="B489" s="21">
        <f>fact_kpi_weekly!B489</f>
        <v>46355</v>
      </c>
      <c r="C489" s="9" t="str">
        <f>fact_kpi_weekly!C489</f>
        <v>Growth</v>
      </c>
      <c r="D489" s="9" t="str">
        <f>fact_kpi_weekly!D489</f>
        <v>Total Activations</v>
      </c>
      <c r="E489" s="9" t="str">
        <f>fact_kpi_weekly!E489</f>
        <v>Forecast</v>
      </c>
      <c r="F489" s="9" t="str">
        <f>IF(fact_kpi_weekly!F489="","",fact_kpi_weekly!F489)</f>
        <v>Projection</v>
      </c>
      <c r="G489" s="9" t="str">
        <f>fact_kpi_weekly!G489</f>
        <v>N/A</v>
      </c>
      <c r="H489" s="9" t="str">
        <f>fact_kpi_weekly!H489</f>
        <v>Luke</v>
      </c>
      <c r="I489" s="9">
        <f>fact_kpi_weekly!I489</f>
        <v>314</v>
      </c>
      <c r="J489" s="22">
        <f>fact_kpi_weekly!J489</f>
        <v>314</v>
      </c>
      <c r="K489" s="20" t="str">
        <f t="array" ref="K489">IFERROR(INDEX(dim_date!H:H,MATCH(A489,dim_date!A:A,0)),"")</f>
        <v>Nov</v>
      </c>
      <c r="L489" s="20" t="str">
        <f t="array" ref="L489">IFERROR(INDEX(dim_date!G:G,MATCH(A489,dim_date!A:A,0)),"")</f>
        <v>11</v>
      </c>
      <c r="M489" s="9" t="str">
        <f t="array" ref="M489">IFERROR(INDEX(dim_date!I:I,MATCH(A489,dim_date!A:A,0)),"")</f>
        <v>Q4</v>
      </c>
      <c r="N489" s="20" t="str">
        <f t="array" ref="N489">IFERROR(INDEX(dim_date!K:K,MATCH(A489,dim_date!A:A,0)),"")</f>
        <v>49</v>
      </c>
      <c r="O489" s="9" t="str">
        <f t="array" ref="O489">IFERROR(INDEX(dim_date!F:F,MATCH(A489,dim_date!A:A,0)),"")</f>
        <v>11/29-12/5</v>
      </c>
      <c r="P489" s="9" t="str">
        <f t="array" ref="P489">IFERROR(INDEX(dim_kpi!E:E,MATCH(D489,dim_kpi!C:C,0)),"")</f>
        <v>count</v>
      </c>
      <c r="Q489" s="9" t="str">
        <f t="array" ref="Q489">IFERROR(INDEX(dim_kpi!F:F,MATCH(D489,dim_kpi!C:C,0)),"")</f>
        <v>N</v>
      </c>
    </row>
    <row r="490" ht="12.75" customHeight="1">
      <c r="A490" s="20" t="str">
        <f>fact_kpi_weekly!A490</f>
        <v>261206</v>
      </c>
      <c r="B490" s="21">
        <f>fact_kpi_weekly!B490</f>
        <v>46362</v>
      </c>
      <c r="C490" s="9" t="str">
        <f>fact_kpi_weekly!C490</f>
        <v>Growth</v>
      </c>
      <c r="D490" s="9" t="str">
        <f>fact_kpi_weekly!D490</f>
        <v>Total Activations</v>
      </c>
      <c r="E490" s="9" t="str">
        <f>fact_kpi_weekly!E490</f>
        <v>Forecast</v>
      </c>
      <c r="F490" s="9" t="str">
        <f>IF(fact_kpi_weekly!F490="","",fact_kpi_weekly!F490)</f>
        <v>Projection</v>
      </c>
      <c r="G490" s="9" t="str">
        <f>fact_kpi_weekly!G490</f>
        <v>N/A</v>
      </c>
      <c r="H490" s="9" t="str">
        <f>fact_kpi_weekly!H490</f>
        <v>Luke</v>
      </c>
      <c r="I490" s="9">
        <f>fact_kpi_weekly!I490</f>
        <v>323</v>
      </c>
      <c r="J490" s="22">
        <f>fact_kpi_weekly!J490</f>
        <v>323</v>
      </c>
      <c r="K490" s="20" t="str">
        <f t="array" ref="K490">IFERROR(INDEX(dim_date!H:H,MATCH(A490,dim_date!A:A,0)),"")</f>
        <v>Dec</v>
      </c>
      <c r="L490" s="20" t="str">
        <f t="array" ref="L490">IFERROR(INDEX(dim_date!G:G,MATCH(A490,dim_date!A:A,0)),"")</f>
        <v>12</v>
      </c>
      <c r="M490" s="9" t="str">
        <f t="array" ref="M490">IFERROR(INDEX(dim_date!I:I,MATCH(A490,dim_date!A:A,0)),"")</f>
        <v>Q4</v>
      </c>
      <c r="N490" s="20" t="str">
        <f t="array" ref="N490">IFERROR(INDEX(dim_date!K:K,MATCH(A490,dim_date!A:A,0)),"")</f>
        <v>50</v>
      </c>
      <c r="O490" s="9" t="str">
        <f t="array" ref="O490">IFERROR(INDEX(dim_date!F:F,MATCH(A490,dim_date!A:A,0)),"")</f>
        <v>12/6-12/12</v>
      </c>
      <c r="P490" s="9" t="str">
        <f t="array" ref="P490">IFERROR(INDEX(dim_kpi!E:E,MATCH(D490,dim_kpi!C:C,0)),"")</f>
        <v>count</v>
      </c>
      <c r="Q490" s="9" t="str">
        <f t="array" ref="Q490">IFERROR(INDEX(dim_kpi!F:F,MATCH(D490,dim_kpi!C:C,0)),"")</f>
        <v>N</v>
      </c>
    </row>
    <row r="491" ht="12.75" customHeight="1">
      <c r="A491" s="20" t="str">
        <f>fact_kpi_weekly!A491</f>
        <v>261213</v>
      </c>
      <c r="B491" s="21">
        <f>fact_kpi_weekly!B491</f>
        <v>46369</v>
      </c>
      <c r="C491" s="9" t="str">
        <f>fact_kpi_weekly!C491</f>
        <v>Growth</v>
      </c>
      <c r="D491" s="9" t="str">
        <f>fact_kpi_weekly!D491</f>
        <v>Total Activations</v>
      </c>
      <c r="E491" s="9" t="str">
        <f>fact_kpi_weekly!E491</f>
        <v>Forecast</v>
      </c>
      <c r="F491" s="9" t="str">
        <f>IF(fact_kpi_weekly!F491="","",fact_kpi_weekly!F491)</f>
        <v>Projection</v>
      </c>
      <c r="G491" s="9" t="str">
        <f>fact_kpi_weekly!G491</f>
        <v>N/A</v>
      </c>
      <c r="H491" s="9" t="str">
        <f>fact_kpi_weekly!H491</f>
        <v>Luke</v>
      </c>
      <c r="I491" s="9">
        <f>fact_kpi_weekly!I491</f>
        <v>297</v>
      </c>
      <c r="J491" s="22">
        <f>fact_kpi_weekly!J491</f>
        <v>297</v>
      </c>
      <c r="K491" s="20" t="str">
        <f t="array" ref="K491">IFERROR(INDEX(dim_date!H:H,MATCH(A491,dim_date!A:A,0)),"")</f>
        <v>Dec</v>
      </c>
      <c r="L491" s="20" t="str">
        <f t="array" ref="L491">IFERROR(INDEX(dim_date!G:G,MATCH(A491,dim_date!A:A,0)),"")</f>
        <v>12</v>
      </c>
      <c r="M491" s="9" t="str">
        <f t="array" ref="M491">IFERROR(INDEX(dim_date!I:I,MATCH(A491,dim_date!A:A,0)),"")</f>
        <v>Q4</v>
      </c>
      <c r="N491" s="20" t="str">
        <f t="array" ref="N491">IFERROR(INDEX(dim_date!K:K,MATCH(A491,dim_date!A:A,0)),"")</f>
        <v>51</v>
      </c>
      <c r="O491" s="9" t="str">
        <f t="array" ref="O491">IFERROR(INDEX(dim_date!F:F,MATCH(A491,dim_date!A:A,0)),"")</f>
        <v>12/13-12/19</v>
      </c>
      <c r="P491" s="9" t="str">
        <f t="array" ref="P491">IFERROR(INDEX(dim_kpi!E:E,MATCH(D491,dim_kpi!C:C,0)),"")</f>
        <v>count</v>
      </c>
      <c r="Q491" s="9" t="str">
        <f t="array" ref="Q491">IFERROR(INDEX(dim_kpi!F:F,MATCH(D491,dim_kpi!C:C,0)),"")</f>
        <v>N</v>
      </c>
    </row>
    <row r="492" ht="12.75" customHeight="1">
      <c r="A492" s="20" t="str">
        <f>fact_kpi_weekly!A492</f>
        <v>261220</v>
      </c>
      <c r="B492" s="21">
        <f>fact_kpi_weekly!B492</f>
        <v>46376</v>
      </c>
      <c r="C492" s="9" t="str">
        <f>fact_kpi_weekly!C492</f>
        <v>Growth</v>
      </c>
      <c r="D492" s="9" t="str">
        <f>fact_kpi_weekly!D492</f>
        <v>Total Activations</v>
      </c>
      <c r="E492" s="9" t="str">
        <f>fact_kpi_weekly!E492</f>
        <v>Forecast</v>
      </c>
      <c r="F492" s="9" t="str">
        <f>IF(fact_kpi_weekly!F492="","",fact_kpi_weekly!F492)</f>
        <v>Projection</v>
      </c>
      <c r="G492" s="9" t="str">
        <f>fact_kpi_weekly!G492</f>
        <v>N/A</v>
      </c>
      <c r="H492" s="9" t="str">
        <f>fact_kpi_weekly!H492</f>
        <v>Luke</v>
      </c>
      <c r="I492" s="9">
        <f>fact_kpi_weekly!I492</f>
        <v>283</v>
      </c>
      <c r="J492" s="22">
        <f>fact_kpi_weekly!J492</f>
        <v>283</v>
      </c>
      <c r="K492" s="20" t="str">
        <f t="array" ref="K492">IFERROR(INDEX(dim_date!H:H,MATCH(A492,dim_date!A:A,0)),"")</f>
        <v>Dec</v>
      </c>
      <c r="L492" s="20" t="str">
        <f t="array" ref="L492">IFERROR(INDEX(dim_date!G:G,MATCH(A492,dim_date!A:A,0)),"")</f>
        <v>12</v>
      </c>
      <c r="M492" s="9" t="str">
        <f t="array" ref="M492">IFERROR(INDEX(dim_date!I:I,MATCH(A492,dim_date!A:A,0)),"")</f>
        <v>Q4</v>
      </c>
      <c r="N492" s="20" t="str">
        <f t="array" ref="N492">IFERROR(INDEX(dim_date!K:K,MATCH(A492,dim_date!A:A,0)),"")</f>
        <v>52</v>
      </c>
      <c r="O492" s="9" t="str">
        <f t="array" ref="O492">IFERROR(INDEX(dim_date!F:F,MATCH(A492,dim_date!A:A,0)),"")</f>
        <v>12/20-12/26</v>
      </c>
      <c r="P492" s="9" t="str">
        <f t="array" ref="P492">IFERROR(INDEX(dim_kpi!E:E,MATCH(D492,dim_kpi!C:C,0)),"")</f>
        <v>count</v>
      </c>
      <c r="Q492" s="9" t="str">
        <f t="array" ref="Q492">IFERROR(INDEX(dim_kpi!F:F,MATCH(D492,dim_kpi!C:C,0)),"")</f>
        <v>N</v>
      </c>
    </row>
    <row r="493" ht="12.75" customHeight="1">
      <c r="A493" s="20" t="str">
        <f>fact_kpi_weekly!A493</f>
        <v>261227</v>
      </c>
      <c r="B493" s="21">
        <f>fact_kpi_weekly!B493</f>
        <v>46383</v>
      </c>
      <c r="C493" s="9" t="str">
        <f>fact_kpi_weekly!C493</f>
        <v>Growth</v>
      </c>
      <c r="D493" s="9" t="str">
        <f>fact_kpi_weekly!D493</f>
        <v>Total Activations</v>
      </c>
      <c r="E493" s="9" t="str">
        <f>fact_kpi_weekly!E493</f>
        <v>Forecast</v>
      </c>
      <c r="F493" s="9" t="str">
        <f>IF(fact_kpi_weekly!F493="","",fact_kpi_weekly!F493)</f>
        <v>Projection</v>
      </c>
      <c r="G493" s="9" t="str">
        <f>fact_kpi_weekly!G493</f>
        <v>N/A</v>
      </c>
      <c r="H493" s="9" t="str">
        <f>fact_kpi_weekly!H493</f>
        <v>Luke</v>
      </c>
      <c r="I493" s="9">
        <f>fact_kpi_weekly!I493</f>
        <v>244</v>
      </c>
      <c r="J493" s="22">
        <f>fact_kpi_weekly!J493</f>
        <v>244</v>
      </c>
      <c r="K493" s="20" t="str">
        <f t="array" ref="K493">IFERROR(INDEX(dim_date!H:H,MATCH(A493,dim_date!A:A,0)),"")</f>
        <v>Dec</v>
      </c>
      <c r="L493" s="20" t="str">
        <f t="array" ref="L493">IFERROR(INDEX(dim_date!G:G,MATCH(A493,dim_date!A:A,0)),"")</f>
        <v>12</v>
      </c>
      <c r="M493" s="9" t="str">
        <f t="array" ref="M493">IFERROR(INDEX(dim_date!I:I,MATCH(A493,dim_date!A:A,0)),"")</f>
        <v>Q4</v>
      </c>
      <c r="N493" s="20" t="str">
        <f t="array" ref="N493">IFERROR(INDEX(dim_date!K:K,MATCH(A493,dim_date!A:A,0)),"")</f>
        <v>53</v>
      </c>
      <c r="O493" s="9" t="str">
        <f t="array" ref="O493">IFERROR(INDEX(dim_date!F:F,MATCH(A493,dim_date!A:A,0)),"")</f>
        <v>12/27-1/2</v>
      </c>
      <c r="P493" s="9" t="str">
        <f t="array" ref="P493">IFERROR(INDEX(dim_kpi!E:E,MATCH(D493,dim_kpi!C:C,0)),"")</f>
        <v>count</v>
      </c>
      <c r="Q493" s="9" t="str">
        <f t="array" ref="Q493">IFERROR(INDEX(dim_kpi!F:F,MATCH(D493,dim_kpi!C:C,0)),"")</f>
        <v>N</v>
      </c>
    </row>
    <row r="494" ht="12.75" customHeight="1">
      <c r="A494" s="20" t="str">
        <f>fact_kpi_weekly!A494</f>
        <v>260301</v>
      </c>
      <c r="B494" s="21">
        <f>fact_kpi_weekly!B494</f>
        <v>46082</v>
      </c>
      <c r="C494" s="9" t="str">
        <f>fact_kpi_weekly!C494</f>
        <v>Growth</v>
      </c>
      <c r="D494" s="9" t="str">
        <f>fact_kpi_weekly!D494</f>
        <v>Total Activations</v>
      </c>
      <c r="E494" s="9" t="str">
        <f>fact_kpi_weekly!E494</f>
        <v>Actual</v>
      </c>
      <c r="F494" s="9" t="str">
        <f>IF(fact_kpi_weekly!F494="","",fact_kpi_weekly!F494)</f>
        <v/>
      </c>
      <c r="G494" s="9" t="str">
        <f>fact_kpi_weekly!G494</f>
        <v>N/A</v>
      </c>
      <c r="H494" s="9" t="str">
        <f>fact_kpi_weekly!H494</f>
        <v>Luke</v>
      </c>
      <c r="I494" s="9">
        <f>fact_kpi_weekly!I494</f>
        <v>155</v>
      </c>
      <c r="J494" s="22">
        <f>fact_kpi_weekly!J494</f>
        <v>155</v>
      </c>
      <c r="K494" s="20" t="str">
        <f t="array" ref="K494">IFERROR(INDEX(dim_date!H:H,MATCH(A494,dim_date!A:A,0)),"")</f>
        <v>Mar</v>
      </c>
      <c r="L494" s="20" t="str">
        <f t="array" ref="L494">IFERROR(INDEX(dim_date!G:G,MATCH(A494,dim_date!A:A,0)),"")</f>
        <v>03</v>
      </c>
      <c r="M494" s="9" t="str">
        <f t="array" ref="M494">IFERROR(INDEX(dim_date!I:I,MATCH(A494,dim_date!A:A,0)),"")</f>
        <v>Q1</v>
      </c>
      <c r="N494" s="20" t="str">
        <f t="array" ref="N494">IFERROR(INDEX(dim_date!K:K,MATCH(A494,dim_date!A:A,0)),"")</f>
        <v>10</v>
      </c>
      <c r="O494" s="9" t="str">
        <f t="array" ref="O494">IFERROR(INDEX(dim_date!F:F,MATCH(A494,dim_date!A:A,0)),"")</f>
        <v>3/1-3/7</v>
      </c>
      <c r="P494" s="9" t="str">
        <f t="array" ref="P494">IFERROR(INDEX(dim_kpi!E:E,MATCH(D494,dim_kpi!C:C,0)),"")</f>
        <v>count</v>
      </c>
      <c r="Q494" s="9" t="str">
        <f t="array" ref="Q494">IFERROR(INDEX(dim_kpi!F:F,MATCH(D494,dim_kpi!C:C,0)),"")</f>
        <v>N</v>
      </c>
    </row>
    <row r="495" ht="12.75" customHeight="1">
      <c r="A495" s="20" t="str">
        <f>fact_kpi_weekly!A495</f>
        <v>260308</v>
      </c>
      <c r="B495" s="21">
        <f>fact_kpi_weekly!B495</f>
        <v>46089</v>
      </c>
      <c r="C495" s="9" t="str">
        <f>fact_kpi_weekly!C495</f>
        <v>Growth</v>
      </c>
      <c r="D495" s="9" t="str">
        <f>fact_kpi_weekly!D495</f>
        <v>Total Activations</v>
      </c>
      <c r="E495" s="9" t="str">
        <f>fact_kpi_weekly!E495</f>
        <v>Actual</v>
      </c>
      <c r="F495" s="9" t="str">
        <f>IF(fact_kpi_weekly!F495="","",fact_kpi_weekly!F495)</f>
        <v/>
      </c>
      <c r="G495" s="9" t="str">
        <f>fact_kpi_weekly!G495</f>
        <v>N/A</v>
      </c>
      <c r="H495" s="9" t="str">
        <f>fact_kpi_weekly!H495</f>
        <v>Luke</v>
      </c>
      <c r="I495" s="9">
        <f>fact_kpi_weekly!I495</f>
        <v>160</v>
      </c>
      <c r="J495" s="22">
        <f>fact_kpi_weekly!J495</f>
        <v>160</v>
      </c>
      <c r="K495" s="20" t="str">
        <f t="array" ref="K495">IFERROR(INDEX(dim_date!H:H,MATCH(A495,dim_date!A:A,0)),"")</f>
        <v>Mar</v>
      </c>
      <c r="L495" s="20" t="str">
        <f t="array" ref="L495">IFERROR(INDEX(dim_date!G:G,MATCH(A495,dim_date!A:A,0)),"")</f>
        <v>03</v>
      </c>
      <c r="M495" s="9" t="str">
        <f t="array" ref="M495">IFERROR(INDEX(dim_date!I:I,MATCH(A495,dim_date!A:A,0)),"")</f>
        <v>Q1</v>
      </c>
      <c r="N495" s="20" t="str">
        <f t="array" ref="N495">IFERROR(INDEX(dim_date!K:K,MATCH(A495,dim_date!A:A,0)),"")</f>
        <v>11</v>
      </c>
      <c r="O495" s="9" t="str">
        <f t="array" ref="O495">IFERROR(INDEX(dim_date!F:F,MATCH(A495,dim_date!A:A,0)),"")</f>
        <v>3/8-3/14</v>
      </c>
      <c r="P495" s="9" t="str">
        <f t="array" ref="P495">IFERROR(INDEX(dim_kpi!E:E,MATCH(D495,dim_kpi!C:C,0)),"")</f>
        <v>count</v>
      </c>
      <c r="Q495" s="9" t="str">
        <f t="array" ref="Q495">IFERROR(INDEX(dim_kpi!F:F,MATCH(D495,dim_kpi!C:C,0)),"")</f>
        <v>N</v>
      </c>
    </row>
    <row r="496" ht="12.75" customHeight="1">
      <c r="A496" s="20" t="str">
        <f>fact_kpi_weekly!A496</f>
        <v>260301</v>
      </c>
      <c r="B496" s="21">
        <f>fact_kpi_weekly!B496</f>
        <v>46082</v>
      </c>
      <c r="C496" s="9" t="str">
        <f>fact_kpi_weekly!C496</f>
        <v>Growth</v>
      </c>
      <c r="D496" s="9" t="str">
        <f>fact_kpi_weekly!D496</f>
        <v>Total Actives</v>
      </c>
      <c r="E496" s="9" t="str">
        <f>fact_kpi_weekly!E496</f>
        <v>Goal</v>
      </c>
      <c r="F496" s="9" t="str">
        <f>IF(fact_kpi_weekly!F496="","",fact_kpi_weekly!F496)</f>
        <v>Internal</v>
      </c>
      <c r="G496" s="9" t="str">
        <f>fact_kpi_weekly!G496</f>
        <v>N/A</v>
      </c>
      <c r="H496" s="9" t="str">
        <f>fact_kpi_weekly!H496</f>
        <v/>
      </c>
      <c r="I496" s="9">
        <f>fact_kpi_weekly!I496</f>
        <v>8321</v>
      </c>
      <c r="J496" s="22">
        <f>fact_kpi_weekly!J496</f>
        <v>8321</v>
      </c>
      <c r="K496" s="20" t="str">
        <f t="array" ref="K496">IFERROR(INDEX(dim_date!H:H,MATCH(A496,dim_date!A:A,0)),"")</f>
        <v>Mar</v>
      </c>
      <c r="L496" s="20" t="str">
        <f t="array" ref="L496">IFERROR(INDEX(dim_date!G:G,MATCH(A496,dim_date!A:A,0)),"")</f>
        <v>03</v>
      </c>
      <c r="M496" s="9" t="str">
        <f t="array" ref="M496">IFERROR(INDEX(dim_date!I:I,MATCH(A496,dim_date!A:A,0)),"")</f>
        <v>Q1</v>
      </c>
      <c r="N496" s="20" t="str">
        <f t="array" ref="N496">IFERROR(INDEX(dim_date!K:K,MATCH(A496,dim_date!A:A,0)),"")</f>
        <v>10</v>
      </c>
      <c r="O496" s="9" t="str">
        <f t="array" ref="O496">IFERROR(INDEX(dim_date!F:F,MATCH(A496,dim_date!A:A,0)),"")</f>
        <v>3/1-3/7</v>
      </c>
      <c r="P496" s="9" t="str">
        <f t="array" ref="P496">IFERROR(INDEX(dim_kpi!E:E,MATCH(D496,dim_kpi!C:C,0)),"")</f>
        <v>count</v>
      </c>
      <c r="Q496" s="9" t="str">
        <f t="array" ref="Q496">IFERROR(INDEX(dim_kpi!F:F,MATCH(D496,dim_kpi!C:C,0)),"")</f>
        <v>Y</v>
      </c>
    </row>
    <row r="497" ht="12.75" customHeight="1">
      <c r="A497" s="20" t="str">
        <f>fact_kpi_weekly!A497</f>
        <v>260308</v>
      </c>
      <c r="B497" s="21">
        <f>fact_kpi_weekly!B497</f>
        <v>46089</v>
      </c>
      <c r="C497" s="9" t="str">
        <f>fact_kpi_weekly!C497</f>
        <v>Growth</v>
      </c>
      <c r="D497" s="9" t="str">
        <f>fact_kpi_weekly!D497</f>
        <v>Total Actives</v>
      </c>
      <c r="E497" s="9" t="str">
        <f>fact_kpi_weekly!E497</f>
        <v>Goal</v>
      </c>
      <c r="F497" s="9" t="str">
        <f>IF(fact_kpi_weekly!F497="","",fact_kpi_weekly!F497)</f>
        <v>Internal</v>
      </c>
      <c r="G497" s="9" t="str">
        <f>fact_kpi_weekly!G497</f>
        <v>N/A</v>
      </c>
      <c r="H497" s="9" t="str">
        <f>fact_kpi_weekly!H497</f>
        <v/>
      </c>
      <c r="I497" s="9">
        <f>fact_kpi_weekly!I497</f>
        <v>8396</v>
      </c>
      <c r="J497" s="22">
        <f>fact_kpi_weekly!J497</f>
        <v>8396</v>
      </c>
      <c r="K497" s="20" t="str">
        <f t="array" ref="K497">IFERROR(INDEX(dim_date!H:H,MATCH(A497,dim_date!A:A,0)),"")</f>
        <v>Mar</v>
      </c>
      <c r="L497" s="20" t="str">
        <f t="array" ref="L497">IFERROR(INDEX(dim_date!G:G,MATCH(A497,dim_date!A:A,0)),"")</f>
        <v>03</v>
      </c>
      <c r="M497" s="9" t="str">
        <f t="array" ref="M497">IFERROR(INDEX(dim_date!I:I,MATCH(A497,dim_date!A:A,0)),"")</f>
        <v>Q1</v>
      </c>
      <c r="N497" s="20" t="str">
        <f t="array" ref="N497">IFERROR(INDEX(dim_date!K:K,MATCH(A497,dim_date!A:A,0)),"")</f>
        <v>11</v>
      </c>
      <c r="O497" s="9" t="str">
        <f t="array" ref="O497">IFERROR(INDEX(dim_date!F:F,MATCH(A497,dim_date!A:A,0)),"")</f>
        <v>3/8-3/14</v>
      </c>
      <c r="P497" s="9" t="str">
        <f t="array" ref="P497">IFERROR(INDEX(dim_kpi!E:E,MATCH(D497,dim_kpi!C:C,0)),"")</f>
        <v>count</v>
      </c>
      <c r="Q497" s="9" t="str">
        <f t="array" ref="Q497">IFERROR(INDEX(dim_kpi!F:F,MATCH(D497,dim_kpi!C:C,0)),"")</f>
        <v>Y</v>
      </c>
    </row>
    <row r="498" ht="12.75" customHeight="1">
      <c r="A498" s="20" t="str">
        <f>fact_kpi_weekly!A498</f>
        <v>260315</v>
      </c>
      <c r="B498" s="21">
        <f>fact_kpi_weekly!B498</f>
        <v>46096</v>
      </c>
      <c r="C498" s="9" t="str">
        <f>fact_kpi_weekly!C498</f>
        <v>Growth</v>
      </c>
      <c r="D498" s="9" t="str">
        <f>fact_kpi_weekly!D498</f>
        <v>Total Actives</v>
      </c>
      <c r="E498" s="9" t="str">
        <f>fact_kpi_weekly!E498</f>
        <v>Goal</v>
      </c>
      <c r="F498" s="9" t="str">
        <f>IF(fact_kpi_weekly!F498="","",fact_kpi_weekly!F498)</f>
        <v>Internal</v>
      </c>
      <c r="G498" s="9" t="str">
        <f>fact_kpi_weekly!G498</f>
        <v>N/A</v>
      </c>
      <c r="H498" s="9" t="str">
        <f>fact_kpi_weekly!H498</f>
        <v/>
      </c>
      <c r="I498" s="9">
        <f>fact_kpi_weekly!I498</f>
        <v>8471</v>
      </c>
      <c r="J498" s="22">
        <f>fact_kpi_weekly!J498</f>
        <v>8471</v>
      </c>
      <c r="K498" s="20" t="str">
        <f t="array" ref="K498">IFERROR(INDEX(dim_date!H:H,MATCH(A498,dim_date!A:A,0)),"")</f>
        <v>Mar</v>
      </c>
      <c r="L498" s="20" t="str">
        <f t="array" ref="L498">IFERROR(INDEX(dim_date!G:G,MATCH(A498,dim_date!A:A,0)),"")</f>
        <v>03</v>
      </c>
      <c r="M498" s="9" t="str">
        <f t="array" ref="M498">IFERROR(INDEX(dim_date!I:I,MATCH(A498,dim_date!A:A,0)),"")</f>
        <v>Q1</v>
      </c>
      <c r="N498" s="20" t="str">
        <f t="array" ref="N498">IFERROR(INDEX(dim_date!K:K,MATCH(A498,dim_date!A:A,0)),"")</f>
        <v>12</v>
      </c>
      <c r="O498" s="9" t="str">
        <f t="array" ref="O498">IFERROR(INDEX(dim_date!F:F,MATCH(A498,dim_date!A:A,0)),"")</f>
        <v>3/15-3/21</v>
      </c>
      <c r="P498" s="9" t="str">
        <f t="array" ref="P498">IFERROR(INDEX(dim_kpi!E:E,MATCH(D498,dim_kpi!C:C,0)),"")</f>
        <v>count</v>
      </c>
      <c r="Q498" s="9" t="str">
        <f t="array" ref="Q498">IFERROR(INDEX(dim_kpi!F:F,MATCH(D498,dim_kpi!C:C,0)),"")</f>
        <v>Y</v>
      </c>
    </row>
    <row r="499" ht="12.75" customHeight="1">
      <c r="A499" s="20" t="str">
        <f>fact_kpi_weekly!A499</f>
        <v>260322</v>
      </c>
      <c r="B499" s="21">
        <f>fact_kpi_weekly!B499</f>
        <v>46103</v>
      </c>
      <c r="C499" s="9" t="str">
        <f>fact_kpi_weekly!C499</f>
        <v>Growth</v>
      </c>
      <c r="D499" s="9" t="str">
        <f>fact_kpi_weekly!D499</f>
        <v>Total Actives</v>
      </c>
      <c r="E499" s="9" t="str">
        <f>fact_kpi_weekly!E499</f>
        <v>Goal</v>
      </c>
      <c r="F499" s="9" t="str">
        <f>IF(fact_kpi_weekly!F499="","",fact_kpi_weekly!F499)</f>
        <v>Internal</v>
      </c>
      <c r="G499" s="9" t="str">
        <f>fact_kpi_weekly!G499</f>
        <v>N/A</v>
      </c>
      <c r="H499" s="9" t="str">
        <f>fact_kpi_weekly!H499</f>
        <v/>
      </c>
      <c r="I499" s="9">
        <f>fact_kpi_weekly!I499</f>
        <v>8546</v>
      </c>
      <c r="J499" s="22">
        <f>fact_kpi_weekly!J499</f>
        <v>8546</v>
      </c>
      <c r="K499" s="20" t="str">
        <f t="array" ref="K499">IFERROR(INDEX(dim_date!H:H,MATCH(A499,dim_date!A:A,0)),"")</f>
        <v>Mar</v>
      </c>
      <c r="L499" s="20" t="str">
        <f t="array" ref="L499">IFERROR(INDEX(dim_date!G:G,MATCH(A499,dim_date!A:A,0)),"")</f>
        <v>03</v>
      </c>
      <c r="M499" s="9" t="str">
        <f t="array" ref="M499">IFERROR(INDEX(dim_date!I:I,MATCH(A499,dim_date!A:A,0)),"")</f>
        <v>Q1</v>
      </c>
      <c r="N499" s="20" t="str">
        <f t="array" ref="N499">IFERROR(INDEX(dim_date!K:K,MATCH(A499,dim_date!A:A,0)),"")</f>
        <v>13</v>
      </c>
      <c r="O499" s="9" t="str">
        <f t="array" ref="O499">IFERROR(INDEX(dim_date!F:F,MATCH(A499,dim_date!A:A,0)),"")</f>
        <v>3/22-3/28</v>
      </c>
      <c r="P499" s="9" t="str">
        <f t="array" ref="P499">IFERROR(INDEX(dim_kpi!E:E,MATCH(D499,dim_kpi!C:C,0)),"")</f>
        <v>count</v>
      </c>
      <c r="Q499" s="9" t="str">
        <f t="array" ref="Q499">IFERROR(INDEX(dim_kpi!F:F,MATCH(D499,dim_kpi!C:C,0)),"")</f>
        <v>Y</v>
      </c>
    </row>
    <row r="500" ht="12.75" customHeight="1">
      <c r="A500" s="20" t="str">
        <f>fact_kpi_weekly!A500</f>
        <v>260329</v>
      </c>
      <c r="B500" s="21">
        <f>fact_kpi_weekly!B500</f>
        <v>46110</v>
      </c>
      <c r="C500" s="9" t="str">
        <f>fact_kpi_weekly!C500</f>
        <v>Growth</v>
      </c>
      <c r="D500" s="9" t="str">
        <f>fact_kpi_weekly!D500</f>
        <v>Total Actives</v>
      </c>
      <c r="E500" s="9" t="str">
        <f>fact_kpi_weekly!E500</f>
        <v>Goal</v>
      </c>
      <c r="F500" s="9" t="str">
        <f>IF(fact_kpi_weekly!F500="","",fact_kpi_weekly!F500)</f>
        <v>Internal</v>
      </c>
      <c r="G500" s="9" t="str">
        <f>fact_kpi_weekly!G500</f>
        <v>N/A</v>
      </c>
      <c r="H500" s="9" t="str">
        <f>fact_kpi_weekly!H500</f>
        <v/>
      </c>
      <c r="I500" s="9">
        <f>fact_kpi_weekly!I500</f>
        <v>8681</v>
      </c>
      <c r="J500" s="22">
        <f>fact_kpi_weekly!J500</f>
        <v>8681</v>
      </c>
      <c r="K500" s="20" t="str">
        <f t="array" ref="K500">IFERROR(INDEX(dim_date!H:H,MATCH(A500,dim_date!A:A,0)),"")</f>
        <v>Mar</v>
      </c>
      <c r="L500" s="20" t="str">
        <f t="array" ref="L500">IFERROR(INDEX(dim_date!G:G,MATCH(A500,dim_date!A:A,0)),"")</f>
        <v>03</v>
      </c>
      <c r="M500" s="9" t="str">
        <f t="array" ref="M500">IFERROR(INDEX(dim_date!I:I,MATCH(A500,dim_date!A:A,0)),"")</f>
        <v>Q1</v>
      </c>
      <c r="N500" s="20" t="str">
        <f t="array" ref="N500">IFERROR(INDEX(dim_date!K:K,MATCH(A500,dim_date!A:A,0)),"")</f>
        <v>14</v>
      </c>
      <c r="O500" s="9" t="str">
        <f t="array" ref="O500">IFERROR(INDEX(dim_date!F:F,MATCH(A500,dim_date!A:A,0)),"")</f>
        <v>3/29-4/4</v>
      </c>
      <c r="P500" s="9" t="str">
        <f t="array" ref="P500">IFERROR(INDEX(dim_kpi!E:E,MATCH(D500,dim_kpi!C:C,0)),"")</f>
        <v>count</v>
      </c>
      <c r="Q500" s="9" t="str">
        <f t="array" ref="Q500">IFERROR(INDEX(dim_kpi!F:F,MATCH(D500,dim_kpi!C:C,0)),"")</f>
        <v>Y</v>
      </c>
    </row>
    <row r="501" ht="12.75" customHeight="1">
      <c r="A501" s="20" t="str">
        <f>fact_kpi_weekly!A501</f>
        <v>260405</v>
      </c>
      <c r="B501" s="21">
        <f>fact_kpi_weekly!B501</f>
        <v>46117</v>
      </c>
      <c r="C501" s="9" t="str">
        <f>fact_kpi_weekly!C501</f>
        <v>Growth</v>
      </c>
      <c r="D501" s="9" t="str">
        <f>fact_kpi_weekly!D501</f>
        <v>Total Actives</v>
      </c>
      <c r="E501" s="9" t="str">
        <f>fact_kpi_weekly!E501</f>
        <v>Goal</v>
      </c>
      <c r="F501" s="9" t="str">
        <f>IF(fact_kpi_weekly!F501="","",fact_kpi_weekly!F501)</f>
        <v>Internal</v>
      </c>
      <c r="G501" s="9" t="str">
        <f>fact_kpi_weekly!G501</f>
        <v>N/A</v>
      </c>
      <c r="H501" s="9" t="str">
        <f>fact_kpi_weekly!H501</f>
        <v/>
      </c>
      <c r="I501" s="9">
        <f>fact_kpi_weekly!I501</f>
        <v>8856</v>
      </c>
      <c r="J501" s="22">
        <f>fact_kpi_weekly!J501</f>
        <v>8856</v>
      </c>
      <c r="K501" s="20" t="str">
        <f t="array" ref="K501">IFERROR(INDEX(dim_date!H:H,MATCH(A501,dim_date!A:A,0)),"")</f>
        <v>Apr</v>
      </c>
      <c r="L501" s="20" t="str">
        <f t="array" ref="L501">IFERROR(INDEX(dim_date!G:G,MATCH(A501,dim_date!A:A,0)),"")</f>
        <v>04</v>
      </c>
      <c r="M501" s="9" t="str">
        <f t="array" ref="M501">IFERROR(INDEX(dim_date!I:I,MATCH(A501,dim_date!A:A,0)),"")</f>
        <v>Q2</v>
      </c>
      <c r="N501" s="20" t="str">
        <f t="array" ref="N501">IFERROR(INDEX(dim_date!K:K,MATCH(A501,dim_date!A:A,0)),"")</f>
        <v>15</v>
      </c>
      <c r="O501" s="9" t="str">
        <f t="array" ref="O501">IFERROR(INDEX(dim_date!F:F,MATCH(A501,dim_date!A:A,0)),"")</f>
        <v>4/5-4/11</v>
      </c>
      <c r="P501" s="9" t="str">
        <f t="array" ref="P501">IFERROR(INDEX(dim_kpi!E:E,MATCH(D501,dim_kpi!C:C,0)),"")</f>
        <v>count</v>
      </c>
      <c r="Q501" s="9" t="str">
        <f t="array" ref="Q501">IFERROR(INDEX(dim_kpi!F:F,MATCH(D501,dim_kpi!C:C,0)),"")</f>
        <v>Y</v>
      </c>
    </row>
    <row r="502" ht="12.75" customHeight="1">
      <c r="A502" s="20" t="str">
        <f>fact_kpi_weekly!A502</f>
        <v>260412</v>
      </c>
      <c r="B502" s="21">
        <f>fact_kpi_weekly!B502</f>
        <v>46124</v>
      </c>
      <c r="C502" s="9" t="str">
        <f>fact_kpi_weekly!C502</f>
        <v>Growth</v>
      </c>
      <c r="D502" s="9" t="str">
        <f>fact_kpi_weekly!D502</f>
        <v>Total Actives</v>
      </c>
      <c r="E502" s="9" t="str">
        <f>fact_kpi_weekly!E502</f>
        <v>Goal</v>
      </c>
      <c r="F502" s="9" t="str">
        <f>IF(fact_kpi_weekly!F502="","",fact_kpi_weekly!F502)</f>
        <v>Internal</v>
      </c>
      <c r="G502" s="9" t="str">
        <f>fact_kpi_weekly!G502</f>
        <v>N/A</v>
      </c>
      <c r="H502" s="9" t="str">
        <f>fact_kpi_weekly!H502</f>
        <v/>
      </c>
      <c r="I502" s="9">
        <f>fact_kpi_weekly!I502</f>
        <v>9031</v>
      </c>
      <c r="J502" s="22">
        <f>fact_kpi_weekly!J502</f>
        <v>9031</v>
      </c>
      <c r="K502" s="20" t="str">
        <f t="array" ref="K502">IFERROR(INDEX(dim_date!H:H,MATCH(A502,dim_date!A:A,0)),"")</f>
        <v>Apr</v>
      </c>
      <c r="L502" s="20" t="str">
        <f t="array" ref="L502">IFERROR(INDEX(dim_date!G:G,MATCH(A502,dim_date!A:A,0)),"")</f>
        <v>04</v>
      </c>
      <c r="M502" s="9" t="str">
        <f t="array" ref="M502">IFERROR(INDEX(dim_date!I:I,MATCH(A502,dim_date!A:A,0)),"")</f>
        <v>Q2</v>
      </c>
      <c r="N502" s="20" t="str">
        <f t="array" ref="N502">IFERROR(INDEX(dim_date!K:K,MATCH(A502,dim_date!A:A,0)),"")</f>
        <v>16</v>
      </c>
      <c r="O502" s="9" t="str">
        <f t="array" ref="O502">IFERROR(INDEX(dim_date!F:F,MATCH(A502,dim_date!A:A,0)),"")</f>
        <v>4/12-4/18</v>
      </c>
      <c r="P502" s="9" t="str">
        <f t="array" ref="P502">IFERROR(INDEX(dim_kpi!E:E,MATCH(D502,dim_kpi!C:C,0)),"")</f>
        <v>count</v>
      </c>
      <c r="Q502" s="9" t="str">
        <f t="array" ref="Q502">IFERROR(INDEX(dim_kpi!F:F,MATCH(D502,dim_kpi!C:C,0)),"")</f>
        <v>Y</v>
      </c>
    </row>
    <row r="503" ht="12.75" customHeight="1">
      <c r="A503" s="20" t="str">
        <f>fact_kpi_weekly!A503</f>
        <v>260419</v>
      </c>
      <c r="B503" s="21">
        <f>fact_kpi_weekly!B503</f>
        <v>46131</v>
      </c>
      <c r="C503" s="9" t="str">
        <f>fact_kpi_weekly!C503</f>
        <v>Growth</v>
      </c>
      <c r="D503" s="9" t="str">
        <f>fact_kpi_weekly!D503</f>
        <v>Total Actives</v>
      </c>
      <c r="E503" s="9" t="str">
        <f>fact_kpi_weekly!E503</f>
        <v>Goal</v>
      </c>
      <c r="F503" s="9" t="str">
        <f>IF(fact_kpi_weekly!F503="","",fact_kpi_weekly!F503)</f>
        <v>Internal</v>
      </c>
      <c r="G503" s="9" t="str">
        <f>fact_kpi_weekly!G503</f>
        <v>N/A</v>
      </c>
      <c r="H503" s="9" t="str">
        <f>fact_kpi_weekly!H503</f>
        <v/>
      </c>
      <c r="I503" s="9">
        <f>fact_kpi_weekly!I503</f>
        <v>9206</v>
      </c>
      <c r="J503" s="22">
        <f>fact_kpi_weekly!J503</f>
        <v>9206</v>
      </c>
      <c r="K503" s="20" t="str">
        <f t="array" ref="K503">IFERROR(INDEX(dim_date!H:H,MATCH(A503,dim_date!A:A,0)),"")</f>
        <v>Apr</v>
      </c>
      <c r="L503" s="20" t="str">
        <f t="array" ref="L503">IFERROR(INDEX(dim_date!G:G,MATCH(A503,dim_date!A:A,0)),"")</f>
        <v>04</v>
      </c>
      <c r="M503" s="9" t="str">
        <f t="array" ref="M503">IFERROR(INDEX(dim_date!I:I,MATCH(A503,dim_date!A:A,0)),"")</f>
        <v>Q2</v>
      </c>
      <c r="N503" s="20" t="str">
        <f t="array" ref="N503">IFERROR(INDEX(dim_date!K:K,MATCH(A503,dim_date!A:A,0)),"")</f>
        <v>17</v>
      </c>
      <c r="O503" s="9" t="str">
        <f t="array" ref="O503">IFERROR(INDEX(dim_date!F:F,MATCH(A503,dim_date!A:A,0)),"")</f>
        <v>4/19-4/25</v>
      </c>
      <c r="P503" s="9" t="str">
        <f t="array" ref="P503">IFERROR(INDEX(dim_kpi!E:E,MATCH(D503,dim_kpi!C:C,0)),"")</f>
        <v>count</v>
      </c>
      <c r="Q503" s="9" t="str">
        <f t="array" ref="Q503">IFERROR(INDEX(dim_kpi!F:F,MATCH(D503,dim_kpi!C:C,0)),"")</f>
        <v>Y</v>
      </c>
    </row>
    <row r="504" ht="12.75" customHeight="1">
      <c r="A504" s="20" t="str">
        <f>fact_kpi_weekly!A504</f>
        <v>260426</v>
      </c>
      <c r="B504" s="21">
        <f>fact_kpi_weekly!B504</f>
        <v>46138</v>
      </c>
      <c r="C504" s="9" t="str">
        <f>fact_kpi_weekly!C504</f>
        <v>Growth</v>
      </c>
      <c r="D504" s="9" t="str">
        <f>fact_kpi_weekly!D504</f>
        <v>Total Actives</v>
      </c>
      <c r="E504" s="9" t="str">
        <f>fact_kpi_weekly!E504</f>
        <v>Goal</v>
      </c>
      <c r="F504" s="9" t="str">
        <f>IF(fact_kpi_weekly!F504="","",fact_kpi_weekly!F504)</f>
        <v>Internal</v>
      </c>
      <c r="G504" s="9" t="str">
        <f>fact_kpi_weekly!G504</f>
        <v>N/A</v>
      </c>
      <c r="H504" s="9" t="str">
        <f>fact_kpi_weekly!H504</f>
        <v/>
      </c>
      <c r="I504" s="9">
        <f>fact_kpi_weekly!I504</f>
        <v>9402</v>
      </c>
      <c r="J504" s="22">
        <f>fact_kpi_weekly!J504</f>
        <v>9402</v>
      </c>
      <c r="K504" s="20" t="str">
        <f t="array" ref="K504">IFERROR(INDEX(dim_date!H:H,MATCH(A504,dim_date!A:A,0)),"")</f>
        <v>Apr</v>
      </c>
      <c r="L504" s="20" t="str">
        <f t="array" ref="L504">IFERROR(INDEX(dim_date!G:G,MATCH(A504,dim_date!A:A,0)),"")</f>
        <v>04</v>
      </c>
      <c r="M504" s="9" t="str">
        <f t="array" ref="M504">IFERROR(INDEX(dim_date!I:I,MATCH(A504,dim_date!A:A,0)),"")</f>
        <v>Q2</v>
      </c>
      <c r="N504" s="20" t="str">
        <f t="array" ref="N504">IFERROR(INDEX(dim_date!K:K,MATCH(A504,dim_date!A:A,0)),"")</f>
        <v>18</v>
      </c>
      <c r="O504" s="9" t="str">
        <f t="array" ref="O504">IFERROR(INDEX(dim_date!F:F,MATCH(A504,dim_date!A:A,0)),"")</f>
        <v>4/26-5/2</v>
      </c>
      <c r="P504" s="9" t="str">
        <f t="array" ref="P504">IFERROR(INDEX(dim_kpi!E:E,MATCH(D504,dim_kpi!C:C,0)),"")</f>
        <v>count</v>
      </c>
      <c r="Q504" s="9" t="str">
        <f t="array" ref="Q504">IFERROR(INDEX(dim_kpi!F:F,MATCH(D504,dim_kpi!C:C,0)),"")</f>
        <v>Y</v>
      </c>
    </row>
    <row r="505" ht="12.75" customHeight="1">
      <c r="A505" s="20" t="str">
        <f>fact_kpi_weekly!A505</f>
        <v>260503</v>
      </c>
      <c r="B505" s="21">
        <f>fact_kpi_weekly!B505</f>
        <v>46145</v>
      </c>
      <c r="C505" s="9" t="str">
        <f>fact_kpi_weekly!C505</f>
        <v>Growth</v>
      </c>
      <c r="D505" s="9" t="str">
        <f>fact_kpi_weekly!D505</f>
        <v>Total Actives</v>
      </c>
      <c r="E505" s="9" t="str">
        <f>fact_kpi_weekly!E505</f>
        <v>Goal</v>
      </c>
      <c r="F505" s="9" t="str">
        <f>IF(fact_kpi_weekly!F505="","",fact_kpi_weekly!F505)</f>
        <v>Internal</v>
      </c>
      <c r="G505" s="9" t="str">
        <f>fact_kpi_weekly!G505</f>
        <v>N/A</v>
      </c>
      <c r="H505" s="9" t="str">
        <f>fact_kpi_weekly!H505</f>
        <v/>
      </c>
      <c r="I505" s="9">
        <f>fact_kpi_weekly!I505</f>
        <v>9682</v>
      </c>
      <c r="J505" s="22">
        <f>fact_kpi_weekly!J505</f>
        <v>9682</v>
      </c>
      <c r="K505" s="20" t="str">
        <f t="array" ref="K505">IFERROR(INDEX(dim_date!H:H,MATCH(A505,dim_date!A:A,0)),"")</f>
        <v>May</v>
      </c>
      <c r="L505" s="20" t="str">
        <f t="array" ref="L505">IFERROR(INDEX(dim_date!G:G,MATCH(A505,dim_date!A:A,0)),"")</f>
        <v>05</v>
      </c>
      <c r="M505" s="9" t="str">
        <f t="array" ref="M505">IFERROR(INDEX(dim_date!I:I,MATCH(A505,dim_date!A:A,0)),"")</f>
        <v>Q2</v>
      </c>
      <c r="N505" s="20" t="str">
        <f t="array" ref="N505">IFERROR(INDEX(dim_date!K:K,MATCH(A505,dim_date!A:A,0)),"")</f>
        <v>19</v>
      </c>
      <c r="O505" s="9" t="str">
        <f t="array" ref="O505">IFERROR(INDEX(dim_date!F:F,MATCH(A505,dim_date!A:A,0)),"")</f>
        <v>5/3-5/9</v>
      </c>
      <c r="P505" s="9" t="str">
        <f t="array" ref="P505">IFERROR(INDEX(dim_kpi!E:E,MATCH(D505,dim_kpi!C:C,0)),"")</f>
        <v>count</v>
      </c>
      <c r="Q505" s="9" t="str">
        <f t="array" ref="Q505">IFERROR(INDEX(dim_kpi!F:F,MATCH(D505,dim_kpi!C:C,0)),"")</f>
        <v>Y</v>
      </c>
    </row>
    <row r="506" ht="12.75" customHeight="1">
      <c r="A506" s="20" t="str">
        <f>fact_kpi_weekly!A506</f>
        <v>260510</v>
      </c>
      <c r="B506" s="21">
        <f>fact_kpi_weekly!B506</f>
        <v>46152</v>
      </c>
      <c r="C506" s="9" t="str">
        <f>fact_kpi_weekly!C506</f>
        <v>Growth</v>
      </c>
      <c r="D506" s="9" t="str">
        <f>fact_kpi_weekly!D506</f>
        <v>Total Actives</v>
      </c>
      <c r="E506" s="9" t="str">
        <f>fact_kpi_weekly!E506</f>
        <v>Goal</v>
      </c>
      <c r="F506" s="9" t="str">
        <f>IF(fact_kpi_weekly!F506="","",fact_kpi_weekly!F506)</f>
        <v>Internal</v>
      </c>
      <c r="G506" s="9" t="str">
        <f>fact_kpi_weekly!G506</f>
        <v>N/A</v>
      </c>
      <c r="H506" s="9" t="str">
        <f>fact_kpi_weekly!H506</f>
        <v/>
      </c>
      <c r="I506" s="9">
        <f>fact_kpi_weekly!I506</f>
        <v>9962</v>
      </c>
      <c r="J506" s="22">
        <f>fact_kpi_weekly!J506</f>
        <v>9962</v>
      </c>
      <c r="K506" s="20" t="str">
        <f t="array" ref="K506">IFERROR(INDEX(dim_date!H:H,MATCH(A506,dim_date!A:A,0)),"")</f>
        <v>May</v>
      </c>
      <c r="L506" s="20" t="str">
        <f t="array" ref="L506">IFERROR(INDEX(dim_date!G:G,MATCH(A506,dim_date!A:A,0)),"")</f>
        <v>05</v>
      </c>
      <c r="M506" s="9" t="str">
        <f t="array" ref="M506">IFERROR(INDEX(dim_date!I:I,MATCH(A506,dim_date!A:A,0)),"")</f>
        <v>Q2</v>
      </c>
      <c r="N506" s="20" t="str">
        <f t="array" ref="N506">IFERROR(INDEX(dim_date!K:K,MATCH(A506,dim_date!A:A,0)),"")</f>
        <v>20</v>
      </c>
      <c r="O506" s="9" t="str">
        <f t="array" ref="O506">IFERROR(INDEX(dim_date!F:F,MATCH(A506,dim_date!A:A,0)),"")</f>
        <v>5/10-5/16</v>
      </c>
      <c r="P506" s="9" t="str">
        <f t="array" ref="P506">IFERROR(INDEX(dim_kpi!E:E,MATCH(D506,dim_kpi!C:C,0)),"")</f>
        <v>count</v>
      </c>
      <c r="Q506" s="9" t="str">
        <f t="array" ref="Q506">IFERROR(INDEX(dim_kpi!F:F,MATCH(D506,dim_kpi!C:C,0)),"")</f>
        <v>Y</v>
      </c>
    </row>
    <row r="507" ht="12.75" customHeight="1">
      <c r="A507" s="20" t="str">
        <f>fact_kpi_weekly!A507</f>
        <v>260517</v>
      </c>
      <c r="B507" s="21">
        <f>fact_kpi_weekly!B507</f>
        <v>46159</v>
      </c>
      <c r="C507" s="9" t="str">
        <f>fact_kpi_weekly!C507</f>
        <v>Growth</v>
      </c>
      <c r="D507" s="9" t="str">
        <f>fact_kpi_weekly!D507</f>
        <v>Total Actives</v>
      </c>
      <c r="E507" s="9" t="str">
        <f>fact_kpi_weekly!E507</f>
        <v>Goal</v>
      </c>
      <c r="F507" s="9" t="str">
        <f>IF(fact_kpi_weekly!F507="","",fact_kpi_weekly!F507)</f>
        <v>Internal</v>
      </c>
      <c r="G507" s="9" t="str">
        <f>fact_kpi_weekly!G507</f>
        <v>N/A</v>
      </c>
      <c r="H507" s="9" t="str">
        <f>fact_kpi_weekly!H507</f>
        <v/>
      </c>
      <c r="I507" s="9">
        <f>fact_kpi_weekly!I507</f>
        <v>10242</v>
      </c>
      <c r="J507" s="22">
        <f>fact_kpi_weekly!J507</f>
        <v>10242</v>
      </c>
      <c r="K507" s="20" t="str">
        <f t="array" ref="K507">IFERROR(INDEX(dim_date!H:H,MATCH(A507,dim_date!A:A,0)),"")</f>
        <v>May</v>
      </c>
      <c r="L507" s="20" t="str">
        <f t="array" ref="L507">IFERROR(INDEX(dim_date!G:G,MATCH(A507,dim_date!A:A,0)),"")</f>
        <v>05</v>
      </c>
      <c r="M507" s="9" t="str">
        <f t="array" ref="M507">IFERROR(INDEX(dim_date!I:I,MATCH(A507,dim_date!A:A,0)),"")</f>
        <v>Q2</v>
      </c>
      <c r="N507" s="20" t="str">
        <f t="array" ref="N507">IFERROR(INDEX(dim_date!K:K,MATCH(A507,dim_date!A:A,0)),"")</f>
        <v>21</v>
      </c>
      <c r="O507" s="9" t="str">
        <f t="array" ref="O507">IFERROR(INDEX(dim_date!F:F,MATCH(A507,dim_date!A:A,0)),"")</f>
        <v>5/17-5/23</v>
      </c>
      <c r="P507" s="9" t="str">
        <f t="array" ref="P507">IFERROR(INDEX(dim_kpi!E:E,MATCH(D507,dim_kpi!C:C,0)),"")</f>
        <v>count</v>
      </c>
      <c r="Q507" s="9" t="str">
        <f t="array" ref="Q507">IFERROR(INDEX(dim_kpi!F:F,MATCH(D507,dim_kpi!C:C,0)),"")</f>
        <v>Y</v>
      </c>
    </row>
    <row r="508" ht="12.75" customHeight="1">
      <c r="A508" s="20" t="str">
        <f>fact_kpi_weekly!A508</f>
        <v>260524</v>
      </c>
      <c r="B508" s="21">
        <f>fact_kpi_weekly!B508</f>
        <v>46166</v>
      </c>
      <c r="C508" s="9" t="str">
        <f>fact_kpi_weekly!C508</f>
        <v>Growth</v>
      </c>
      <c r="D508" s="9" t="str">
        <f>fact_kpi_weekly!D508</f>
        <v>Total Actives</v>
      </c>
      <c r="E508" s="9" t="str">
        <f>fact_kpi_weekly!E508</f>
        <v>Goal</v>
      </c>
      <c r="F508" s="9" t="str">
        <f>IF(fact_kpi_weekly!F508="","",fact_kpi_weekly!F508)</f>
        <v>Internal</v>
      </c>
      <c r="G508" s="9" t="str">
        <f>fact_kpi_weekly!G508</f>
        <v>N/A</v>
      </c>
      <c r="H508" s="9" t="str">
        <f>fact_kpi_weekly!H508</f>
        <v/>
      </c>
      <c r="I508" s="9">
        <f>fact_kpi_weekly!I508</f>
        <v>10466</v>
      </c>
      <c r="J508" s="22">
        <f>fact_kpi_weekly!J508</f>
        <v>10466</v>
      </c>
      <c r="K508" s="20" t="str">
        <f t="array" ref="K508">IFERROR(INDEX(dim_date!H:H,MATCH(A508,dim_date!A:A,0)),"")</f>
        <v>May</v>
      </c>
      <c r="L508" s="20" t="str">
        <f t="array" ref="L508">IFERROR(INDEX(dim_date!G:G,MATCH(A508,dim_date!A:A,0)),"")</f>
        <v>05</v>
      </c>
      <c r="M508" s="9" t="str">
        <f t="array" ref="M508">IFERROR(INDEX(dim_date!I:I,MATCH(A508,dim_date!A:A,0)),"")</f>
        <v>Q2</v>
      </c>
      <c r="N508" s="20" t="str">
        <f t="array" ref="N508">IFERROR(INDEX(dim_date!K:K,MATCH(A508,dim_date!A:A,0)),"")</f>
        <v>22</v>
      </c>
      <c r="O508" s="9" t="str">
        <f t="array" ref="O508">IFERROR(INDEX(dim_date!F:F,MATCH(A508,dim_date!A:A,0)),"")</f>
        <v>5/24-5/30</v>
      </c>
      <c r="P508" s="9" t="str">
        <f t="array" ref="P508">IFERROR(INDEX(dim_kpi!E:E,MATCH(D508,dim_kpi!C:C,0)),"")</f>
        <v>count</v>
      </c>
      <c r="Q508" s="9" t="str">
        <f t="array" ref="Q508">IFERROR(INDEX(dim_kpi!F:F,MATCH(D508,dim_kpi!C:C,0)),"")</f>
        <v>Y</v>
      </c>
    </row>
    <row r="509" ht="12.75" customHeight="1">
      <c r="A509" s="20" t="str">
        <f>fact_kpi_weekly!A509</f>
        <v>260601</v>
      </c>
      <c r="B509" s="21">
        <f>fact_kpi_weekly!B509</f>
        <v>46174</v>
      </c>
      <c r="C509" s="9" t="str">
        <f>fact_kpi_weekly!C509</f>
        <v>Growth</v>
      </c>
      <c r="D509" s="9" t="str">
        <f>fact_kpi_weekly!D509</f>
        <v>Total Actives</v>
      </c>
      <c r="E509" s="9" t="str">
        <f>fact_kpi_weekly!E509</f>
        <v>Goal</v>
      </c>
      <c r="F509" s="9" t="str">
        <f>IF(fact_kpi_weekly!F509="","",fact_kpi_weekly!F509)</f>
        <v>Internal</v>
      </c>
      <c r="G509" s="9" t="str">
        <f>fact_kpi_weekly!G509</f>
        <v>N/A</v>
      </c>
      <c r="H509" s="9" t="str">
        <f>fact_kpi_weekly!H509</f>
        <v/>
      </c>
      <c r="I509" s="9">
        <f>fact_kpi_weekly!I509</f>
        <v>10781</v>
      </c>
      <c r="J509" s="22">
        <f>fact_kpi_weekly!J509</f>
        <v>10781</v>
      </c>
      <c r="K509" s="20" t="str">
        <f t="array" ref="K509">IFERROR(INDEX(dim_date!H:H,MATCH(A509,dim_date!A:A,0)),"")</f>
        <v>Jun</v>
      </c>
      <c r="L509" s="20" t="str">
        <f t="array" ref="L509">IFERROR(INDEX(dim_date!G:G,MATCH(A509,dim_date!A:A,0)),"")</f>
        <v>06</v>
      </c>
      <c r="M509" s="9" t="str">
        <f t="array" ref="M509">IFERROR(INDEX(dim_date!I:I,MATCH(A509,dim_date!A:A,0)),"")</f>
        <v>Q2</v>
      </c>
      <c r="N509" s="20" t="str">
        <f t="array" ref="N509">IFERROR(INDEX(dim_date!K:K,MATCH(A509,dim_date!A:A,0)),"")</f>
        <v>23</v>
      </c>
      <c r="O509" s="9" t="str">
        <f t="array" ref="O509">IFERROR(INDEX(dim_date!F:F,MATCH(A509,dim_date!A:A,0)),"")</f>
        <v>5/31-6/6</v>
      </c>
      <c r="P509" s="9" t="str">
        <f t="array" ref="P509">IFERROR(INDEX(dim_kpi!E:E,MATCH(D509,dim_kpi!C:C,0)),"")</f>
        <v>count</v>
      </c>
      <c r="Q509" s="9" t="str">
        <f t="array" ref="Q509">IFERROR(INDEX(dim_kpi!F:F,MATCH(D509,dim_kpi!C:C,0)),"")</f>
        <v>Y</v>
      </c>
    </row>
    <row r="510" ht="12.75" customHeight="1">
      <c r="A510" s="20" t="str">
        <f>fact_kpi_weekly!A510</f>
        <v>260607</v>
      </c>
      <c r="B510" s="21">
        <f>fact_kpi_weekly!B510</f>
        <v>46180</v>
      </c>
      <c r="C510" s="9" t="str">
        <f>fact_kpi_weekly!C510</f>
        <v>Growth</v>
      </c>
      <c r="D510" s="9" t="str">
        <f>fact_kpi_weekly!D510</f>
        <v>Total Actives</v>
      </c>
      <c r="E510" s="9" t="str">
        <f>fact_kpi_weekly!E510</f>
        <v>Goal</v>
      </c>
      <c r="F510" s="9" t="str">
        <f>IF(fact_kpi_weekly!F510="","",fact_kpi_weekly!F510)</f>
        <v>Internal</v>
      </c>
      <c r="G510" s="9" t="str">
        <f>fact_kpi_weekly!G510</f>
        <v>N/A</v>
      </c>
      <c r="H510" s="9" t="str">
        <f>fact_kpi_weekly!H510</f>
        <v/>
      </c>
      <c r="I510" s="9">
        <f>fact_kpi_weekly!I510</f>
        <v>11096</v>
      </c>
      <c r="J510" s="22">
        <f>fact_kpi_weekly!J510</f>
        <v>11096</v>
      </c>
      <c r="K510" s="20" t="str">
        <f t="array" ref="K510">IFERROR(INDEX(dim_date!H:H,MATCH(A510,dim_date!A:A,0)),"")</f>
        <v>Jun</v>
      </c>
      <c r="L510" s="20" t="str">
        <f t="array" ref="L510">IFERROR(INDEX(dim_date!G:G,MATCH(A510,dim_date!A:A,0)),"")</f>
        <v>06</v>
      </c>
      <c r="M510" s="9" t="str">
        <f t="array" ref="M510">IFERROR(INDEX(dim_date!I:I,MATCH(A510,dim_date!A:A,0)),"")</f>
        <v>Q2</v>
      </c>
      <c r="N510" s="20" t="str">
        <f t="array" ref="N510">IFERROR(INDEX(dim_date!K:K,MATCH(A510,dim_date!A:A,0)),"")</f>
        <v>24</v>
      </c>
      <c r="O510" s="9" t="str">
        <f t="array" ref="O510">IFERROR(INDEX(dim_date!F:F,MATCH(A510,dim_date!A:A,0)),"")</f>
        <v>6/7-6/13</v>
      </c>
      <c r="P510" s="9" t="str">
        <f t="array" ref="P510">IFERROR(INDEX(dim_kpi!E:E,MATCH(D510,dim_kpi!C:C,0)),"")</f>
        <v>count</v>
      </c>
      <c r="Q510" s="9" t="str">
        <f t="array" ref="Q510">IFERROR(INDEX(dim_kpi!F:F,MATCH(D510,dim_kpi!C:C,0)),"")</f>
        <v>Y</v>
      </c>
    </row>
    <row r="511" ht="12.75" customHeight="1">
      <c r="A511" s="20" t="str">
        <f>fact_kpi_weekly!A511</f>
        <v>260614</v>
      </c>
      <c r="B511" s="21">
        <f>fact_kpi_weekly!B511</f>
        <v>46187</v>
      </c>
      <c r="C511" s="9" t="str">
        <f>fact_kpi_weekly!C511</f>
        <v>Growth</v>
      </c>
      <c r="D511" s="9" t="str">
        <f>fact_kpi_weekly!D511</f>
        <v>Total Actives</v>
      </c>
      <c r="E511" s="9" t="str">
        <f>fact_kpi_weekly!E511</f>
        <v>Goal</v>
      </c>
      <c r="F511" s="9" t="str">
        <f>IF(fact_kpi_weekly!F511="","",fact_kpi_weekly!F511)</f>
        <v>Internal</v>
      </c>
      <c r="G511" s="9" t="str">
        <f>fact_kpi_weekly!G511</f>
        <v>N/A</v>
      </c>
      <c r="H511" s="9" t="str">
        <f>fact_kpi_weekly!H511</f>
        <v/>
      </c>
      <c r="I511" s="9">
        <f>fact_kpi_weekly!I511</f>
        <v>11348</v>
      </c>
      <c r="J511" s="22">
        <f>fact_kpi_weekly!J511</f>
        <v>11348</v>
      </c>
      <c r="K511" s="20" t="str">
        <f t="array" ref="K511">IFERROR(INDEX(dim_date!H:H,MATCH(A511,dim_date!A:A,0)),"")</f>
        <v>Jun</v>
      </c>
      <c r="L511" s="20" t="str">
        <f t="array" ref="L511">IFERROR(INDEX(dim_date!G:G,MATCH(A511,dim_date!A:A,0)),"")</f>
        <v>06</v>
      </c>
      <c r="M511" s="9" t="str">
        <f t="array" ref="M511">IFERROR(INDEX(dim_date!I:I,MATCH(A511,dim_date!A:A,0)),"")</f>
        <v>Q2</v>
      </c>
      <c r="N511" s="20" t="str">
        <f t="array" ref="N511">IFERROR(INDEX(dim_date!K:K,MATCH(A511,dim_date!A:A,0)),"")</f>
        <v>25</v>
      </c>
      <c r="O511" s="9" t="str">
        <f t="array" ref="O511">IFERROR(INDEX(dim_date!F:F,MATCH(A511,dim_date!A:A,0)),"")</f>
        <v>6/14-6/20</v>
      </c>
      <c r="P511" s="9" t="str">
        <f t="array" ref="P511">IFERROR(INDEX(dim_kpi!E:E,MATCH(D511,dim_kpi!C:C,0)),"")</f>
        <v>count</v>
      </c>
      <c r="Q511" s="9" t="str">
        <f t="array" ref="Q511">IFERROR(INDEX(dim_kpi!F:F,MATCH(D511,dim_kpi!C:C,0)),"")</f>
        <v>Y</v>
      </c>
    </row>
    <row r="512" ht="12.75" customHeight="1">
      <c r="A512" s="20" t="str">
        <f>fact_kpi_weekly!A512</f>
        <v>260621</v>
      </c>
      <c r="B512" s="21">
        <f>fact_kpi_weekly!B512</f>
        <v>46194</v>
      </c>
      <c r="C512" s="9" t="str">
        <f>fact_kpi_weekly!C512</f>
        <v>Growth</v>
      </c>
      <c r="D512" s="9" t="str">
        <f>fact_kpi_weekly!D512</f>
        <v>Total Actives</v>
      </c>
      <c r="E512" s="9" t="str">
        <f>fact_kpi_weekly!E512</f>
        <v>Goal</v>
      </c>
      <c r="F512" s="9" t="str">
        <f>IF(fact_kpi_weekly!F512="","",fact_kpi_weekly!F512)</f>
        <v>Internal</v>
      </c>
      <c r="G512" s="9" t="str">
        <f>fact_kpi_weekly!G512</f>
        <v>N/A</v>
      </c>
      <c r="H512" s="9" t="str">
        <f>fact_kpi_weekly!H512</f>
        <v/>
      </c>
      <c r="I512" s="9">
        <f>fact_kpi_weekly!I512</f>
        <v>11663</v>
      </c>
      <c r="J512" s="22">
        <f>fact_kpi_weekly!J512</f>
        <v>11663</v>
      </c>
      <c r="K512" s="20" t="str">
        <f t="array" ref="K512">IFERROR(INDEX(dim_date!H:H,MATCH(A512,dim_date!A:A,0)),"")</f>
        <v>Jun</v>
      </c>
      <c r="L512" s="20" t="str">
        <f t="array" ref="L512">IFERROR(INDEX(dim_date!G:G,MATCH(A512,dim_date!A:A,0)),"")</f>
        <v>06</v>
      </c>
      <c r="M512" s="9" t="str">
        <f t="array" ref="M512">IFERROR(INDEX(dim_date!I:I,MATCH(A512,dim_date!A:A,0)),"")</f>
        <v>Q2</v>
      </c>
      <c r="N512" s="20" t="str">
        <f t="array" ref="N512">IFERROR(INDEX(dim_date!K:K,MATCH(A512,dim_date!A:A,0)),"")</f>
        <v>26</v>
      </c>
      <c r="O512" s="9" t="str">
        <f t="array" ref="O512">IFERROR(INDEX(dim_date!F:F,MATCH(A512,dim_date!A:A,0)),"")</f>
        <v>6/21-6/27</v>
      </c>
      <c r="P512" s="9" t="str">
        <f t="array" ref="P512">IFERROR(INDEX(dim_kpi!E:E,MATCH(D512,dim_kpi!C:C,0)),"")</f>
        <v>count</v>
      </c>
      <c r="Q512" s="9" t="str">
        <f t="array" ref="Q512">IFERROR(INDEX(dim_kpi!F:F,MATCH(D512,dim_kpi!C:C,0)),"")</f>
        <v>Y</v>
      </c>
    </row>
    <row r="513" ht="12.75" customHeight="1">
      <c r="A513" s="20" t="str">
        <f>fact_kpi_weekly!A513</f>
        <v>260628</v>
      </c>
      <c r="B513" s="21">
        <f>fact_kpi_weekly!B513</f>
        <v>46201</v>
      </c>
      <c r="C513" s="9" t="str">
        <f>fact_kpi_weekly!C513</f>
        <v>Growth</v>
      </c>
      <c r="D513" s="9" t="str">
        <f>fact_kpi_weekly!D513</f>
        <v>Total Actives</v>
      </c>
      <c r="E513" s="9" t="str">
        <f>fact_kpi_weekly!E513</f>
        <v>Goal</v>
      </c>
      <c r="F513" s="9" t="str">
        <f>IF(fact_kpi_weekly!F513="","",fact_kpi_weekly!F513)</f>
        <v>Internal</v>
      </c>
      <c r="G513" s="9" t="str">
        <f>fact_kpi_weekly!G513</f>
        <v>N/A</v>
      </c>
      <c r="H513" s="9" t="str">
        <f>fact_kpi_weekly!H513</f>
        <v/>
      </c>
      <c r="I513" s="9">
        <f>fact_kpi_weekly!I513</f>
        <v>11935</v>
      </c>
      <c r="J513" s="22">
        <f>fact_kpi_weekly!J513</f>
        <v>11935</v>
      </c>
      <c r="K513" s="20" t="str">
        <f t="array" ref="K513">IFERROR(INDEX(dim_date!H:H,MATCH(A513,dim_date!A:A,0)),"")</f>
        <v>Jun</v>
      </c>
      <c r="L513" s="20" t="str">
        <f t="array" ref="L513">IFERROR(INDEX(dim_date!G:G,MATCH(A513,dim_date!A:A,0)),"")</f>
        <v>06</v>
      </c>
      <c r="M513" s="9" t="str">
        <f t="array" ref="M513">IFERROR(INDEX(dim_date!I:I,MATCH(A513,dim_date!A:A,0)),"")</f>
        <v>Q2</v>
      </c>
      <c r="N513" s="20" t="str">
        <f t="array" ref="N513">IFERROR(INDEX(dim_date!K:K,MATCH(A513,dim_date!A:A,0)),"")</f>
        <v>27</v>
      </c>
      <c r="O513" s="9" t="str">
        <f t="array" ref="O513">IFERROR(INDEX(dim_date!F:F,MATCH(A513,dim_date!A:A,0)),"")</f>
        <v>6/28-7/4</v>
      </c>
      <c r="P513" s="9" t="str">
        <f t="array" ref="P513">IFERROR(INDEX(dim_kpi!E:E,MATCH(D513,dim_kpi!C:C,0)),"")</f>
        <v>count</v>
      </c>
      <c r="Q513" s="9" t="str">
        <f t="array" ref="Q513">IFERROR(INDEX(dim_kpi!F:F,MATCH(D513,dim_kpi!C:C,0)),"")</f>
        <v>Y</v>
      </c>
    </row>
    <row r="514" ht="12.75" customHeight="1">
      <c r="A514" s="20" t="str">
        <f>fact_kpi_weekly!A514</f>
        <v>260705</v>
      </c>
      <c r="B514" s="21">
        <f>fact_kpi_weekly!B514</f>
        <v>46208</v>
      </c>
      <c r="C514" s="9" t="str">
        <f>fact_kpi_weekly!C514</f>
        <v>Growth</v>
      </c>
      <c r="D514" s="9" t="str">
        <f>fact_kpi_weekly!D514</f>
        <v>Total Actives</v>
      </c>
      <c r="E514" s="9" t="str">
        <f>fact_kpi_weekly!E514</f>
        <v>Goal</v>
      </c>
      <c r="F514" s="9" t="str">
        <f>IF(fact_kpi_weekly!F514="","",fact_kpi_weekly!F514)</f>
        <v>Internal</v>
      </c>
      <c r="G514" s="9" t="str">
        <f>fact_kpi_weekly!G514</f>
        <v>N/A</v>
      </c>
      <c r="H514" s="9" t="str">
        <f>fact_kpi_weekly!H514</f>
        <v/>
      </c>
      <c r="I514" s="9">
        <f>fact_kpi_weekly!I514</f>
        <v>12300</v>
      </c>
      <c r="J514" s="22">
        <f>fact_kpi_weekly!J514</f>
        <v>12300</v>
      </c>
      <c r="K514" s="20" t="str">
        <f t="array" ref="K514">IFERROR(INDEX(dim_date!H:H,MATCH(A514,dim_date!A:A,0)),"")</f>
        <v>Jul</v>
      </c>
      <c r="L514" s="20" t="str">
        <f t="array" ref="L514">IFERROR(INDEX(dim_date!G:G,MATCH(A514,dim_date!A:A,0)),"")</f>
        <v>07</v>
      </c>
      <c r="M514" s="9" t="str">
        <f t="array" ref="M514">IFERROR(INDEX(dim_date!I:I,MATCH(A514,dim_date!A:A,0)),"")</f>
        <v>Q3</v>
      </c>
      <c r="N514" s="20" t="str">
        <f t="array" ref="N514">IFERROR(INDEX(dim_date!K:K,MATCH(A514,dim_date!A:A,0)),"")</f>
        <v>28</v>
      </c>
      <c r="O514" s="9" t="str">
        <f t="array" ref="O514">IFERROR(INDEX(dim_date!F:F,MATCH(A514,dim_date!A:A,0)),"")</f>
        <v>7/5-7/11</v>
      </c>
      <c r="P514" s="9" t="str">
        <f t="array" ref="P514">IFERROR(INDEX(dim_kpi!E:E,MATCH(D514,dim_kpi!C:C,0)),"")</f>
        <v>count</v>
      </c>
      <c r="Q514" s="9" t="str">
        <f t="array" ref="Q514">IFERROR(INDEX(dim_kpi!F:F,MATCH(D514,dim_kpi!C:C,0)),"")</f>
        <v>Y</v>
      </c>
    </row>
    <row r="515" ht="12.75" customHeight="1">
      <c r="A515" s="20" t="str">
        <f>fact_kpi_weekly!A515</f>
        <v>260712</v>
      </c>
      <c r="B515" s="21">
        <f>fact_kpi_weekly!B515</f>
        <v>46215</v>
      </c>
      <c r="C515" s="9" t="str">
        <f>fact_kpi_weekly!C515</f>
        <v>Growth</v>
      </c>
      <c r="D515" s="9" t="str">
        <f>fact_kpi_weekly!D515</f>
        <v>Total Actives</v>
      </c>
      <c r="E515" s="9" t="str">
        <f>fact_kpi_weekly!E515</f>
        <v>Goal</v>
      </c>
      <c r="F515" s="9" t="str">
        <f>IF(fact_kpi_weekly!F515="","",fact_kpi_weekly!F515)</f>
        <v>Internal</v>
      </c>
      <c r="G515" s="9" t="str">
        <f>fact_kpi_weekly!G515</f>
        <v>N/A</v>
      </c>
      <c r="H515" s="9" t="str">
        <f>fact_kpi_weekly!H515</f>
        <v/>
      </c>
      <c r="I515" s="9">
        <f>fact_kpi_weekly!I515</f>
        <v>12665</v>
      </c>
      <c r="J515" s="22">
        <f>fact_kpi_weekly!J515</f>
        <v>12665</v>
      </c>
      <c r="K515" s="20" t="str">
        <f t="array" ref="K515">IFERROR(INDEX(dim_date!H:H,MATCH(A515,dim_date!A:A,0)),"")</f>
        <v>Jul</v>
      </c>
      <c r="L515" s="20" t="str">
        <f t="array" ref="L515">IFERROR(INDEX(dim_date!G:G,MATCH(A515,dim_date!A:A,0)),"")</f>
        <v>07</v>
      </c>
      <c r="M515" s="9" t="str">
        <f t="array" ref="M515">IFERROR(INDEX(dim_date!I:I,MATCH(A515,dim_date!A:A,0)),"")</f>
        <v>Q3</v>
      </c>
      <c r="N515" s="20" t="str">
        <f t="array" ref="N515">IFERROR(INDEX(dim_date!K:K,MATCH(A515,dim_date!A:A,0)),"")</f>
        <v>29</v>
      </c>
      <c r="O515" s="9" t="str">
        <f t="array" ref="O515">IFERROR(INDEX(dim_date!F:F,MATCH(A515,dim_date!A:A,0)),"")</f>
        <v>7/12-7/18</v>
      </c>
      <c r="P515" s="9" t="str">
        <f t="array" ref="P515">IFERROR(INDEX(dim_kpi!E:E,MATCH(D515,dim_kpi!C:C,0)),"")</f>
        <v>count</v>
      </c>
      <c r="Q515" s="9" t="str">
        <f t="array" ref="Q515">IFERROR(INDEX(dim_kpi!F:F,MATCH(D515,dim_kpi!C:C,0)),"")</f>
        <v>Y</v>
      </c>
    </row>
    <row r="516" ht="12.75" customHeight="1">
      <c r="A516" s="20" t="str">
        <f>fact_kpi_weekly!A516</f>
        <v>260719</v>
      </c>
      <c r="B516" s="21">
        <f>fact_kpi_weekly!B516</f>
        <v>46222</v>
      </c>
      <c r="C516" s="9" t="str">
        <f>fact_kpi_weekly!C516</f>
        <v>Growth</v>
      </c>
      <c r="D516" s="9" t="str">
        <f>fact_kpi_weekly!D516</f>
        <v>Total Actives</v>
      </c>
      <c r="E516" s="9" t="str">
        <f>fact_kpi_weekly!E516</f>
        <v>Goal</v>
      </c>
      <c r="F516" s="9" t="str">
        <f>IF(fact_kpi_weekly!F516="","",fact_kpi_weekly!F516)</f>
        <v>Internal</v>
      </c>
      <c r="G516" s="9" t="str">
        <f>fact_kpi_weekly!G516</f>
        <v>N/A</v>
      </c>
      <c r="H516" s="9" t="str">
        <f>fact_kpi_weekly!H516</f>
        <v/>
      </c>
      <c r="I516" s="9">
        <f>fact_kpi_weekly!I516</f>
        <v>13030</v>
      </c>
      <c r="J516" s="22">
        <f>fact_kpi_weekly!J516</f>
        <v>13030</v>
      </c>
      <c r="K516" s="20" t="str">
        <f t="array" ref="K516">IFERROR(INDEX(dim_date!H:H,MATCH(A516,dim_date!A:A,0)),"")</f>
        <v>Jul</v>
      </c>
      <c r="L516" s="20" t="str">
        <f t="array" ref="L516">IFERROR(INDEX(dim_date!G:G,MATCH(A516,dim_date!A:A,0)),"")</f>
        <v>07</v>
      </c>
      <c r="M516" s="9" t="str">
        <f t="array" ref="M516">IFERROR(INDEX(dim_date!I:I,MATCH(A516,dim_date!A:A,0)),"")</f>
        <v>Q3</v>
      </c>
      <c r="N516" s="20" t="str">
        <f t="array" ref="N516">IFERROR(INDEX(dim_date!K:K,MATCH(A516,dim_date!A:A,0)),"")</f>
        <v>30</v>
      </c>
      <c r="O516" s="9" t="str">
        <f t="array" ref="O516">IFERROR(INDEX(dim_date!F:F,MATCH(A516,dim_date!A:A,0)),"")</f>
        <v>7/19-7/25</v>
      </c>
      <c r="P516" s="9" t="str">
        <f t="array" ref="P516">IFERROR(INDEX(dim_kpi!E:E,MATCH(D516,dim_kpi!C:C,0)),"")</f>
        <v>count</v>
      </c>
      <c r="Q516" s="9" t="str">
        <f t="array" ref="Q516">IFERROR(INDEX(dim_kpi!F:F,MATCH(D516,dim_kpi!C:C,0)),"")</f>
        <v>Y</v>
      </c>
    </row>
    <row r="517" ht="12.75" customHeight="1">
      <c r="A517" s="20" t="str">
        <f>fact_kpi_weekly!A517</f>
        <v>260726</v>
      </c>
      <c r="B517" s="21">
        <f>fact_kpi_weekly!B517</f>
        <v>46229</v>
      </c>
      <c r="C517" s="9" t="str">
        <f>fact_kpi_weekly!C517</f>
        <v>Growth</v>
      </c>
      <c r="D517" s="9" t="str">
        <f>fact_kpi_weekly!D517</f>
        <v>Total Actives</v>
      </c>
      <c r="E517" s="9" t="str">
        <f>fact_kpi_weekly!E517</f>
        <v>Goal</v>
      </c>
      <c r="F517" s="9" t="str">
        <f>IF(fact_kpi_weekly!F517="","",fact_kpi_weekly!F517)</f>
        <v>Internal</v>
      </c>
      <c r="G517" s="9" t="str">
        <f>fact_kpi_weekly!G517</f>
        <v>N/A</v>
      </c>
      <c r="H517" s="9" t="str">
        <f>fact_kpi_weekly!H517</f>
        <v/>
      </c>
      <c r="I517" s="9">
        <f>fact_kpi_weekly!I517</f>
        <v>13395</v>
      </c>
      <c r="J517" s="22">
        <f>fact_kpi_weekly!J517</f>
        <v>13395</v>
      </c>
      <c r="K517" s="20" t="str">
        <f t="array" ref="K517">IFERROR(INDEX(dim_date!H:H,MATCH(A517,dim_date!A:A,0)),"")</f>
        <v>Jul</v>
      </c>
      <c r="L517" s="20" t="str">
        <f t="array" ref="L517">IFERROR(INDEX(dim_date!G:G,MATCH(A517,dim_date!A:A,0)),"")</f>
        <v>07</v>
      </c>
      <c r="M517" s="9" t="str">
        <f t="array" ref="M517">IFERROR(INDEX(dim_date!I:I,MATCH(A517,dim_date!A:A,0)),"")</f>
        <v>Q3</v>
      </c>
      <c r="N517" s="20" t="str">
        <f t="array" ref="N517">IFERROR(INDEX(dim_date!K:K,MATCH(A517,dim_date!A:A,0)),"")</f>
        <v>31</v>
      </c>
      <c r="O517" s="9" t="str">
        <f t="array" ref="O517">IFERROR(INDEX(dim_date!F:F,MATCH(A517,dim_date!A:A,0)),"")</f>
        <v>7/26-8/1</v>
      </c>
      <c r="P517" s="9" t="str">
        <f t="array" ref="P517">IFERROR(INDEX(dim_kpi!E:E,MATCH(D517,dim_kpi!C:C,0)),"")</f>
        <v>count</v>
      </c>
      <c r="Q517" s="9" t="str">
        <f t="array" ref="Q517">IFERROR(INDEX(dim_kpi!F:F,MATCH(D517,dim_kpi!C:C,0)),"")</f>
        <v>Y</v>
      </c>
    </row>
    <row r="518" ht="12.75" customHeight="1">
      <c r="A518" s="20" t="str">
        <f>fact_kpi_weekly!A518</f>
        <v>260802</v>
      </c>
      <c r="B518" s="21">
        <f>fact_kpi_weekly!B518</f>
        <v>46236</v>
      </c>
      <c r="C518" s="9" t="str">
        <f>fact_kpi_weekly!C518</f>
        <v>Growth</v>
      </c>
      <c r="D518" s="9" t="str">
        <f>fact_kpi_weekly!D518</f>
        <v>Total Actives</v>
      </c>
      <c r="E518" s="9" t="str">
        <f>fact_kpi_weekly!E518</f>
        <v>Goal</v>
      </c>
      <c r="F518" s="9" t="str">
        <f>IF(fact_kpi_weekly!F518="","",fact_kpi_weekly!F518)</f>
        <v>Internal</v>
      </c>
      <c r="G518" s="9" t="str">
        <f>fact_kpi_weekly!G518</f>
        <v>N/A</v>
      </c>
      <c r="H518" s="9" t="str">
        <f>fact_kpi_weekly!H518</f>
        <v/>
      </c>
      <c r="I518" s="9">
        <f>fact_kpi_weekly!I518</f>
        <v>13805</v>
      </c>
      <c r="J518" s="22">
        <f>fact_kpi_weekly!J518</f>
        <v>13805</v>
      </c>
      <c r="K518" s="20" t="str">
        <f t="array" ref="K518">IFERROR(INDEX(dim_date!H:H,MATCH(A518,dim_date!A:A,0)),"")</f>
        <v>Aug</v>
      </c>
      <c r="L518" s="20" t="str">
        <f t="array" ref="L518">IFERROR(INDEX(dim_date!G:G,MATCH(A518,dim_date!A:A,0)),"")</f>
        <v>08</v>
      </c>
      <c r="M518" s="9" t="str">
        <f t="array" ref="M518">IFERROR(INDEX(dim_date!I:I,MATCH(A518,dim_date!A:A,0)),"")</f>
        <v>Q3</v>
      </c>
      <c r="N518" s="20" t="str">
        <f t="array" ref="N518">IFERROR(INDEX(dim_date!K:K,MATCH(A518,dim_date!A:A,0)),"")</f>
        <v>32</v>
      </c>
      <c r="O518" s="9" t="str">
        <f t="array" ref="O518">IFERROR(INDEX(dim_date!F:F,MATCH(A518,dim_date!A:A,0)),"")</f>
        <v>8/2-8/8</v>
      </c>
      <c r="P518" s="9" t="str">
        <f t="array" ref="P518">IFERROR(INDEX(dim_kpi!E:E,MATCH(D518,dim_kpi!C:C,0)),"")</f>
        <v>count</v>
      </c>
      <c r="Q518" s="9" t="str">
        <f t="array" ref="Q518">IFERROR(INDEX(dim_kpi!F:F,MATCH(D518,dim_kpi!C:C,0)),"")</f>
        <v>Y</v>
      </c>
    </row>
    <row r="519" ht="12.75" customHeight="1">
      <c r="A519" s="20" t="str">
        <f>fact_kpi_weekly!A519</f>
        <v>260809</v>
      </c>
      <c r="B519" s="21">
        <f>fact_kpi_weekly!B519</f>
        <v>46243</v>
      </c>
      <c r="C519" s="9" t="str">
        <f>fact_kpi_weekly!C519</f>
        <v>Growth</v>
      </c>
      <c r="D519" s="9" t="str">
        <f>fact_kpi_weekly!D519</f>
        <v>Total Actives</v>
      </c>
      <c r="E519" s="9" t="str">
        <f>fact_kpi_weekly!E519</f>
        <v>Goal</v>
      </c>
      <c r="F519" s="9" t="str">
        <f>IF(fact_kpi_weekly!F519="","",fact_kpi_weekly!F519)</f>
        <v>Internal</v>
      </c>
      <c r="G519" s="9" t="str">
        <f>fact_kpi_weekly!G519</f>
        <v>N/A</v>
      </c>
      <c r="H519" s="9" t="str">
        <f>fact_kpi_weekly!H519</f>
        <v/>
      </c>
      <c r="I519" s="9">
        <f>fact_kpi_weekly!I519</f>
        <v>14215</v>
      </c>
      <c r="J519" s="22">
        <f>fact_kpi_weekly!J519</f>
        <v>14215</v>
      </c>
      <c r="K519" s="20" t="str">
        <f t="array" ref="K519">IFERROR(INDEX(dim_date!H:H,MATCH(A519,dim_date!A:A,0)),"")</f>
        <v>Aug</v>
      </c>
      <c r="L519" s="20" t="str">
        <f t="array" ref="L519">IFERROR(INDEX(dim_date!G:G,MATCH(A519,dim_date!A:A,0)),"")</f>
        <v>08</v>
      </c>
      <c r="M519" s="9" t="str">
        <f t="array" ref="M519">IFERROR(INDEX(dim_date!I:I,MATCH(A519,dim_date!A:A,0)),"")</f>
        <v>Q3</v>
      </c>
      <c r="N519" s="20" t="str">
        <f t="array" ref="N519">IFERROR(INDEX(dim_date!K:K,MATCH(A519,dim_date!A:A,0)),"")</f>
        <v>33</v>
      </c>
      <c r="O519" s="9" t="str">
        <f t="array" ref="O519">IFERROR(INDEX(dim_date!F:F,MATCH(A519,dim_date!A:A,0)),"")</f>
        <v>8/9-8/15</v>
      </c>
      <c r="P519" s="9" t="str">
        <f t="array" ref="P519">IFERROR(INDEX(dim_kpi!E:E,MATCH(D519,dim_kpi!C:C,0)),"")</f>
        <v>count</v>
      </c>
      <c r="Q519" s="9" t="str">
        <f t="array" ref="Q519">IFERROR(INDEX(dim_kpi!F:F,MATCH(D519,dim_kpi!C:C,0)),"")</f>
        <v>Y</v>
      </c>
    </row>
    <row r="520" ht="12.75" customHeight="1">
      <c r="A520" s="20" t="str">
        <f>fact_kpi_weekly!A520</f>
        <v>260816</v>
      </c>
      <c r="B520" s="21">
        <f>fact_kpi_weekly!B520</f>
        <v>46250</v>
      </c>
      <c r="C520" s="9" t="str">
        <f>fact_kpi_weekly!C520</f>
        <v>Growth</v>
      </c>
      <c r="D520" s="9" t="str">
        <f>fact_kpi_weekly!D520</f>
        <v>Total Actives</v>
      </c>
      <c r="E520" s="9" t="str">
        <f>fact_kpi_weekly!E520</f>
        <v>Goal</v>
      </c>
      <c r="F520" s="9" t="str">
        <f>IF(fact_kpi_weekly!F520="","",fact_kpi_weekly!F520)</f>
        <v>Internal</v>
      </c>
      <c r="G520" s="9" t="str">
        <f>fact_kpi_weekly!G520</f>
        <v>N/A</v>
      </c>
      <c r="H520" s="9" t="str">
        <f>fact_kpi_weekly!H520</f>
        <v/>
      </c>
      <c r="I520" s="9">
        <f>fact_kpi_weekly!I520</f>
        <v>14625</v>
      </c>
      <c r="J520" s="22">
        <f>fact_kpi_weekly!J520</f>
        <v>14625</v>
      </c>
      <c r="K520" s="20" t="str">
        <f t="array" ref="K520">IFERROR(INDEX(dim_date!H:H,MATCH(A520,dim_date!A:A,0)),"")</f>
        <v>Aug</v>
      </c>
      <c r="L520" s="20" t="str">
        <f t="array" ref="L520">IFERROR(INDEX(dim_date!G:G,MATCH(A520,dim_date!A:A,0)),"")</f>
        <v>08</v>
      </c>
      <c r="M520" s="9" t="str">
        <f t="array" ref="M520">IFERROR(INDEX(dim_date!I:I,MATCH(A520,dim_date!A:A,0)),"")</f>
        <v>Q3</v>
      </c>
      <c r="N520" s="20" t="str">
        <f t="array" ref="N520">IFERROR(INDEX(dim_date!K:K,MATCH(A520,dim_date!A:A,0)),"")</f>
        <v>34</v>
      </c>
      <c r="O520" s="9" t="str">
        <f t="array" ref="O520">IFERROR(INDEX(dim_date!F:F,MATCH(A520,dim_date!A:A,0)),"")</f>
        <v>8/16-8/22</v>
      </c>
      <c r="P520" s="9" t="str">
        <f t="array" ref="P520">IFERROR(INDEX(dim_kpi!E:E,MATCH(D520,dim_kpi!C:C,0)),"")</f>
        <v>count</v>
      </c>
      <c r="Q520" s="9" t="str">
        <f t="array" ref="Q520">IFERROR(INDEX(dim_kpi!F:F,MATCH(D520,dim_kpi!C:C,0)),"")</f>
        <v>Y</v>
      </c>
    </row>
    <row r="521" ht="12.75" customHeight="1">
      <c r="A521" s="20" t="str">
        <f>fact_kpi_weekly!A521</f>
        <v>260823</v>
      </c>
      <c r="B521" s="21">
        <f>fact_kpi_weekly!B521</f>
        <v>46257</v>
      </c>
      <c r="C521" s="9" t="str">
        <f>fact_kpi_weekly!C521</f>
        <v>Growth</v>
      </c>
      <c r="D521" s="9" t="str">
        <f>fact_kpi_weekly!D521</f>
        <v>Total Actives</v>
      </c>
      <c r="E521" s="9" t="str">
        <f>fact_kpi_weekly!E521</f>
        <v>Goal</v>
      </c>
      <c r="F521" s="9" t="str">
        <f>IF(fact_kpi_weekly!F521="","",fact_kpi_weekly!F521)</f>
        <v>Internal</v>
      </c>
      <c r="G521" s="9" t="str">
        <f>fact_kpi_weekly!G521</f>
        <v>N/A</v>
      </c>
      <c r="H521" s="9" t="str">
        <f>fact_kpi_weekly!H521</f>
        <v/>
      </c>
      <c r="I521" s="9">
        <f>fact_kpi_weekly!I521</f>
        <v>15035</v>
      </c>
      <c r="J521" s="22">
        <f>fact_kpi_weekly!J521</f>
        <v>15035</v>
      </c>
      <c r="K521" s="20" t="str">
        <f t="array" ref="K521">IFERROR(INDEX(dim_date!H:H,MATCH(A521,dim_date!A:A,0)),"")</f>
        <v>Aug</v>
      </c>
      <c r="L521" s="20" t="str">
        <f t="array" ref="L521">IFERROR(INDEX(dim_date!G:G,MATCH(A521,dim_date!A:A,0)),"")</f>
        <v>08</v>
      </c>
      <c r="M521" s="9" t="str">
        <f t="array" ref="M521">IFERROR(INDEX(dim_date!I:I,MATCH(A521,dim_date!A:A,0)),"")</f>
        <v>Q3</v>
      </c>
      <c r="N521" s="20" t="str">
        <f t="array" ref="N521">IFERROR(INDEX(dim_date!K:K,MATCH(A521,dim_date!A:A,0)),"")</f>
        <v>35</v>
      </c>
      <c r="O521" s="9" t="str">
        <f t="array" ref="O521">IFERROR(INDEX(dim_date!F:F,MATCH(A521,dim_date!A:A,0)),"")</f>
        <v>8/23-8/29</v>
      </c>
      <c r="P521" s="9" t="str">
        <f t="array" ref="P521">IFERROR(INDEX(dim_kpi!E:E,MATCH(D521,dim_kpi!C:C,0)),"")</f>
        <v>count</v>
      </c>
      <c r="Q521" s="9" t="str">
        <f t="array" ref="Q521">IFERROR(INDEX(dim_kpi!F:F,MATCH(D521,dim_kpi!C:C,0)),"")</f>
        <v>Y</v>
      </c>
    </row>
    <row r="522" ht="12.75" customHeight="1">
      <c r="A522" s="20" t="str">
        <f>fact_kpi_weekly!A522</f>
        <v>260830</v>
      </c>
      <c r="B522" s="21">
        <f>fact_kpi_weekly!B522</f>
        <v>46264</v>
      </c>
      <c r="C522" s="9" t="str">
        <f>fact_kpi_weekly!C522</f>
        <v>Growth</v>
      </c>
      <c r="D522" s="9" t="str">
        <f>fact_kpi_weekly!D522</f>
        <v>Total Actives</v>
      </c>
      <c r="E522" s="9" t="str">
        <f>fact_kpi_weekly!E522</f>
        <v>Goal</v>
      </c>
      <c r="F522" s="9" t="str">
        <f>IF(fact_kpi_weekly!F522="","",fact_kpi_weekly!F522)</f>
        <v>Internal</v>
      </c>
      <c r="G522" s="9" t="str">
        <f>fact_kpi_weekly!G522</f>
        <v>N/A</v>
      </c>
      <c r="H522" s="9" t="str">
        <f>fact_kpi_weekly!H522</f>
        <v/>
      </c>
      <c r="I522" s="9">
        <f>fact_kpi_weekly!I522</f>
        <v>15489</v>
      </c>
      <c r="J522" s="22">
        <f>fact_kpi_weekly!J522</f>
        <v>15489</v>
      </c>
      <c r="K522" s="20" t="str">
        <f t="array" ref="K522">IFERROR(INDEX(dim_date!H:H,MATCH(A522,dim_date!A:A,0)),"")</f>
        <v>Aug</v>
      </c>
      <c r="L522" s="20" t="str">
        <f t="array" ref="L522">IFERROR(INDEX(dim_date!G:G,MATCH(A522,dim_date!A:A,0)),"")</f>
        <v>08</v>
      </c>
      <c r="M522" s="9" t="str">
        <f t="array" ref="M522">IFERROR(INDEX(dim_date!I:I,MATCH(A522,dim_date!A:A,0)),"")</f>
        <v>Q3</v>
      </c>
      <c r="N522" s="20" t="str">
        <f t="array" ref="N522">IFERROR(INDEX(dim_date!K:K,MATCH(A522,dim_date!A:A,0)),"")</f>
        <v>36</v>
      </c>
      <c r="O522" s="9" t="str">
        <f t="array" ref="O522">IFERROR(INDEX(dim_date!F:F,MATCH(A522,dim_date!A:A,0)),"")</f>
        <v>8/30-9/5</v>
      </c>
      <c r="P522" s="9" t="str">
        <f t="array" ref="P522">IFERROR(INDEX(dim_kpi!E:E,MATCH(D522,dim_kpi!C:C,0)),"")</f>
        <v>count</v>
      </c>
      <c r="Q522" s="9" t="str">
        <f t="array" ref="Q522">IFERROR(INDEX(dim_kpi!F:F,MATCH(D522,dim_kpi!C:C,0)),"")</f>
        <v>Y</v>
      </c>
    </row>
    <row r="523" ht="12.75" customHeight="1">
      <c r="A523" s="20" t="str">
        <f>fact_kpi_weekly!A523</f>
        <v>260906</v>
      </c>
      <c r="B523" s="21">
        <f>fact_kpi_weekly!B523</f>
        <v>46271</v>
      </c>
      <c r="C523" s="9" t="str">
        <f>fact_kpi_weekly!C523</f>
        <v>Growth</v>
      </c>
      <c r="D523" s="9" t="str">
        <f>fact_kpi_weekly!D523</f>
        <v>Total Actives</v>
      </c>
      <c r="E523" s="9" t="str">
        <f>fact_kpi_weekly!E523</f>
        <v>Goal</v>
      </c>
      <c r="F523" s="9" t="str">
        <f>IF(fact_kpi_weekly!F523="","",fact_kpi_weekly!F523)</f>
        <v>Internal</v>
      </c>
      <c r="G523" s="9" t="str">
        <f>fact_kpi_weekly!G523</f>
        <v>N/A</v>
      </c>
      <c r="H523" s="9" t="str">
        <f>fact_kpi_weekly!H523</f>
        <v/>
      </c>
      <c r="I523" s="9">
        <f>fact_kpi_weekly!I523</f>
        <v>15861</v>
      </c>
      <c r="J523" s="22">
        <f>fact_kpi_weekly!J523</f>
        <v>15861</v>
      </c>
      <c r="K523" s="20" t="str">
        <f t="array" ref="K523">IFERROR(INDEX(dim_date!H:H,MATCH(A523,dim_date!A:A,0)),"")</f>
        <v>Sep</v>
      </c>
      <c r="L523" s="20" t="str">
        <f t="array" ref="L523">IFERROR(INDEX(dim_date!G:G,MATCH(A523,dim_date!A:A,0)),"")</f>
        <v>09</v>
      </c>
      <c r="M523" s="9" t="str">
        <f t="array" ref="M523">IFERROR(INDEX(dim_date!I:I,MATCH(A523,dim_date!A:A,0)),"")</f>
        <v>Q3</v>
      </c>
      <c r="N523" s="20" t="str">
        <f t="array" ref="N523">IFERROR(INDEX(dim_date!K:K,MATCH(A523,dim_date!A:A,0)),"")</f>
        <v>37</v>
      </c>
      <c r="O523" s="9" t="str">
        <f t="array" ref="O523">IFERROR(INDEX(dim_date!F:F,MATCH(A523,dim_date!A:A,0)),"")</f>
        <v>9/6-9/12</v>
      </c>
      <c r="P523" s="9" t="str">
        <f t="array" ref="P523">IFERROR(INDEX(dim_kpi!E:E,MATCH(D523,dim_kpi!C:C,0)),"")</f>
        <v>count</v>
      </c>
      <c r="Q523" s="9" t="str">
        <f t="array" ref="Q523">IFERROR(INDEX(dim_kpi!F:F,MATCH(D523,dim_kpi!C:C,0)),"")</f>
        <v>Y</v>
      </c>
    </row>
    <row r="524" ht="12.75" customHeight="1">
      <c r="A524" s="20" t="str">
        <f>fact_kpi_weekly!A524</f>
        <v>260913</v>
      </c>
      <c r="B524" s="21">
        <f>fact_kpi_weekly!B524</f>
        <v>46278</v>
      </c>
      <c r="C524" s="9" t="str">
        <f>fact_kpi_weekly!C524</f>
        <v>Growth</v>
      </c>
      <c r="D524" s="9" t="str">
        <f>fact_kpi_weekly!D524</f>
        <v>Total Actives</v>
      </c>
      <c r="E524" s="9" t="str">
        <f>fact_kpi_weekly!E524</f>
        <v>Goal</v>
      </c>
      <c r="F524" s="9" t="str">
        <f>IF(fact_kpi_weekly!F524="","",fact_kpi_weekly!F524)</f>
        <v>Internal</v>
      </c>
      <c r="G524" s="9" t="str">
        <f>fact_kpi_weekly!G524</f>
        <v>N/A</v>
      </c>
      <c r="H524" s="9" t="str">
        <f>fact_kpi_weekly!H524</f>
        <v/>
      </c>
      <c r="I524" s="9">
        <f>fact_kpi_weekly!I524</f>
        <v>16326</v>
      </c>
      <c r="J524" s="22">
        <f>fact_kpi_weekly!J524</f>
        <v>16326</v>
      </c>
      <c r="K524" s="20" t="str">
        <f t="array" ref="K524">IFERROR(INDEX(dim_date!H:H,MATCH(A524,dim_date!A:A,0)),"")</f>
        <v>Sep</v>
      </c>
      <c r="L524" s="20" t="str">
        <f t="array" ref="L524">IFERROR(INDEX(dim_date!G:G,MATCH(A524,dim_date!A:A,0)),"")</f>
        <v>09</v>
      </c>
      <c r="M524" s="9" t="str">
        <f t="array" ref="M524">IFERROR(INDEX(dim_date!I:I,MATCH(A524,dim_date!A:A,0)),"")</f>
        <v>Q3</v>
      </c>
      <c r="N524" s="20" t="str">
        <f t="array" ref="N524">IFERROR(INDEX(dim_date!K:K,MATCH(A524,dim_date!A:A,0)),"")</f>
        <v>38</v>
      </c>
      <c r="O524" s="9" t="str">
        <f t="array" ref="O524">IFERROR(INDEX(dim_date!F:F,MATCH(A524,dim_date!A:A,0)),"")</f>
        <v>9/13-9/19</v>
      </c>
      <c r="P524" s="9" t="str">
        <f t="array" ref="P524">IFERROR(INDEX(dim_kpi!E:E,MATCH(D524,dim_kpi!C:C,0)),"")</f>
        <v>count</v>
      </c>
      <c r="Q524" s="9" t="str">
        <f t="array" ref="Q524">IFERROR(INDEX(dim_kpi!F:F,MATCH(D524,dim_kpi!C:C,0)),"")</f>
        <v>Y</v>
      </c>
    </row>
    <row r="525" ht="12.75" customHeight="1">
      <c r="A525" s="20" t="str">
        <f>fact_kpi_weekly!A525</f>
        <v>260920</v>
      </c>
      <c r="B525" s="21">
        <f>fact_kpi_weekly!B525</f>
        <v>46285</v>
      </c>
      <c r="C525" s="9" t="str">
        <f>fact_kpi_weekly!C525</f>
        <v>Growth</v>
      </c>
      <c r="D525" s="9" t="str">
        <f>fact_kpi_weekly!D525</f>
        <v>Total Actives</v>
      </c>
      <c r="E525" s="9" t="str">
        <f>fact_kpi_weekly!E525</f>
        <v>Goal</v>
      </c>
      <c r="F525" s="9" t="str">
        <f>IF(fact_kpi_weekly!F525="","",fact_kpi_weekly!F525)</f>
        <v>Internal</v>
      </c>
      <c r="G525" s="9" t="str">
        <f>fact_kpi_weekly!G525</f>
        <v>N/A</v>
      </c>
      <c r="H525" s="9" t="str">
        <f>fact_kpi_weekly!H525</f>
        <v/>
      </c>
      <c r="I525" s="9">
        <f>fact_kpi_weekly!I525</f>
        <v>16791</v>
      </c>
      <c r="J525" s="22">
        <f>fact_kpi_weekly!J525</f>
        <v>16791</v>
      </c>
      <c r="K525" s="20" t="str">
        <f t="array" ref="K525">IFERROR(INDEX(dim_date!H:H,MATCH(A525,dim_date!A:A,0)),"")</f>
        <v>Sep</v>
      </c>
      <c r="L525" s="20" t="str">
        <f t="array" ref="L525">IFERROR(INDEX(dim_date!G:G,MATCH(A525,dim_date!A:A,0)),"")</f>
        <v>09</v>
      </c>
      <c r="M525" s="9" t="str">
        <f t="array" ref="M525">IFERROR(INDEX(dim_date!I:I,MATCH(A525,dim_date!A:A,0)),"")</f>
        <v>Q3</v>
      </c>
      <c r="N525" s="20" t="str">
        <f t="array" ref="N525">IFERROR(INDEX(dim_date!K:K,MATCH(A525,dim_date!A:A,0)),"")</f>
        <v>39</v>
      </c>
      <c r="O525" s="9" t="str">
        <f t="array" ref="O525">IFERROR(INDEX(dim_date!F:F,MATCH(A525,dim_date!A:A,0)),"")</f>
        <v>9/20-9/26</v>
      </c>
      <c r="P525" s="9" t="str">
        <f t="array" ref="P525">IFERROR(INDEX(dim_kpi!E:E,MATCH(D525,dim_kpi!C:C,0)),"")</f>
        <v>count</v>
      </c>
      <c r="Q525" s="9" t="str">
        <f t="array" ref="Q525">IFERROR(INDEX(dim_kpi!F:F,MATCH(D525,dim_kpi!C:C,0)),"")</f>
        <v>Y</v>
      </c>
    </row>
    <row r="526" ht="12.75" customHeight="1">
      <c r="A526" s="20" t="str">
        <f>fact_kpi_weekly!A526</f>
        <v>260927</v>
      </c>
      <c r="B526" s="21">
        <f>fact_kpi_weekly!B526</f>
        <v>46292</v>
      </c>
      <c r="C526" s="9" t="str">
        <f>fact_kpi_weekly!C526</f>
        <v>Growth</v>
      </c>
      <c r="D526" s="9" t="str">
        <f>fact_kpi_weekly!D526</f>
        <v>Total Actives</v>
      </c>
      <c r="E526" s="9" t="str">
        <f>fact_kpi_weekly!E526</f>
        <v>Goal</v>
      </c>
      <c r="F526" s="9" t="str">
        <f>IF(fact_kpi_weekly!F526="","",fact_kpi_weekly!F526)</f>
        <v>Internal</v>
      </c>
      <c r="G526" s="9" t="str">
        <f>fact_kpi_weekly!G526</f>
        <v>N/A</v>
      </c>
      <c r="H526" s="9" t="str">
        <f>fact_kpi_weekly!H526</f>
        <v/>
      </c>
      <c r="I526" s="9">
        <f>fact_kpi_weekly!I526</f>
        <v>17270</v>
      </c>
      <c r="J526" s="22">
        <f>fact_kpi_weekly!J526</f>
        <v>17270</v>
      </c>
      <c r="K526" s="20" t="str">
        <f t="array" ref="K526">IFERROR(INDEX(dim_date!H:H,MATCH(A526,dim_date!A:A,0)),"")</f>
        <v>Sep</v>
      </c>
      <c r="L526" s="20" t="str">
        <f t="array" ref="L526">IFERROR(INDEX(dim_date!G:G,MATCH(A526,dim_date!A:A,0)),"")</f>
        <v>09</v>
      </c>
      <c r="M526" s="9" t="str">
        <f t="array" ref="M526">IFERROR(INDEX(dim_date!I:I,MATCH(A526,dim_date!A:A,0)),"")</f>
        <v>Q3</v>
      </c>
      <c r="N526" s="20" t="str">
        <f t="array" ref="N526">IFERROR(INDEX(dim_date!K:K,MATCH(A526,dim_date!A:A,0)),"")</f>
        <v>40</v>
      </c>
      <c r="O526" s="9" t="str">
        <f t="array" ref="O526">IFERROR(INDEX(dim_date!F:F,MATCH(A526,dim_date!A:A,0)),"")</f>
        <v>9/27-10/3</v>
      </c>
      <c r="P526" s="9" t="str">
        <f t="array" ref="P526">IFERROR(INDEX(dim_kpi!E:E,MATCH(D526,dim_kpi!C:C,0)),"")</f>
        <v>count</v>
      </c>
      <c r="Q526" s="9" t="str">
        <f t="array" ref="Q526">IFERROR(INDEX(dim_kpi!F:F,MATCH(D526,dim_kpi!C:C,0)),"")</f>
        <v>Y</v>
      </c>
    </row>
    <row r="527" ht="12.75" customHeight="1">
      <c r="A527" s="20" t="str">
        <f>fact_kpi_weekly!A527</f>
        <v>261004</v>
      </c>
      <c r="B527" s="21">
        <f>fact_kpi_weekly!B527</f>
        <v>46299</v>
      </c>
      <c r="C527" s="9" t="str">
        <f>fact_kpi_weekly!C527</f>
        <v>Growth</v>
      </c>
      <c r="D527" s="9" t="str">
        <f>fact_kpi_weekly!D527</f>
        <v>Total Actives</v>
      </c>
      <c r="E527" s="9" t="str">
        <f>fact_kpi_weekly!E527</f>
        <v>Goal</v>
      </c>
      <c r="F527" s="9" t="str">
        <f>IF(fact_kpi_weekly!F527="","",fact_kpi_weekly!F527)</f>
        <v>Internal</v>
      </c>
      <c r="G527" s="9" t="str">
        <f>fact_kpi_weekly!G527</f>
        <v>N/A</v>
      </c>
      <c r="H527" s="9" t="str">
        <f>fact_kpi_weekly!H527</f>
        <v/>
      </c>
      <c r="I527" s="9">
        <f>fact_kpi_weekly!I527</f>
        <v>17770</v>
      </c>
      <c r="J527" s="22">
        <f>fact_kpi_weekly!J527</f>
        <v>17770</v>
      </c>
      <c r="K527" s="20" t="str">
        <f t="array" ref="K527">IFERROR(INDEX(dim_date!H:H,MATCH(A527,dim_date!A:A,0)),"")</f>
        <v>Oct</v>
      </c>
      <c r="L527" s="20" t="str">
        <f t="array" ref="L527">IFERROR(INDEX(dim_date!G:G,MATCH(A527,dim_date!A:A,0)),"")</f>
        <v>10</v>
      </c>
      <c r="M527" s="9" t="str">
        <f t="array" ref="M527">IFERROR(INDEX(dim_date!I:I,MATCH(A527,dim_date!A:A,0)),"")</f>
        <v>Q4</v>
      </c>
      <c r="N527" s="20" t="str">
        <f t="array" ref="N527">IFERROR(INDEX(dim_date!K:K,MATCH(A527,dim_date!A:A,0)),"")</f>
        <v>41</v>
      </c>
      <c r="O527" s="9" t="str">
        <f t="array" ref="O527">IFERROR(INDEX(dim_date!F:F,MATCH(A527,dim_date!A:A,0)),"")</f>
        <v>10/4-10/10</v>
      </c>
      <c r="P527" s="9" t="str">
        <f t="array" ref="P527">IFERROR(INDEX(dim_kpi!E:E,MATCH(D527,dim_kpi!C:C,0)),"")</f>
        <v>count</v>
      </c>
      <c r="Q527" s="9" t="str">
        <f t="array" ref="Q527">IFERROR(INDEX(dim_kpi!F:F,MATCH(D527,dim_kpi!C:C,0)),"")</f>
        <v>Y</v>
      </c>
    </row>
    <row r="528" ht="12.75" customHeight="1">
      <c r="A528" s="20" t="str">
        <f>fact_kpi_weekly!A528</f>
        <v>261011</v>
      </c>
      <c r="B528" s="21">
        <f>fact_kpi_weekly!B528</f>
        <v>46306</v>
      </c>
      <c r="C528" s="9" t="str">
        <f>fact_kpi_weekly!C528</f>
        <v>Growth</v>
      </c>
      <c r="D528" s="9" t="str">
        <f>fact_kpi_weekly!D528</f>
        <v>Total Actives</v>
      </c>
      <c r="E528" s="9" t="str">
        <f>fact_kpi_weekly!E528</f>
        <v>Goal</v>
      </c>
      <c r="F528" s="9" t="str">
        <f>IF(fact_kpi_weekly!F528="","",fact_kpi_weekly!F528)</f>
        <v>Internal</v>
      </c>
      <c r="G528" s="9" t="str">
        <f>fact_kpi_weekly!G528</f>
        <v>N/A</v>
      </c>
      <c r="H528" s="9" t="str">
        <f>fact_kpi_weekly!H528</f>
        <v/>
      </c>
      <c r="I528" s="9">
        <f>fact_kpi_weekly!I528</f>
        <v>18170</v>
      </c>
      <c r="J528" s="22">
        <f>fact_kpi_weekly!J528</f>
        <v>18170</v>
      </c>
      <c r="K528" s="20" t="str">
        <f t="array" ref="K528">IFERROR(INDEX(dim_date!H:H,MATCH(A528,dim_date!A:A,0)),"")</f>
        <v>Oct</v>
      </c>
      <c r="L528" s="20" t="str">
        <f t="array" ref="L528">IFERROR(INDEX(dim_date!G:G,MATCH(A528,dim_date!A:A,0)),"")</f>
        <v>10</v>
      </c>
      <c r="M528" s="9" t="str">
        <f t="array" ref="M528">IFERROR(INDEX(dim_date!I:I,MATCH(A528,dim_date!A:A,0)),"")</f>
        <v>Q4</v>
      </c>
      <c r="N528" s="20" t="str">
        <f t="array" ref="N528">IFERROR(INDEX(dim_date!K:K,MATCH(A528,dim_date!A:A,0)),"")</f>
        <v>42</v>
      </c>
      <c r="O528" s="9" t="str">
        <f t="array" ref="O528">IFERROR(INDEX(dim_date!F:F,MATCH(A528,dim_date!A:A,0)),"")</f>
        <v>10/11-10/17</v>
      </c>
      <c r="P528" s="9" t="str">
        <f t="array" ref="P528">IFERROR(INDEX(dim_kpi!E:E,MATCH(D528,dim_kpi!C:C,0)),"")</f>
        <v>count</v>
      </c>
      <c r="Q528" s="9" t="str">
        <f t="array" ref="Q528">IFERROR(INDEX(dim_kpi!F:F,MATCH(D528,dim_kpi!C:C,0)),"")</f>
        <v>Y</v>
      </c>
    </row>
    <row r="529" ht="12.75" customHeight="1">
      <c r="A529" s="20" t="str">
        <f>fact_kpi_weekly!A529</f>
        <v>261018</v>
      </c>
      <c r="B529" s="21">
        <f>fact_kpi_weekly!B529</f>
        <v>46313</v>
      </c>
      <c r="C529" s="9" t="str">
        <f>fact_kpi_weekly!C529</f>
        <v>Growth</v>
      </c>
      <c r="D529" s="9" t="str">
        <f>fact_kpi_weekly!D529</f>
        <v>Total Actives</v>
      </c>
      <c r="E529" s="9" t="str">
        <f>fact_kpi_weekly!E529</f>
        <v>Goal</v>
      </c>
      <c r="F529" s="9" t="str">
        <f>IF(fact_kpi_weekly!F529="","",fact_kpi_weekly!F529)</f>
        <v>Internal</v>
      </c>
      <c r="G529" s="9" t="str">
        <f>fact_kpi_weekly!G529</f>
        <v>N/A</v>
      </c>
      <c r="H529" s="9" t="str">
        <f>fact_kpi_weekly!H529</f>
        <v/>
      </c>
      <c r="I529" s="9">
        <f>fact_kpi_weekly!I529</f>
        <v>18670</v>
      </c>
      <c r="J529" s="22">
        <f>fact_kpi_weekly!J529</f>
        <v>18670</v>
      </c>
      <c r="K529" s="20" t="str">
        <f t="array" ref="K529">IFERROR(INDEX(dim_date!H:H,MATCH(A529,dim_date!A:A,0)),"")</f>
        <v>Oct</v>
      </c>
      <c r="L529" s="20" t="str">
        <f t="array" ref="L529">IFERROR(INDEX(dim_date!G:G,MATCH(A529,dim_date!A:A,0)),"")</f>
        <v>10</v>
      </c>
      <c r="M529" s="9" t="str">
        <f t="array" ref="M529">IFERROR(INDEX(dim_date!I:I,MATCH(A529,dim_date!A:A,0)),"")</f>
        <v>Q4</v>
      </c>
      <c r="N529" s="20" t="str">
        <f t="array" ref="N529">IFERROR(INDEX(dim_date!K:K,MATCH(A529,dim_date!A:A,0)),"")</f>
        <v>43</v>
      </c>
      <c r="O529" s="9" t="str">
        <f t="array" ref="O529">IFERROR(INDEX(dim_date!F:F,MATCH(A529,dim_date!A:A,0)),"")</f>
        <v>10/18-10/24</v>
      </c>
      <c r="P529" s="9" t="str">
        <f t="array" ref="P529">IFERROR(INDEX(dim_kpi!E:E,MATCH(D529,dim_kpi!C:C,0)),"")</f>
        <v>count</v>
      </c>
      <c r="Q529" s="9" t="str">
        <f t="array" ref="Q529">IFERROR(INDEX(dim_kpi!F:F,MATCH(D529,dim_kpi!C:C,0)),"")</f>
        <v>Y</v>
      </c>
    </row>
    <row r="530" ht="12.75" customHeight="1">
      <c r="A530" s="20" t="str">
        <f>fact_kpi_weekly!A530</f>
        <v>261025</v>
      </c>
      <c r="B530" s="21">
        <f>fact_kpi_weekly!B530</f>
        <v>46320</v>
      </c>
      <c r="C530" s="9" t="str">
        <f>fact_kpi_weekly!C530</f>
        <v>Growth</v>
      </c>
      <c r="D530" s="9" t="str">
        <f>fact_kpi_weekly!D530</f>
        <v>Total Actives</v>
      </c>
      <c r="E530" s="9" t="str">
        <f>fact_kpi_weekly!E530</f>
        <v>Goal</v>
      </c>
      <c r="F530" s="9" t="str">
        <f>IF(fact_kpi_weekly!F530="","",fact_kpi_weekly!F530)</f>
        <v>Internal</v>
      </c>
      <c r="G530" s="9" t="str">
        <f>fact_kpi_weekly!G530</f>
        <v>N/A</v>
      </c>
      <c r="H530" s="9" t="str">
        <f>fact_kpi_weekly!H530</f>
        <v/>
      </c>
      <c r="I530" s="9">
        <f>fact_kpi_weekly!I530</f>
        <v>19170</v>
      </c>
      <c r="J530" s="22">
        <f>fact_kpi_weekly!J530</f>
        <v>19170</v>
      </c>
      <c r="K530" s="20" t="str">
        <f t="array" ref="K530">IFERROR(INDEX(dim_date!H:H,MATCH(A530,dim_date!A:A,0)),"")</f>
        <v>Oct</v>
      </c>
      <c r="L530" s="20" t="str">
        <f t="array" ref="L530">IFERROR(INDEX(dim_date!G:G,MATCH(A530,dim_date!A:A,0)),"")</f>
        <v>10</v>
      </c>
      <c r="M530" s="9" t="str">
        <f t="array" ref="M530">IFERROR(INDEX(dim_date!I:I,MATCH(A530,dim_date!A:A,0)),"")</f>
        <v>Q4</v>
      </c>
      <c r="N530" s="20" t="str">
        <f t="array" ref="N530">IFERROR(INDEX(dim_date!K:K,MATCH(A530,dim_date!A:A,0)),"")</f>
        <v>44</v>
      </c>
      <c r="O530" s="9" t="str">
        <f t="array" ref="O530">IFERROR(INDEX(dim_date!F:F,MATCH(A530,dim_date!A:A,0)),"")</f>
        <v>10/25-10/31</v>
      </c>
      <c r="P530" s="9" t="str">
        <f t="array" ref="P530">IFERROR(INDEX(dim_kpi!E:E,MATCH(D530,dim_kpi!C:C,0)),"")</f>
        <v>count</v>
      </c>
      <c r="Q530" s="9" t="str">
        <f t="array" ref="Q530">IFERROR(INDEX(dim_kpi!F:F,MATCH(D530,dim_kpi!C:C,0)),"")</f>
        <v>Y</v>
      </c>
    </row>
    <row r="531" ht="12.75" customHeight="1">
      <c r="A531" s="20" t="str">
        <f>fact_kpi_weekly!A531</f>
        <v>261101</v>
      </c>
      <c r="B531" s="21">
        <f>fact_kpi_weekly!B531</f>
        <v>46327</v>
      </c>
      <c r="C531" s="9" t="str">
        <f>fact_kpi_weekly!C531</f>
        <v>Growth</v>
      </c>
      <c r="D531" s="9" t="str">
        <f>fact_kpi_weekly!D531</f>
        <v>Total Actives</v>
      </c>
      <c r="E531" s="9" t="str">
        <f>fact_kpi_weekly!E531</f>
        <v>Goal</v>
      </c>
      <c r="F531" s="9" t="str">
        <f>IF(fact_kpi_weekly!F531="","",fact_kpi_weekly!F531)</f>
        <v>Internal</v>
      </c>
      <c r="G531" s="9" t="str">
        <f>fact_kpi_weekly!G531</f>
        <v>N/A</v>
      </c>
      <c r="H531" s="9" t="str">
        <f>fact_kpi_weekly!H531</f>
        <v/>
      </c>
      <c r="I531" s="9">
        <f>fact_kpi_weekly!I531</f>
        <v>19660</v>
      </c>
      <c r="J531" s="22">
        <f>fact_kpi_weekly!J531</f>
        <v>19660</v>
      </c>
      <c r="K531" s="20" t="str">
        <f t="array" ref="K531">IFERROR(INDEX(dim_date!H:H,MATCH(A531,dim_date!A:A,0)),"")</f>
        <v>Nov</v>
      </c>
      <c r="L531" s="20" t="str">
        <f t="array" ref="L531">IFERROR(INDEX(dim_date!G:G,MATCH(A531,dim_date!A:A,0)),"")</f>
        <v>11</v>
      </c>
      <c r="M531" s="9" t="str">
        <f t="array" ref="M531">IFERROR(INDEX(dim_date!I:I,MATCH(A531,dim_date!A:A,0)),"")</f>
        <v>Q4</v>
      </c>
      <c r="N531" s="20" t="str">
        <f t="array" ref="N531">IFERROR(INDEX(dim_date!K:K,MATCH(A531,dim_date!A:A,0)),"")</f>
        <v>45</v>
      </c>
      <c r="O531" s="9" t="str">
        <f t="array" ref="O531">IFERROR(INDEX(dim_date!F:F,MATCH(A531,dim_date!A:A,0)),"")</f>
        <v>11/1-11/7</v>
      </c>
      <c r="P531" s="9" t="str">
        <f t="array" ref="P531">IFERROR(INDEX(dim_kpi!E:E,MATCH(D531,dim_kpi!C:C,0)),"")</f>
        <v>count</v>
      </c>
      <c r="Q531" s="9" t="str">
        <f t="array" ref="Q531">IFERROR(INDEX(dim_kpi!F:F,MATCH(D531,dim_kpi!C:C,0)),"")</f>
        <v>Y</v>
      </c>
    </row>
    <row r="532" ht="12.75" customHeight="1">
      <c r="A532" s="20" t="str">
        <f>fact_kpi_weekly!A532</f>
        <v>261108</v>
      </c>
      <c r="B532" s="21">
        <f>fact_kpi_weekly!B532</f>
        <v>46334</v>
      </c>
      <c r="C532" s="9" t="str">
        <f>fact_kpi_weekly!C532</f>
        <v>Growth</v>
      </c>
      <c r="D532" s="9" t="str">
        <f>fact_kpi_weekly!D532</f>
        <v>Total Actives</v>
      </c>
      <c r="E532" s="9" t="str">
        <f>fact_kpi_weekly!E532</f>
        <v>Goal</v>
      </c>
      <c r="F532" s="9" t="str">
        <f>IF(fact_kpi_weekly!F532="","",fact_kpi_weekly!F532)</f>
        <v>Internal</v>
      </c>
      <c r="G532" s="9" t="str">
        <f>fact_kpi_weekly!G532</f>
        <v>N/A</v>
      </c>
      <c r="H532" s="9" t="str">
        <f>fact_kpi_weekly!H532</f>
        <v/>
      </c>
      <c r="I532" s="9">
        <f>fact_kpi_weekly!I532</f>
        <v>20052</v>
      </c>
      <c r="J532" s="22">
        <f>fact_kpi_weekly!J532</f>
        <v>20052</v>
      </c>
      <c r="K532" s="20" t="str">
        <f t="array" ref="K532">IFERROR(INDEX(dim_date!H:H,MATCH(A532,dim_date!A:A,0)),"")</f>
        <v>Nov</v>
      </c>
      <c r="L532" s="20" t="str">
        <f t="array" ref="L532">IFERROR(INDEX(dim_date!G:G,MATCH(A532,dim_date!A:A,0)),"")</f>
        <v>11</v>
      </c>
      <c r="M532" s="9" t="str">
        <f t="array" ref="M532">IFERROR(INDEX(dim_date!I:I,MATCH(A532,dim_date!A:A,0)),"")</f>
        <v>Q4</v>
      </c>
      <c r="N532" s="20" t="str">
        <f t="array" ref="N532">IFERROR(INDEX(dim_date!K:K,MATCH(A532,dim_date!A:A,0)),"")</f>
        <v>46</v>
      </c>
      <c r="O532" s="9" t="str">
        <f t="array" ref="O532">IFERROR(INDEX(dim_date!F:F,MATCH(A532,dim_date!A:A,0)),"")</f>
        <v>11/8-11/14</v>
      </c>
      <c r="P532" s="9" t="str">
        <f t="array" ref="P532">IFERROR(INDEX(dim_kpi!E:E,MATCH(D532,dim_kpi!C:C,0)),"")</f>
        <v>count</v>
      </c>
      <c r="Q532" s="9" t="str">
        <f t="array" ref="Q532">IFERROR(INDEX(dim_kpi!F:F,MATCH(D532,dim_kpi!C:C,0)),"")</f>
        <v>Y</v>
      </c>
    </row>
    <row r="533" ht="12.75" customHeight="1">
      <c r="A533" s="20" t="str">
        <f>fact_kpi_weekly!A533</f>
        <v>261115</v>
      </c>
      <c r="B533" s="21">
        <f>fact_kpi_weekly!B533</f>
        <v>46341</v>
      </c>
      <c r="C533" s="9" t="str">
        <f>fact_kpi_weekly!C533</f>
        <v>Growth</v>
      </c>
      <c r="D533" s="9" t="str">
        <f>fact_kpi_weekly!D533</f>
        <v>Total Actives</v>
      </c>
      <c r="E533" s="9" t="str">
        <f>fact_kpi_weekly!E533</f>
        <v>Goal</v>
      </c>
      <c r="F533" s="9" t="str">
        <f>IF(fact_kpi_weekly!F533="","",fact_kpi_weekly!F533)</f>
        <v>Internal</v>
      </c>
      <c r="G533" s="9" t="str">
        <f>fact_kpi_weekly!G533</f>
        <v>N/A</v>
      </c>
      <c r="H533" s="9" t="str">
        <f>fact_kpi_weekly!H533</f>
        <v/>
      </c>
      <c r="I533" s="9">
        <f>fact_kpi_weekly!I533</f>
        <v>20542</v>
      </c>
      <c r="J533" s="22">
        <f>fact_kpi_weekly!J533</f>
        <v>20542</v>
      </c>
      <c r="K533" s="20" t="str">
        <f t="array" ref="K533">IFERROR(INDEX(dim_date!H:H,MATCH(A533,dim_date!A:A,0)),"")</f>
        <v>Nov</v>
      </c>
      <c r="L533" s="20" t="str">
        <f t="array" ref="L533">IFERROR(INDEX(dim_date!G:G,MATCH(A533,dim_date!A:A,0)),"")</f>
        <v>11</v>
      </c>
      <c r="M533" s="9" t="str">
        <f t="array" ref="M533">IFERROR(INDEX(dim_date!I:I,MATCH(A533,dim_date!A:A,0)),"")</f>
        <v>Q4</v>
      </c>
      <c r="N533" s="20" t="str">
        <f t="array" ref="N533">IFERROR(INDEX(dim_date!K:K,MATCH(A533,dim_date!A:A,0)),"")</f>
        <v>47</v>
      </c>
      <c r="O533" s="9" t="str">
        <f t="array" ref="O533">IFERROR(INDEX(dim_date!F:F,MATCH(A533,dim_date!A:A,0)),"")</f>
        <v>11/15-11/21</v>
      </c>
      <c r="P533" s="9" t="str">
        <f t="array" ref="P533">IFERROR(INDEX(dim_kpi!E:E,MATCH(D533,dim_kpi!C:C,0)),"")</f>
        <v>count</v>
      </c>
      <c r="Q533" s="9" t="str">
        <f t="array" ref="Q533">IFERROR(INDEX(dim_kpi!F:F,MATCH(D533,dim_kpi!C:C,0)),"")</f>
        <v>Y</v>
      </c>
    </row>
    <row r="534" ht="12.75" customHeight="1">
      <c r="A534" s="20" t="str">
        <f>fact_kpi_weekly!A534</f>
        <v>261122</v>
      </c>
      <c r="B534" s="21">
        <f>fact_kpi_weekly!B534</f>
        <v>46348</v>
      </c>
      <c r="C534" s="9" t="str">
        <f>fact_kpi_weekly!C534</f>
        <v>Growth</v>
      </c>
      <c r="D534" s="9" t="str">
        <f>fact_kpi_weekly!D534</f>
        <v>Total Actives</v>
      </c>
      <c r="E534" s="9" t="str">
        <f>fact_kpi_weekly!E534</f>
        <v>Goal</v>
      </c>
      <c r="F534" s="9" t="str">
        <f>IF(fact_kpi_weekly!F534="","",fact_kpi_weekly!F534)</f>
        <v>Internal</v>
      </c>
      <c r="G534" s="9" t="str">
        <f>fact_kpi_weekly!G534</f>
        <v>N/A</v>
      </c>
      <c r="H534" s="9" t="str">
        <f>fact_kpi_weekly!H534</f>
        <v/>
      </c>
      <c r="I534" s="9">
        <f>fact_kpi_weekly!I534</f>
        <v>20836</v>
      </c>
      <c r="J534" s="22">
        <f>fact_kpi_weekly!J534</f>
        <v>20836</v>
      </c>
      <c r="K534" s="20" t="str">
        <f t="array" ref="K534">IFERROR(INDEX(dim_date!H:H,MATCH(A534,dim_date!A:A,0)),"")</f>
        <v>Nov</v>
      </c>
      <c r="L534" s="20" t="str">
        <f t="array" ref="L534">IFERROR(INDEX(dim_date!G:G,MATCH(A534,dim_date!A:A,0)),"")</f>
        <v>11</v>
      </c>
      <c r="M534" s="9" t="str">
        <f t="array" ref="M534">IFERROR(INDEX(dim_date!I:I,MATCH(A534,dim_date!A:A,0)),"")</f>
        <v>Q4</v>
      </c>
      <c r="N534" s="20" t="str">
        <f t="array" ref="N534">IFERROR(INDEX(dim_date!K:K,MATCH(A534,dim_date!A:A,0)),"")</f>
        <v>48</v>
      </c>
      <c r="O534" s="9" t="str">
        <f t="array" ref="O534">IFERROR(INDEX(dim_date!F:F,MATCH(A534,dim_date!A:A,0)),"")</f>
        <v>11/22-11/28</v>
      </c>
      <c r="P534" s="9" t="str">
        <f t="array" ref="P534">IFERROR(INDEX(dim_kpi!E:E,MATCH(D534,dim_kpi!C:C,0)),"")</f>
        <v>count</v>
      </c>
      <c r="Q534" s="9" t="str">
        <f t="array" ref="Q534">IFERROR(INDEX(dim_kpi!F:F,MATCH(D534,dim_kpi!C:C,0)),"")</f>
        <v>Y</v>
      </c>
    </row>
    <row r="535" ht="12.75" customHeight="1">
      <c r="A535" s="20" t="str">
        <f>fact_kpi_weekly!A535</f>
        <v>261129</v>
      </c>
      <c r="B535" s="21">
        <f>fact_kpi_weekly!B535</f>
        <v>46355</v>
      </c>
      <c r="C535" s="9" t="str">
        <f>fact_kpi_weekly!C535</f>
        <v>Growth</v>
      </c>
      <c r="D535" s="9" t="str">
        <f>fact_kpi_weekly!D535</f>
        <v>Total Actives</v>
      </c>
      <c r="E535" s="9" t="str">
        <f>fact_kpi_weekly!E535</f>
        <v>Goal</v>
      </c>
      <c r="F535" s="9" t="str">
        <f>IF(fact_kpi_weekly!F535="","",fact_kpi_weekly!F535)</f>
        <v>Internal</v>
      </c>
      <c r="G535" s="9" t="str">
        <f>fact_kpi_weekly!G535</f>
        <v>N/A</v>
      </c>
      <c r="H535" s="9" t="str">
        <f>fact_kpi_weekly!H535</f>
        <v/>
      </c>
      <c r="I535" s="9">
        <f>fact_kpi_weekly!I535</f>
        <v>21202</v>
      </c>
      <c r="J535" s="22">
        <f>fact_kpi_weekly!J535</f>
        <v>21202</v>
      </c>
      <c r="K535" s="20" t="str">
        <f t="array" ref="K535">IFERROR(INDEX(dim_date!H:H,MATCH(A535,dim_date!A:A,0)),"")</f>
        <v>Nov</v>
      </c>
      <c r="L535" s="20" t="str">
        <f t="array" ref="L535">IFERROR(INDEX(dim_date!G:G,MATCH(A535,dim_date!A:A,0)),"")</f>
        <v>11</v>
      </c>
      <c r="M535" s="9" t="str">
        <f t="array" ref="M535">IFERROR(INDEX(dim_date!I:I,MATCH(A535,dim_date!A:A,0)),"")</f>
        <v>Q4</v>
      </c>
      <c r="N535" s="20" t="str">
        <f t="array" ref="N535">IFERROR(INDEX(dim_date!K:K,MATCH(A535,dim_date!A:A,0)),"")</f>
        <v>49</v>
      </c>
      <c r="O535" s="9" t="str">
        <f t="array" ref="O535">IFERROR(INDEX(dim_date!F:F,MATCH(A535,dim_date!A:A,0)),"")</f>
        <v>11/29-12/5</v>
      </c>
      <c r="P535" s="9" t="str">
        <f t="array" ref="P535">IFERROR(INDEX(dim_kpi!E:E,MATCH(D535,dim_kpi!C:C,0)),"")</f>
        <v>count</v>
      </c>
      <c r="Q535" s="9" t="str">
        <f t="array" ref="Q535">IFERROR(INDEX(dim_kpi!F:F,MATCH(D535,dim_kpi!C:C,0)),"")</f>
        <v>Y</v>
      </c>
    </row>
    <row r="536" ht="12.75" customHeight="1">
      <c r="A536" s="20" t="str">
        <f>fact_kpi_weekly!A536</f>
        <v>261206</v>
      </c>
      <c r="B536" s="21">
        <f>fact_kpi_weekly!B536</f>
        <v>46362</v>
      </c>
      <c r="C536" s="9" t="str">
        <f>fact_kpi_weekly!C536</f>
        <v>Growth</v>
      </c>
      <c r="D536" s="9" t="str">
        <f>fact_kpi_weekly!D536</f>
        <v>Total Actives</v>
      </c>
      <c r="E536" s="9" t="str">
        <f>fact_kpi_weekly!E536</f>
        <v>Goal</v>
      </c>
      <c r="F536" s="9" t="str">
        <f>IF(fact_kpi_weekly!F536="","",fact_kpi_weekly!F536)</f>
        <v>Internal</v>
      </c>
      <c r="G536" s="9" t="str">
        <f>fact_kpi_weekly!G536</f>
        <v>N/A</v>
      </c>
      <c r="H536" s="9" t="str">
        <f>fact_kpi_weekly!H536</f>
        <v/>
      </c>
      <c r="I536" s="9">
        <f>fact_kpi_weekly!I536</f>
        <v>21537</v>
      </c>
      <c r="J536" s="22">
        <f>fact_kpi_weekly!J536</f>
        <v>21537</v>
      </c>
      <c r="K536" s="20" t="str">
        <f t="array" ref="K536">IFERROR(INDEX(dim_date!H:H,MATCH(A536,dim_date!A:A,0)),"")</f>
        <v>Dec</v>
      </c>
      <c r="L536" s="20" t="str">
        <f t="array" ref="L536">IFERROR(INDEX(dim_date!G:G,MATCH(A536,dim_date!A:A,0)),"")</f>
        <v>12</v>
      </c>
      <c r="M536" s="9" t="str">
        <f t="array" ref="M536">IFERROR(INDEX(dim_date!I:I,MATCH(A536,dim_date!A:A,0)),"")</f>
        <v>Q4</v>
      </c>
      <c r="N536" s="20" t="str">
        <f t="array" ref="N536">IFERROR(INDEX(dim_date!K:K,MATCH(A536,dim_date!A:A,0)),"")</f>
        <v>50</v>
      </c>
      <c r="O536" s="9" t="str">
        <f t="array" ref="O536">IFERROR(INDEX(dim_date!F:F,MATCH(A536,dim_date!A:A,0)),"")</f>
        <v>12/6-12/12</v>
      </c>
      <c r="P536" s="9" t="str">
        <f t="array" ref="P536">IFERROR(INDEX(dim_kpi!E:E,MATCH(D536,dim_kpi!C:C,0)),"")</f>
        <v>count</v>
      </c>
      <c r="Q536" s="9" t="str">
        <f t="array" ref="Q536">IFERROR(INDEX(dim_kpi!F:F,MATCH(D536,dim_kpi!C:C,0)),"")</f>
        <v>Y</v>
      </c>
    </row>
    <row r="537" ht="12.75" customHeight="1">
      <c r="A537" s="20" t="str">
        <f>fact_kpi_weekly!A537</f>
        <v>261213</v>
      </c>
      <c r="B537" s="21">
        <f>fact_kpi_weekly!B537</f>
        <v>46369</v>
      </c>
      <c r="C537" s="9" t="str">
        <f>fact_kpi_weekly!C537</f>
        <v>Growth</v>
      </c>
      <c r="D537" s="9" t="str">
        <f>fact_kpi_weekly!D537</f>
        <v>Total Actives</v>
      </c>
      <c r="E537" s="9" t="str">
        <f>fact_kpi_weekly!E537</f>
        <v>Goal</v>
      </c>
      <c r="F537" s="9" t="str">
        <f>IF(fact_kpi_weekly!F537="","",fact_kpi_weekly!F537)</f>
        <v>Internal</v>
      </c>
      <c r="G537" s="9" t="str">
        <f>fact_kpi_weekly!G537</f>
        <v>N/A</v>
      </c>
      <c r="H537" s="9" t="str">
        <f>fact_kpi_weekly!H537</f>
        <v/>
      </c>
      <c r="I537" s="9">
        <f>fact_kpi_weekly!I537</f>
        <v>21872</v>
      </c>
      <c r="J537" s="22">
        <f>fact_kpi_weekly!J537</f>
        <v>21872</v>
      </c>
      <c r="K537" s="20" t="str">
        <f t="array" ref="K537">IFERROR(INDEX(dim_date!H:H,MATCH(A537,dim_date!A:A,0)),"")</f>
        <v>Dec</v>
      </c>
      <c r="L537" s="20" t="str">
        <f t="array" ref="L537">IFERROR(INDEX(dim_date!G:G,MATCH(A537,dim_date!A:A,0)),"")</f>
        <v>12</v>
      </c>
      <c r="M537" s="9" t="str">
        <f t="array" ref="M537">IFERROR(INDEX(dim_date!I:I,MATCH(A537,dim_date!A:A,0)),"")</f>
        <v>Q4</v>
      </c>
      <c r="N537" s="20" t="str">
        <f t="array" ref="N537">IFERROR(INDEX(dim_date!K:K,MATCH(A537,dim_date!A:A,0)),"")</f>
        <v>51</v>
      </c>
      <c r="O537" s="9" t="str">
        <f t="array" ref="O537">IFERROR(INDEX(dim_date!F:F,MATCH(A537,dim_date!A:A,0)),"")</f>
        <v>12/13-12/19</v>
      </c>
      <c r="P537" s="9" t="str">
        <f t="array" ref="P537">IFERROR(INDEX(dim_kpi!E:E,MATCH(D537,dim_kpi!C:C,0)),"")</f>
        <v>count</v>
      </c>
      <c r="Q537" s="9" t="str">
        <f t="array" ref="Q537">IFERROR(INDEX(dim_kpi!F:F,MATCH(D537,dim_kpi!C:C,0)),"")</f>
        <v>Y</v>
      </c>
    </row>
    <row r="538" ht="12.75" customHeight="1">
      <c r="A538" s="20" t="str">
        <f>fact_kpi_weekly!A538</f>
        <v>261220</v>
      </c>
      <c r="B538" s="21">
        <f>fact_kpi_weekly!B538</f>
        <v>46376</v>
      </c>
      <c r="C538" s="9" t="str">
        <f>fact_kpi_weekly!C538</f>
        <v>Growth</v>
      </c>
      <c r="D538" s="9" t="str">
        <f>fact_kpi_weekly!D538</f>
        <v>Total Actives</v>
      </c>
      <c r="E538" s="9" t="str">
        <f>fact_kpi_weekly!E538</f>
        <v>Goal</v>
      </c>
      <c r="F538" s="9" t="str">
        <f>IF(fact_kpi_weekly!F538="","",fact_kpi_weekly!F538)</f>
        <v>Internal</v>
      </c>
      <c r="G538" s="9" t="str">
        <f>fact_kpi_weekly!G538</f>
        <v>N/A</v>
      </c>
      <c r="H538" s="9" t="str">
        <f>fact_kpi_weekly!H538</f>
        <v/>
      </c>
      <c r="I538" s="9">
        <f>fact_kpi_weekly!I538</f>
        <v>22140</v>
      </c>
      <c r="J538" s="22">
        <f>fact_kpi_weekly!J538</f>
        <v>22140</v>
      </c>
      <c r="K538" s="20" t="str">
        <f t="array" ref="K538">IFERROR(INDEX(dim_date!H:H,MATCH(A538,dim_date!A:A,0)),"")</f>
        <v>Dec</v>
      </c>
      <c r="L538" s="20" t="str">
        <f t="array" ref="L538">IFERROR(INDEX(dim_date!G:G,MATCH(A538,dim_date!A:A,0)),"")</f>
        <v>12</v>
      </c>
      <c r="M538" s="9" t="str">
        <f t="array" ref="M538">IFERROR(INDEX(dim_date!I:I,MATCH(A538,dim_date!A:A,0)),"")</f>
        <v>Q4</v>
      </c>
      <c r="N538" s="20" t="str">
        <f t="array" ref="N538">IFERROR(INDEX(dim_date!K:K,MATCH(A538,dim_date!A:A,0)),"")</f>
        <v>52</v>
      </c>
      <c r="O538" s="9" t="str">
        <f t="array" ref="O538">IFERROR(INDEX(dim_date!F:F,MATCH(A538,dim_date!A:A,0)),"")</f>
        <v>12/20-12/26</v>
      </c>
      <c r="P538" s="9" t="str">
        <f t="array" ref="P538">IFERROR(INDEX(dim_kpi!E:E,MATCH(D538,dim_kpi!C:C,0)),"")</f>
        <v>count</v>
      </c>
      <c r="Q538" s="9" t="str">
        <f t="array" ref="Q538">IFERROR(INDEX(dim_kpi!F:F,MATCH(D538,dim_kpi!C:C,0)),"")</f>
        <v>Y</v>
      </c>
    </row>
    <row r="539" ht="12.75" customHeight="1">
      <c r="A539" s="20" t="str">
        <f>fact_kpi_weekly!A539</f>
        <v>261227</v>
      </c>
      <c r="B539" s="21">
        <f>fact_kpi_weekly!B539</f>
        <v>46383</v>
      </c>
      <c r="C539" s="9" t="str">
        <f>fact_kpi_weekly!C539</f>
        <v>Growth</v>
      </c>
      <c r="D539" s="9" t="str">
        <f>fact_kpi_weekly!D539</f>
        <v>Total Actives</v>
      </c>
      <c r="E539" s="9" t="str">
        <f>fact_kpi_weekly!E539</f>
        <v>Goal</v>
      </c>
      <c r="F539" s="9" t="str">
        <f>IF(fact_kpi_weekly!F539="","",fact_kpi_weekly!F539)</f>
        <v>Internal</v>
      </c>
      <c r="G539" s="9" t="str">
        <f>fact_kpi_weekly!G539</f>
        <v>N/A</v>
      </c>
      <c r="H539" s="9" t="str">
        <f>fact_kpi_weekly!H539</f>
        <v/>
      </c>
      <c r="I539" s="9">
        <f>fact_kpi_weekly!I539</f>
        <v>22408</v>
      </c>
      <c r="J539" s="22">
        <f>fact_kpi_weekly!J539</f>
        <v>22408</v>
      </c>
      <c r="K539" s="20" t="str">
        <f t="array" ref="K539">IFERROR(INDEX(dim_date!H:H,MATCH(A539,dim_date!A:A,0)),"")</f>
        <v>Dec</v>
      </c>
      <c r="L539" s="20" t="str">
        <f t="array" ref="L539">IFERROR(INDEX(dim_date!G:G,MATCH(A539,dim_date!A:A,0)),"")</f>
        <v>12</v>
      </c>
      <c r="M539" s="9" t="str">
        <f t="array" ref="M539">IFERROR(INDEX(dim_date!I:I,MATCH(A539,dim_date!A:A,0)),"")</f>
        <v>Q4</v>
      </c>
      <c r="N539" s="20" t="str">
        <f t="array" ref="N539">IFERROR(INDEX(dim_date!K:K,MATCH(A539,dim_date!A:A,0)),"")</f>
        <v>53</v>
      </c>
      <c r="O539" s="9" t="str">
        <f t="array" ref="O539">IFERROR(INDEX(dim_date!F:F,MATCH(A539,dim_date!A:A,0)),"")</f>
        <v>12/27-1/2</v>
      </c>
      <c r="P539" s="9" t="str">
        <f t="array" ref="P539">IFERROR(INDEX(dim_kpi!E:E,MATCH(D539,dim_kpi!C:C,0)),"")</f>
        <v>count</v>
      </c>
      <c r="Q539" s="9" t="str">
        <f t="array" ref="Q539">IFERROR(INDEX(dim_kpi!F:F,MATCH(D539,dim_kpi!C:C,0)),"")</f>
        <v>Y</v>
      </c>
    </row>
    <row r="540" ht="12.75" customHeight="1">
      <c r="A540" s="20" t="str">
        <f>fact_kpi_weekly!A540</f>
        <v>260301</v>
      </c>
      <c r="B540" s="21">
        <f>fact_kpi_weekly!B540</f>
        <v>46082</v>
      </c>
      <c r="C540" s="9" t="str">
        <f>fact_kpi_weekly!C540</f>
        <v>Growth</v>
      </c>
      <c r="D540" s="9" t="str">
        <f>fact_kpi_weekly!D540</f>
        <v>Total Actives</v>
      </c>
      <c r="E540" s="9" t="str">
        <f>fact_kpi_weekly!E540</f>
        <v>Goal</v>
      </c>
      <c r="F540" s="9" t="str">
        <f>IF(fact_kpi_weekly!F540="","",fact_kpi_weekly!F540)</f>
        <v>Board</v>
      </c>
      <c r="G540" s="9" t="str">
        <f>fact_kpi_weekly!G540</f>
        <v>N/A</v>
      </c>
      <c r="H540" s="9" t="str">
        <f>fact_kpi_weekly!H540</f>
        <v/>
      </c>
      <c r="I540" s="9">
        <f>fact_kpi_weekly!I540</f>
        <v>8206</v>
      </c>
      <c r="J540" s="22">
        <f>fact_kpi_weekly!J540</f>
        <v>8206</v>
      </c>
      <c r="K540" s="20" t="str">
        <f t="array" ref="K540">IFERROR(INDEX(dim_date!H:H,MATCH(A540,dim_date!A:A,0)),"")</f>
        <v>Mar</v>
      </c>
      <c r="L540" s="20" t="str">
        <f t="array" ref="L540">IFERROR(INDEX(dim_date!G:G,MATCH(A540,dim_date!A:A,0)),"")</f>
        <v>03</v>
      </c>
      <c r="M540" s="9" t="str">
        <f t="array" ref="M540">IFERROR(INDEX(dim_date!I:I,MATCH(A540,dim_date!A:A,0)),"")</f>
        <v>Q1</v>
      </c>
      <c r="N540" s="20" t="str">
        <f t="array" ref="N540">IFERROR(INDEX(dim_date!K:K,MATCH(A540,dim_date!A:A,0)),"")</f>
        <v>10</v>
      </c>
      <c r="O540" s="9" t="str">
        <f t="array" ref="O540">IFERROR(INDEX(dim_date!F:F,MATCH(A540,dim_date!A:A,0)),"")</f>
        <v>3/1-3/7</v>
      </c>
      <c r="P540" s="9" t="str">
        <f t="array" ref="P540">IFERROR(INDEX(dim_kpi!E:E,MATCH(D540,dim_kpi!C:C,0)),"")</f>
        <v>count</v>
      </c>
      <c r="Q540" s="9" t="str">
        <f t="array" ref="Q540">IFERROR(INDEX(dim_kpi!F:F,MATCH(D540,dim_kpi!C:C,0)),"")</f>
        <v>Y</v>
      </c>
    </row>
    <row r="541" ht="12.75" customHeight="1">
      <c r="A541" s="20" t="str">
        <f>fact_kpi_weekly!A541</f>
        <v>260308</v>
      </c>
      <c r="B541" s="21">
        <f>fact_kpi_weekly!B541</f>
        <v>46089</v>
      </c>
      <c r="C541" s="9" t="str">
        <f>fact_kpi_weekly!C541</f>
        <v>Growth</v>
      </c>
      <c r="D541" s="9" t="str">
        <f>fact_kpi_weekly!D541</f>
        <v>Total Actives</v>
      </c>
      <c r="E541" s="9" t="str">
        <f>fact_kpi_weekly!E541</f>
        <v>Goal</v>
      </c>
      <c r="F541" s="9" t="str">
        <f>IF(fact_kpi_weekly!F541="","",fact_kpi_weekly!F541)</f>
        <v>Board</v>
      </c>
      <c r="G541" s="9" t="str">
        <f>fact_kpi_weekly!G541</f>
        <v>N/A</v>
      </c>
      <c r="H541" s="9" t="str">
        <f>fact_kpi_weekly!H541</f>
        <v/>
      </c>
      <c r="I541" s="9">
        <f>fact_kpi_weekly!I541</f>
        <v>8166</v>
      </c>
      <c r="J541" s="22">
        <f>fact_kpi_weekly!J541</f>
        <v>8166</v>
      </c>
      <c r="K541" s="20" t="str">
        <f t="array" ref="K541">IFERROR(INDEX(dim_date!H:H,MATCH(A541,dim_date!A:A,0)),"")</f>
        <v>Mar</v>
      </c>
      <c r="L541" s="20" t="str">
        <f t="array" ref="L541">IFERROR(INDEX(dim_date!G:G,MATCH(A541,dim_date!A:A,0)),"")</f>
        <v>03</v>
      </c>
      <c r="M541" s="9" t="str">
        <f t="array" ref="M541">IFERROR(INDEX(dim_date!I:I,MATCH(A541,dim_date!A:A,0)),"")</f>
        <v>Q1</v>
      </c>
      <c r="N541" s="20" t="str">
        <f t="array" ref="N541">IFERROR(INDEX(dim_date!K:K,MATCH(A541,dim_date!A:A,0)),"")</f>
        <v>11</v>
      </c>
      <c r="O541" s="9" t="str">
        <f t="array" ref="O541">IFERROR(INDEX(dim_date!F:F,MATCH(A541,dim_date!A:A,0)),"")</f>
        <v>3/8-3/14</v>
      </c>
      <c r="P541" s="9" t="str">
        <f t="array" ref="P541">IFERROR(INDEX(dim_kpi!E:E,MATCH(D541,dim_kpi!C:C,0)),"")</f>
        <v>count</v>
      </c>
      <c r="Q541" s="9" t="str">
        <f t="array" ref="Q541">IFERROR(INDEX(dim_kpi!F:F,MATCH(D541,dim_kpi!C:C,0)),"")</f>
        <v>Y</v>
      </c>
    </row>
    <row r="542" ht="12.75" customHeight="1">
      <c r="A542" s="20" t="str">
        <f>fact_kpi_weekly!A542</f>
        <v>260315</v>
      </c>
      <c r="B542" s="21">
        <f>fact_kpi_weekly!B542</f>
        <v>46096</v>
      </c>
      <c r="C542" s="9" t="str">
        <f>fact_kpi_weekly!C542</f>
        <v>Growth</v>
      </c>
      <c r="D542" s="9" t="str">
        <f>fact_kpi_weekly!D542</f>
        <v>Total Actives</v>
      </c>
      <c r="E542" s="9" t="str">
        <f>fact_kpi_weekly!E542</f>
        <v>Goal</v>
      </c>
      <c r="F542" s="9" t="str">
        <f>IF(fact_kpi_weekly!F542="","",fact_kpi_weekly!F542)</f>
        <v>Board</v>
      </c>
      <c r="G542" s="9" t="str">
        <f>fact_kpi_weekly!G542</f>
        <v>N/A</v>
      </c>
      <c r="H542" s="9" t="str">
        <f>fact_kpi_weekly!H542</f>
        <v/>
      </c>
      <c r="I542" s="9">
        <f>fact_kpi_weekly!I542</f>
        <v>8126</v>
      </c>
      <c r="J542" s="22">
        <f>fact_kpi_weekly!J542</f>
        <v>8126</v>
      </c>
      <c r="K542" s="20" t="str">
        <f t="array" ref="K542">IFERROR(INDEX(dim_date!H:H,MATCH(A542,dim_date!A:A,0)),"")</f>
        <v>Mar</v>
      </c>
      <c r="L542" s="20" t="str">
        <f t="array" ref="L542">IFERROR(INDEX(dim_date!G:G,MATCH(A542,dim_date!A:A,0)),"")</f>
        <v>03</v>
      </c>
      <c r="M542" s="9" t="str">
        <f t="array" ref="M542">IFERROR(INDEX(dim_date!I:I,MATCH(A542,dim_date!A:A,0)),"")</f>
        <v>Q1</v>
      </c>
      <c r="N542" s="20" t="str">
        <f t="array" ref="N542">IFERROR(INDEX(dim_date!K:K,MATCH(A542,dim_date!A:A,0)),"")</f>
        <v>12</v>
      </c>
      <c r="O542" s="9" t="str">
        <f t="array" ref="O542">IFERROR(INDEX(dim_date!F:F,MATCH(A542,dim_date!A:A,0)),"")</f>
        <v>3/15-3/21</v>
      </c>
      <c r="P542" s="9" t="str">
        <f t="array" ref="P542">IFERROR(INDEX(dim_kpi!E:E,MATCH(D542,dim_kpi!C:C,0)),"")</f>
        <v>count</v>
      </c>
      <c r="Q542" s="9" t="str">
        <f t="array" ref="Q542">IFERROR(INDEX(dim_kpi!F:F,MATCH(D542,dim_kpi!C:C,0)),"")</f>
        <v>Y</v>
      </c>
    </row>
    <row r="543" ht="12.75" customHeight="1">
      <c r="A543" s="20" t="str">
        <f>fact_kpi_weekly!A543</f>
        <v>260322</v>
      </c>
      <c r="B543" s="21">
        <f>fact_kpi_weekly!B543</f>
        <v>46103</v>
      </c>
      <c r="C543" s="9" t="str">
        <f>fact_kpi_weekly!C543</f>
        <v>Growth</v>
      </c>
      <c r="D543" s="9" t="str">
        <f>fact_kpi_weekly!D543</f>
        <v>Total Actives</v>
      </c>
      <c r="E543" s="9" t="str">
        <f>fact_kpi_weekly!E543</f>
        <v>Goal</v>
      </c>
      <c r="F543" s="9" t="str">
        <f>IF(fact_kpi_weekly!F543="","",fact_kpi_weekly!F543)</f>
        <v>Board</v>
      </c>
      <c r="G543" s="9" t="str">
        <f>fact_kpi_weekly!G543</f>
        <v>N/A</v>
      </c>
      <c r="H543" s="9" t="str">
        <f>fact_kpi_weekly!H543</f>
        <v/>
      </c>
      <c r="I543" s="9">
        <f>fact_kpi_weekly!I543</f>
        <v>8086</v>
      </c>
      <c r="J543" s="22">
        <f>fact_kpi_weekly!J543</f>
        <v>8086</v>
      </c>
      <c r="K543" s="20" t="str">
        <f t="array" ref="K543">IFERROR(INDEX(dim_date!H:H,MATCH(A543,dim_date!A:A,0)),"")</f>
        <v>Mar</v>
      </c>
      <c r="L543" s="20" t="str">
        <f t="array" ref="L543">IFERROR(INDEX(dim_date!G:G,MATCH(A543,dim_date!A:A,0)),"")</f>
        <v>03</v>
      </c>
      <c r="M543" s="9" t="str">
        <f t="array" ref="M543">IFERROR(INDEX(dim_date!I:I,MATCH(A543,dim_date!A:A,0)),"")</f>
        <v>Q1</v>
      </c>
      <c r="N543" s="20" t="str">
        <f t="array" ref="N543">IFERROR(INDEX(dim_date!K:K,MATCH(A543,dim_date!A:A,0)),"")</f>
        <v>13</v>
      </c>
      <c r="O543" s="9" t="str">
        <f t="array" ref="O543">IFERROR(INDEX(dim_date!F:F,MATCH(A543,dim_date!A:A,0)),"")</f>
        <v>3/22-3/28</v>
      </c>
      <c r="P543" s="9" t="str">
        <f t="array" ref="P543">IFERROR(INDEX(dim_kpi!E:E,MATCH(D543,dim_kpi!C:C,0)),"")</f>
        <v>count</v>
      </c>
      <c r="Q543" s="9" t="str">
        <f t="array" ref="Q543">IFERROR(INDEX(dim_kpi!F:F,MATCH(D543,dim_kpi!C:C,0)),"")</f>
        <v>Y</v>
      </c>
    </row>
    <row r="544" ht="12.75" customHeight="1">
      <c r="A544" s="20" t="str">
        <f>fact_kpi_weekly!A544</f>
        <v>260329</v>
      </c>
      <c r="B544" s="21">
        <f>fact_kpi_weekly!B544</f>
        <v>46110</v>
      </c>
      <c r="C544" s="9" t="str">
        <f>fact_kpi_weekly!C544</f>
        <v>Growth</v>
      </c>
      <c r="D544" s="9" t="str">
        <f>fact_kpi_weekly!D544</f>
        <v>Total Actives</v>
      </c>
      <c r="E544" s="9" t="str">
        <f>fact_kpi_weekly!E544</f>
        <v>Goal</v>
      </c>
      <c r="F544" s="9" t="str">
        <f>IF(fact_kpi_weekly!F544="","",fact_kpi_weekly!F544)</f>
        <v>Board</v>
      </c>
      <c r="G544" s="9" t="str">
        <f>fact_kpi_weekly!G544</f>
        <v>N/A</v>
      </c>
      <c r="H544" s="9" t="str">
        <f>fact_kpi_weekly!H544</f>
        <v/>
      </c>
      <c r="I544" s="9">
        <f>fact_kpi_weekly!I544</f>
        <v>8139</v>
      </c>
      <c r="J544" s="22">
        <f>fact_kpi_weekly!J544</f>
        <v>8139</v>
      </c>
      <c r="K544" s="20" t="str">
        <f t="array" ref="K544">IFERROR(INDEX(dim_date!H:H,MATCH(A544,dim_date!A:A,0)),"")</f>
        <v>Mar</v>
      </c>
      <c r="L544" s="20" t="str">
        <f t="array" ref="L544">IFERROR(INDEX(dim_date!G:G,MATCH(A544,dim_date!A:A,0)),"")</f>
        <v>03</v>
      </c>
      <c r="M544" s="9" t="str">
        <f t="array" ref="M544">IFERROR(INDEX(dim_date!I:I,MATCH(A544,dim_date!A:A,0)),"")</f>
        <v>Q1</v>
      </c>
      <c r="N544" s="20" t="str">
        <f t="array" ref="N544">IFERROR(INDEX(dim_date!K:K,MATCH(A544,dim_date!A:A,0)),"")</f>
        <v>14</v>
      </c>
      <c r="O544" s="9" t="str">
        <f t="array" ref="O544">IFERROR(INDEX(dim_date!F:F,MATCH(A544,dim_date!A:A,0)),"")</f>
        <v>3/29-4/4</v>
      </c>
      <c r="P544" s="9" t="str">
        <f t="array" ref="P544">IFERROR(INDEX(dim_kpi!E:E,MATCH(D544,dim_kpi!C:C,0)),"")</f>
        <v>count</v>
      </c>
      <c r="Q544" s="9" t="str">
        <f t="array" ref="Q544">IFERROR(INDEX(dim_kpi!F:F,MATCH(D544,dim_kpi!C:C,0)),"")</f>
        <v>Y</v>
      </c>
    </row>
    <row r="545" ht="12.75" customHeight="1">
      <c r="A545" s="20" t="str">
        <f>fact_kpi_weekly!A545</f>
        <v>260405</v>
      </c>
      <c r="B545" s="21">
        <f>fact_kpi_weekly!B545</f>
        <v>46117</v>
      </c>
      <c r="C545" s="9" t="str">
        <f>fact_kpi_weekly!C545</f>
        <v>Growth</v>
      </c>
      <c r="D545" s="9" t="str">
        <f>fact_kpi_weekly!D545</f>
        <v>Total Actives</v>
      </c>
      <c r="E545" s="9" t="str">
        <f>fact_kpi_weekly!E545</f>
        <v>Goal</v>
      </c>
      <c r="F545" s="9" t="str">
        <f>IF(fact_kpi_weekly!F545="","",fact_kpi_weekly!F545)</f>
        <v>Board</v>
      </c>
      <c r="G545" s="9" t="str">
        <f>fact_kpi_weekly!G545</f>
        <v>N/A</v>
      </c>
      <c r="H545" s="9" t="str">
        <f>fact_kpi_weekly!H545</f>
        <v/>
      </c>
      <c r="I545" s="9">
        <f>fact_kpi_weekly!I545</f>
        <v>8254</v>
      </c>
      <c r="J545" s="22">
        <f>fact_kpi_weekly!J545</f>
        <v>8254</v>
      </c>
      <c r="K545" s="20" t="str">
        <f t="array" ref="K545">IFERROR(INDEX(dim_date!H:H,MATCH(A545,dim_date!A:A,0)),"")</f>
        <v>Apr</v>
      </c>
      <c r="L545" s="20" t="str">
        <f t="array" ref="L545">IFERROR(INDEX(dim_date!G:G,MATCH(A545,dim_date!A:A,0)),"")</f>
        <v>04</v>
      </c>
      <c r="M545" s="9" t="str">
        <f t="array" ref="M545">IFERROR(INDEX(dim_date!I:I,MATCH(A545,dim_date!A:A,0)),"")</f>
        <v>Q2</v>
      </c>
      <c r="N545" s="20" t="str">
        <f t="array" ref="N545">IFERROR(INDEX(dim_date!K:K,MATCH(A545,dim_date!A:A,0)),"")</f>
        <v>15</v>
      </c>
      <c r="O545" s="9" t="str">
        <f t="array" ref="O545">IFERROR(INDEX(dim_date!F:F,MATCH(A545,dim_date!A:A,0)),"")</f>
        <v>4/5-4/11</v>
      </c>
      <c r="P545" s="9" t="str">
        <f t="array" ref="P545">IFERROR(INDEX(dim_kpi!E:E,MATCH(D545,dim_kpi!C:C,0)),"")</f>
        <v>count</v>
      </c>
      <c r="Q545" s="9" t="str">
        <f t="array" ref="Q545">IFERROR(INDEX(dim_kpi!F:F,MATCH(D545,dim_kpi!C:C,0)),"")</f>
        <v>Y</v>
      </c>
    </row>
    <row r="546" ht="12.75" customHeight="1">
      <c r="A546" s="20" t="str">
        <f>fact_kpi_weekly!A546</f>
        <v>260412</v>
      </c>
      <c r="B546" s="21">
        <f>fact_kpi_weekly!B546</f>
        <v>46124</v>
      </c>
      <c r="C546" s="9" t="str">
        <f>fact_kpi_weekly!C546</f>
        <v>Growth</v>
      </c>
      <c r="D546" s="9" t="str">
        <f>fact_kpi_weekly!D546</f>
        <v>Total Actives</v>
      </c>
      <c r="E546" s="9" t="str">
        <f>fact_kpi_weekly!E546</f>
        <v>Goal</v>
      </c>
      <c r="F546" s="9" t="str">
        <f>IF(fact_kpi_weekly!F546="","",fact_kpi_weekly!F546)</f>
        <v>Board</v>
      </c>
      <c r="G546" s="9" t="str">
        <f>fact_kpi_weekly!G546</f>
        <v>N/A</v>
      </c>
      <c r="H546" s="9" t="str">
        <f>fact_kpi_weekly!H546</f>
        <v/>
      </c>
      <c r="I546" s="9">
        <f>fact_kpi_weekly!I546</f>
        <v>8369</v>
      </c>
      <c r="J546" s="22">
        <f>fact_kpi_weekly!J546</f>
        <v>8369</v>
      </c>
      <c r="K546" s="20" t="str">
        <f t="array" ref="K546">IFERROR(INDEX(dim_date!H:H,MATCH(A546,dim_date!A:A,0)),"")</f>
        <v>Apr</v>
      </c>
      <c r="L546" s="20" t="str">
        <f t="array" ref="L546">IFERROR(INDEX(dim_date!G:G,MATCH(A546,dim_date!A:A,0)),"")</f>
        <v>04</v>
      </c>
      <c r="M546" s="9" t="str">
        <f t="array" ref="M546">IFERROR(INDEX(dim_date!I:I,MATCH(A546,dim_date!A:A,0)),"")</f>
        <v>Q2</v>
      </c>
      <c r="N546" s="20" t="str">
        <f t="array" ref="N546">IFERROR(INDEX(dim_date!K:K,MATCH(A546,dim_date!A:A,0)),"")</f>
        <v>16</v>
      </c>
      <c r="O546" s="9" t="str">
        <f t="array" ref="O546">IFERROR(INDEX(dim_date!F:F,MATCH(A546,dim_date!A:A,0)),"")</f>
        <v>4/12-4/18</v>
      </c>
      <c r="P546" s="9" t="str">
        <f t="array" ref="P546">IFERROR(INDEX(dim_kpi!E:E,MATCH(D546,dim_kpi!C:C,0)),"")</f>
        <v>count</v>
      </c>
      <c r="Q546" s="9" t="str">
        <f t="array" ref="Q546">IFERROR(INDEX(dim_kpi!F:F,MATCH(D546,dim_kpi!C:C,0)),"")</f>
        <v>Y</v>
      </c>
    </row>
    <row r="547" ht="12.75" customHeight="1">
      <c r="A547" s="20" t="str">
        <f>fact_kpi_weekly!A547</f>
        <v>260419</v>
      </c>
      <c r="B547" s="21">
        <f>fact_kpi_weekly!B547</f>
        <v>46131</v>
      </c>
      <c r="C547" s="9" t="str">
        <f>fact_kpi_weekly!C547</f>
        <v>Growth</v>
      </c>
      <c r="D547" s="9" t="str">
        <f>fact_kpi_weekly!D547</f>
        <v>Total Actives</v>
      </c>
      <c r="E547" s="9" t="str">
        <f>fact_kpi_weekly!E547</f>
        <v>Goal</v>
      </c>
      <c r="F547" s="9" t="str">
        <f>IF(fact_kpi_weekly!F547="","",fact_kpi_weekly!F547)</f>
        <v>Board</v>
      </c>
      <c r="G547" s="9" t="str">
        <f>fact_kpi_weekly!G547</f>
        <v>N/A</v>
      </c>
      <c r="H547" s="9" t="str">
        <f>fact_kpi_weekly!H547</f>
        <v/>
      </c>
      <c r="I547" s="9">
        <f>fact_kpi_weekly!I547</f>
        <v>8484</v>
      </c>
      <c r="J547" s="22">
        <f>fact_kpi_weekly!J547</f>
        <v>8484</v>
      </c>
      <c r="K547" s="20" t="str">
        <f t="array" ref="K547">IFERROR(INDEX(dim_date!H:H,MATCH(A547,dim_date!A:A,0)),"")</f>
        <v>Apr</v>
      </c>
      <c r="L547" s="20" t="str">
        <f t="array" ref="L547">IFERROR(INDEX(dim_date!G:G,MATCH(A547,dim_date!A:A,0)),"")</f>
        <v>04</v>
      </c>
      <c r="M547" s="9" t="str">
        <f t="array" ref="M547">IFERROR(INDEX(dim_date!I:I,MATCH(A547,dim_date!A:A,0)),"")</f>
        <v>Q2</v>
      </c>
      <c r="N547" s="20" t="str">
        <f t="array" ref="N547">IFERROR(INDEX(dim_date!K:K,MATCH(A547,dim_date!A:A,0)),"")</f>
        <v>17</v>
      </c>
      <c r="O547" s="9" t="str">
        <f t="array" ref="O547">IFERROR(INDEX(dim_date!F:F,MATCH(A547,dim_date!A:A,0)),"")</f>
        <v>4/19-4/25</v>
      </c>
      <c r="P547" s="9" t="str">
        <f t="array" ref="P547">IFERROR(INDEX(dim_kpi!E:E,MATCH(D547,dim_kpi!C:C,0)),"")</f>
        <v>count</v>
      </c>
      <c r="Q547" s="9" t="str">
        <f t="array" ref="Q547">IFERROR(INDEX(dim_kpi!F:F,MATCH(D547,dim_kpi!C:C,0)),"")</f>
        <v>Y</v>
      </c>
    </row>
    <row r="548" ht="12.75" customHeight="1">
      <c r="A548" s="20" t="str">
        <f>fact_kpi_weekly!A548</f>
        <v>260426</v>
      </c>
      <c r="B548" s="21">
        <f>fact_kpi_weekly!B548</f>
        <v>46138</v>
      </c>
      <c r="C548" s="9" t="str">
        <f>fact_kpi_weekly!C548</f>
        <v>Growth</v>
      </c>
      <c r="D548" s="9" t="str">
        <f>fact_kpi_weekly!D548</f>
        <v>Total Actives</v>
      </c>
      <c r="E548" s="9" t="str">
        <f>fact_kpi_weekly!E548</f>
        <v>Goal</v>
      </c>
      <c r="F548" s="9" t="str">
        <f>IF(fact_kpi_weekly!F548="","",fact_kpi_weekly!F548)</f>
        <v>Board</v>
      </c>
      <c r="G548" s="9" t="str">
        <f>fact_kpi_weekly!G548</f>
        <v>N/A</v>
      </c>
      <c r="H548" s="9" t="str">
        <f>fact_kpi_weekly!H548</f>
        <v/>
      </c>
      <c r="I548" s="9">
        <f>fact_kpi_weekly!I548</f>
        <v>8617</v>
      </c>
      <c r="J548" s="22">
        <f>fact_kpi_weekly!J548</f>
        <v>8617</v>
      </c>
      <c r="K548" s="20" t="str">
        <f t="array" ref="K548">IFERROR(INDEX(dim_date!H:H,MATCH(A548,dim_date!A:A,0)),"")</f>
        <v>Apr</v>
      </c>
      <c r="L548" s="20" t="str">
        <f t="array" ref="L548">IFERROR(INDEX(dim_date!G:G,MATCH(A548,dim_date!A:A,0)),"")</f>
        <v>04</v>
      </c>
      <c r="M548" s="9" t="str">
        <f t="array" ref="M548">IFERROR(INDEX(dim_date!I:I,MATCH(A548,dim_date!A:A,0)),"")</f>
        <v>Q2</v>
      </c>
      <c r="N548" s="20" t="str">
        <f t="array" ref="N548">IFERROR(INDEX(dim_date!K:K,MATCH(A548,dim_date!A:A,0)),"")</f>
        <v>18</v>
      </c>
      <c r="O548" s="9" t="str">
        <f t="array" ref="O548">IFERROR(INDEX(dim_date!F:F,MATCH(A548,dim_date!A:A,0)),"")</f>
        <v>4/26-5/2</v>
      </c>
      <c r="P548" s="9" t="str">
        <f t="array" ref="P548">IFERROR(INDEX(dim_kpi!E:E,MATCH(D548,dim_kpi!C:C,0)),"")</f>
        <v>count</v>
      </c>
      <c r="Q548" s="9" t="str">
        <f t="array" ref="Q548">IFERROR(INDEX(dim_kpi!F:F,MATCH(D548,dim_kpi!C:C,0)),"")</f>
        <v>Y</v>
      </c>
    </row>
    <row r="549" ht="12.75" customHeight="1">
      <c r="A549" s="20" t="str">
        <f>fact_kpi_weekly!A549</f>
        <v>260503</v>
      </c>
      <c r="B549" s="21">
        <f>fact_kpi_weekly!B549</f>
        <v>46145</v>
      </c>
      <c r="C549" s="9" t="str">
        <f>fact_kpi_weekly!C549</f>
        <v>Growth</v>
      </c>
      <c r="D549" s="9" t="str">
        <f>fact_kpi_weekly!D549</f>
        <v>Total Actives</v>
      </c>
      <c r="E549" s="9" t="str">
        <f>fact_kpi_weekly!E549</f>
        <v>Goal</v>
      </c>
      <c r="F549" s="9" t="str">
        <f>IF(fact_kpi_weekly!F549="","",fact_kpi_weekly!F549)</f>
        <v>Board</v>
      </c>
      <c r="G549" s="9" t="str">
        <f>fact_kpi_weekly!G549</f>
        <v>N/A</v>
      </c>
      <c r="H549" s="9" t="str">
        <f>fact_kpi_weekly!H549</f>
        <v/>
      </c>
      <c r="I549" s="9">
        <f>fact_kpi_weekly!I549</f>
        <v>8822</v>
      </c>
      <c r="J549" s="22">
        <f>fact_kpi_weekly!J549</f>
        <v>8822</v>
      </c>
      <c r="K549" s="20" t="str">
        <f t="array" ref="K549">IFERROR(INDEX(dim_date!H:H,MATCH(A549,dim_date!A:A,0)),"")</f>
        <v>May</v>
      </c>
      <c r="L549" s="20" t="str">
        <f t="array" ref="L549">IFERROR(INDEX(dim_date!G:G,MATCH(A549,dim_date!A:A,0)),"")</f>
        <v>05</v>
      </c>
      <c r="M549" s="9" t="str">
        <f t="array" ref="M549">IFERROR(INDEX(dim_date!I:I,MATCH(A549,dim_date!A:A,0)),"")</f>
        <v>Q2</v>
      </c>
      <c r="N549" s="20" t="str">
        <f t="array" ref="N549">IFERROR(INDEX(dim_date!K:K,MATCH(A549,dim_date!A:A,0)),"")</f>
        <v>19</v>
      </c>
      <c r="O549" s="9" t="str">
        <f t="array" ref="O549">IFERROR(INDEX(dim_date!F:F,MATCH(A549,dim_date!A:A,0)),"")</f>
        <v>5/3-5/9</v>
      </c>
      <c r="P549" s="9" t="str">
        <f t="array" ref="P549">IFERROR(INDEX(dim_kpi!E:E,MATCH(D549,dim_kpi!C:C,0)),"")</f>
        <v>count</v>
      </c>
      <c r="Q549" s="9" t="str">
        <f t="array" ref="Q549">IFERROR(INDEX(dim_kpi!F:F,MATCH(D549,dim_kpi!C:C,0)),"")</f>
        <v>Y</v>
      </c>
    </row>
    <row r="550" ht="12.75" customHeight="1">
      <c r="A550" s="20" t="str">
        <f>fact_kpi_weekly!A550</f>
        <v>260510</v>
      </c>
      <c r="B550" s="21">
        <f>fact_kpi_weekly!B550</f>
        <v>46152</v>
      </c>
      <c r="C550" s="9" t="str">
        <f>fact_kpi_weekly!C550</f>
        <v>Growth</v>
      </c>
      <c r="D550" s="9" t="str">
        <f>fact_kpi_weekly!D550</f>
        <v>Total Actives</v>
      </c>
      <c r="E550" s="9" t="str">
        <f>fact_kpi_weekly!E550</f>
        <v>Goal</v>
      </c>
      <c r="F550" s="9" t="str">
        <f>IF(fact_kpi_weekly!F550="","",fact_kpi_weekly!F550)</f>
        <v>Board</v>
      </c>
      <c r="G550" s="9" t="str">
        <f>fact_kpi_weekly!G550</f>
        <v>N/A</v>
      </c>
      <c r="H550" s="9" t="str">
        <f>fact_kpi_weekly!H550</f>
        <v/>
      </c>
      <c r="I550" s="9">
        <f>fact_kpi_weekly!I550</f>
        <v>9027</v>
      </c>
      <c r="J550" s="22">
        <f>fact_kpi_weekly!J550</f>
        <v>9027</v>
      </c>
      <c r="K550" s="20" t="str">
        <f t="array" ref="K550">IFERROR(INDEX(dim_date!H:H,MATCH(A550,dim_date!A:A,0)),"")</f>
        <v>May</v>
      </c>
      <c r="L550" s="20" t="str">
        <f t="array" ref="L550">IFERROR(INDEX(dim_date!G:G,MATCH(A550,dim_date!A:A,0)),"")</f>
        <v>05</v>
      </c>
      <c r="M550" s="9" t="str">
        <f t="array" ref="M550">IFERROR(INDEX(dim_date!I:I,MATCH(A550,dim_date!A:A,0)),"")</f>
        <v>Q2</v>
      </c>
      <c r="N550" s="20" t="str">
        <f t="array" ref="N550">IFERROR(INDEX(dim_date!K:K,MATCH(A550,dim_date!A:A,0)),"")</f>
        <v>20</v>
      </c>
      <c r="O550" s="9" t="str">
        <f t="array" ref="O550">IFERROR(INDEX(dim_date!F:F,MATCH(A550,dim_date!A:A,0)),"")</f>
        <v>5/10-5/16</v>
      </c>
      <c r="P550" s="9" t="str">
        <f t="array" ref="P550">IFERROR(INDEX(dim_kpi!E:E,MATCH(D550,dim_kpi!C:C,0)),"")</f>
        <v>count</v>
      </c>
      <c r="Q550" s="9" t="str">
        <f t="array" ref="Q550">IFERROR(INDEX(dim_kpi!F:F,MATCH(D550,dim_kpi!C:C,0)),"")</f>
        <v>Y</v>
      </c>
    </row>
    <row r="551" ht="12.75" customHeight="1">
      <c r="A551" s="20" t="str">
        <f>fact_kpi_weekly!A551</f>
        <v>260517</v>
      </c>
      <c r="B551" s="21">
        <f>fact_kpi_weekly!B551</f>
        <v>46159</v>
      </c>
      <c r="C551" s="9" t="str">
        <f>fact_kpi_weekly!C551</f>
        <v>Growth</v>
      </c>
      <c r="D551" s="9" t="str">
        <f>fact_kpi_weekly!D551</f>
        <v>Total Actives</v>
      </c>
      <c r="E551" s="9" t="str">
        <f>fact_kpi_weekly!E551</f>
        <v>Goal</v>
      </c>
      <c r="F551" s="9" t="str">
        <f>IF(fact_kpi_weekly!F551="","",fact_kpi_weekly!F551)</f>
        <v>Board</v>
      </c>
      <c r="G551" s="9" t="str">
        <f>fact_kpi_weekly!G551</f>
        <v>N/A</v>
      </c>
      <c r="H551" s="9" t="str">
        <f>fact_kpi_weekly!H551</f>
        <v/>
      </c>
      <c r="I551" s="9">
        <f>fact_kpi_weekly!I551</f>
        <v>9232</v>
      </c>
      <c r="J551" s="22">
        <f>fact_kpi_weekly!J551</f>
        <v>9232</v>
      </c>
      <c r="K551" s="20" t="str">
        <f t="array" ref="K551">IFERROR(INDEX(dim_date!H:H,MATCH(A551,dim_date!A:A,0)),"")</f>
        <v>May</v>
      </c>
      <c r="L551" s="20" t="str">
        <f t="array" ref="L551">IFERROR(INDEX(dim_date!G:G,MATCH(A551,dim_date!A:A,0)),"")</f>
        <v>05</v>
      </c>
      <c r="M551" s="9" t="str">
        <f t="array" ref="M551">IFERROR(INDEX(dim_date!I:I,MATCH(A551,dim_date!A:A,0)),"")</f>
        <v>Q2</v>
      </c>
      <c r="N551" s="20" t="str">
        <f t="array" ref="N551">IFERROR(INDEX(dim_date!K:K,MATCH(A551,dim_date!A:A,0)),"")</f>
        <v>21</v>
      </c>
      <c r="O551" s="9" t="str">
        <f t="array" ref="O551">IFERROR(INDEX(dim_date!F:F,MATCH(A551,dim_date!A:A,0)),"")</f>
        <v>5/17-5/23</v>
      </c>
      <c r="P551" s="9" t="str">
        <f t="array" ref="P551">IFERROR(INDEX(dim_kpi!E:E,MATCH(D551,dim_kpi!C:C,0)),"")</f>
        <v>count</v>
      </c>
      <c r="Q551" s="9" t="str">
        <f t="array" ref="Q551">IFERROR(INDEX(dim_kpi!F:F,MATCH(D551,dim_kpi!C:C,0)),"")</f>
        <v>Y</v>
      </c>
    </row>
    <row r="552" ht="12.75" customHeight="1">
      <c r="A552" s="20" t="str">
        <f>fact_kpi_weekly!A552</f>
        <v>260524</v>
      </c>
      <c r="B552" s="21">
        <f>fact_kpi_weekly!B552</f>
        <v>46166</v>
      </c>
      <c r="C552" s="9" t="str">
        <f>fact_kpi_weekly!C552</f>
        <v>Growth</v>
      </c>
      <c r="D552" s="9" t="str">
        <f>fact_kpi_weekly!D552</f>
        <v>Total Actives</v>
      </c>
      <c r="E552" s="9" t="str">
        <f>fact_kpi_weekly!E552</f>
        <v>Goal</v>
      </c>
      <c r="F552" s="9" t="str">
        <f>IF(fact_kpi_weekly!F552="","",fact_kpi_weekly!F552)</f>
        <v>Board</v>
      </c>
      <c r="G552" s="9" t="str">
        <f>fact_kpi_weekly!G552</f>
        <v>N/A</v>
      </c>
      <c r="H552" s="9" t="str">
        <f>fact_kpi_weekly!H552</f>
        <v/>
      </c>
      <c r="I552" s="9">
        <f>fact_kpi_weekly!I552</f>
        <v>9396</v>
      </c>
      <c r="J552" s="22">
        <f>fact_kpi_weekly!J552</f>
        <v>9396</v>
      </c>
      <c r="K552" s="20" t="str">
        <f t="array" ref="K552">IFERROR(INDEX(dim_date!H:H,MATCH(A552,dim_date!A:A,0)),"")</f>
        <v>May</v>
      </c>
      <c r="L552" s="20" t="str">
        <f t="array" ref="L552">IFERROR(INDEX(dim_date!G:G,MATCH(A552,dim_date!A:A,0)),"")</f>
        <v>05</v>
      </c>
      <c r="M552" s="9" t="str">
        <f t="array" ref="M552">IFERROR(INDEX(dim_date!I:I,MATCH(A552,dim_date!A:A,0)),"")</f>
        <v>Q2</v>
      </c>
      <c r="N552" s="20" t="str">
        <f t="array" ref="N552">IFERROR(INDEX(dim_date!K:K,MATCH(A552,dim_date!A:A,0)),"")</f>
        <v>22</v>
      </c>
      <c r="O552" s="9" t="str">
        <f t="array" ref="O552">IFERROR(INDEX(dim_date!F:F,MATCH(A552,dim_date!A:A,0)),"")</f>
        <v>5/24-5/30</v>
      </c>
      <c r="P552" s="9" t="str">
        <f t="array" ref="P552">IFERROR(INDEX(dim_kpi!E:E,MATCH(D552,dim_kpi!C:C,0)),"")</f>
        <v>count</v>
      </c>
      <c r="Q552" s="9" t="str">
        <f t="array" ref="Q552">IFERROR(INDEX(dim_kpi!F:F,MATCH(D552,dim_kpi!C:C,0)),"")</f>
        <v>Y</v>
      </c>
    </row>
    <row r="553" ht="12.75" customHeight="1">
      <c r="A553" s="20" t="str">
        <f>fact_kpi_weekly!A553</f>
        <v>260601</v>
      </c>
      <c r="B553" s="21">
        <f>fact_kpi_weekly!B553</f>
        <v>46174</v>
      </c>
      <c r="C553" s="9" t="str">
        <f>fact_kpi_weekly!C553</f>
        <v>Growth</v>
      </c>
      <c r="D553" s="9" t="str">
        <f>fact_kpi_weekly!D553</f>
        <v>Total Actives</v>
      </c>
      <c r="E553" s="9" t="str">
        <f>fact_kpi_weekly!E553</f>
        <v>Goal</v>
      </c>
      <c r="F553" s="9" t="str">
        <f>IF(fact_kpi_weekly!F553="","",fact_kpi_weekly!F553)</f>
        <v>Board</v>
      </c>
      <c r="G553" s="9" t="str">
        <f>fact_kpi_weekly!G553</f>
        <v>N/A</v>
      </c>
      <c r="H553" s="9" t="str">
        <f>fact_kpi_weekly!H553</f>
        <v/>
      </c>
      <c r="I553" s="9">
        <f>fact_kpi_weekly!I553</f>
        <v>9636</v>
      </c>
      <c r="J553" s="22">
        <f>fact_kpi_weekly!J553</f>
        <v>9636</v>
      </c>
      <c r="K553" s="20" t="str">
        <f t="array" ref="K553">IFERROR(INDEX(dim_date!H:H,MATCH(A553,dim_date!A:A,0)),"")</f>
        <v>Jun</v>
      </c>
      <c r="L553" s="20" t="str">
        <f t="array" ref="L553">IFERROR(INDEX(dim_date!G:G,MATCH(A553,dim_date!A:A,0)),"")</f>
        <v>06</v>
      </c>
      <c r="M553" s="9" t="str">
        <f t="array" ref="M553">IFERROR(INDEX(dim_date!I:I,MATCH(A553,dim_date!A:A,0)),"")</f>
        <v>Q2</v>
      </c>
      <c r="N553" s="20" t="str">
        <f t="array" ref="N553">IFERROR(INDEX(dim_date!K:K,MATCH(A553,dim_date!A:A,0)),"")</f>
        <v>23</v>
      </c>
      <c r="O553" s="9" t="str">
        <f t="array" ref="O553">IFERROR(INDEX(dim_date!F:F,MATCH(A553,dim_date!A:A,0)),"")</f>
        <v>5/31-6/6</v>
      </c>
      <c r="P553" s="9" t="str">
        <f t="array" ref="P553">IFERROR(INDEX(dim_kpi!E:E,MATCH(D553,dim_kpi!C:C,0)),"")</f>
        <v>count</v>
      </c>
      <c r="Q553" s="9" t="str">
        <f t="array" ref="Q553">IFERROR(INDEX(dim_kpi!F:F,MATCH(D553,dim_kpi!C:C,0)),"")</f>
        <v>Y</v>
      </c>
    </row>
    <row r="554" ht="12.75" customHeight="1">
      <c r="A554" s="20" t="str">
        <f>fact_kpi_weekly!A554</f>
        <v>260607</v>
      </c>
      <c r="B554" s="21">
        <f>fact_kpi_weekly!B554</f>
        <v>46180</v>
      </c>
      <c r="C554" s="9" t="str">
        <f>fact_kpi_weekly!C554</f>
        <v>Growth</v>
      </c>
      <c r="D554" s="9" t="str">
        <f>fact_kpi_weekly!D554</f>
        <v>Total Actives</v>
      </c>
      <c r="E554" s="9" t="str">
        <f>fact_kpi_weekly!E554</f>
        <v>Goal</v>
      </c>
      <c r="F554" s="9" t="str">
        <f>IF(fact_kpi_weekly!F554="","",fact_kpi_weekly!F554)</f>
        <v>Board</v>
      </c>
      <c r="G554" s="9" t="str">
        <f>fact_kpi_weekly!G554</f>
        <v>N/A</v>
      </c>
      <c r="H554" s="9" t="str">
        <f>fact_kpi_weekly!H554</f>
        <v/>
      </c>
      <c r="I554" s="9">
        <f>fact_kpi_weekly!I554</f>
        <v>9876</v>
      </c>
      <c r="J554" s="22">
        <f>fact_kpi_weekly!J554</f>
        <v>9876</v>
      </c>
      <c r="K554" s="20" t="str">
        <f t="array" ref="K554">IFERROR(INDEX(dim_date!H:H,MATCH(A554,dim_date!A:A,0)),"")</f>
        <v>Jun</v>
      </c>
      <c r="L554" s="20" t="str">
        <f t="array" ref="L554">IFERROR(INDEX(dim_date!G:G,MATCH(A554,dim_date!A:A,0)),"")</f>
        <v>06</v>
      </c>
      <c r="M554" s="9" t="str">
        <f t="array" ref="M554">IFERROR(INDEX(dim_date!I:I,MATCH(A554,dim_date!A:A,0)),"")</f>
        <v>Q2</v>
      </c>
      <c r="N554" s="20" t="str">
        <f t="array" ref="N554">IFERROR(INDEX(dim_date!K:K,MATCH(A554,dim_date!A:A,0)),"")</f>
        <v>24</v>
      </c>
      <c r="O554" s="9" t="str">
        <f t="array" ref="O554">IFERROR(INDEX(dim_date!F:F,MATCH(A554,dim_date!A:A,0)),"")</f>
        <v>6/7-6/13</v>
      </c>
      <c r="P554" s="9" t="str">
        <f t="array" ref="P554">IFERROR(INDEX(dim_kpi!E:E,MATCH(D554,dim_kpi!C:C,0)),"")</f>
        <v>count</v>
      </c>
      <c r="Q554" s="9" t="str">
        <f t="array" ref="Q554">IFERROR(INDEX(dim_kpi!F:F,MATCH(D554,dim_kpi!C:C,0)),"")</f>
        <v>Y</v>
      </c>
    </row>
    <row r="555" ht="12.75" customHeight="1">
      <c r="A555" s="20" t="str">
        <f>fact_kpi_weekly!A555</f>
        <v>260614</v>
      </c>
      <c r="B555" s="21">
        <f>fact_kpi_weekly!B555</f>
        <v>46187</v>
      </c>
      <c r="C555" s="9" t="str">
        <f>fact_kpi_weekly!C555</f>
        <v>Growth</v>
      </c>
      <c r="D555" s="9" t="str">
        <f>fact_kpi_weekly!D555</f>
        <v>Total Actives</v>
      </c>
      <c r="E555" s="9" t="str">
        <f>fact_kpi_weekly!E555</f>
        <v>Goal</v>
      </c>
      <c r="F555" s="9" t="str">
        <f>IF(fact_kpi_weekly!F555="","",fact_kpi_weekly!F555)</f>
        <v>Board</v>
      </c>
      <c r="G555" s="9" t="str">
        <f>fact_kpi_weekly!G555</f>
        <v>N/A</v>
      </c>
      <c r="H555" s="9" t="str">
        <f>fact_kpi_weekly!H555</f>
        <v/>
      </c>
      <c r="I555" s="9">
        <f>fact_kpi_weekly!I555</f>
        <v>10068</v>
      </c>
      <c r="J555" s="22">
        <f>fact_kpi_weekly!J555</f>
        <v>10068</v>
      </c>
      <c r="K555" s="20" t="str">
        <f t="array" ref="K555">IFERROR(INDEX(dim_date!H:H,MATCH(A555,dim_date!A:A,0)),"")</f>
        <v>Jun</v>
      </c>
      <c r="L555" s="20" t="str">
        <f t="array" ref="L555">IFERROR(INDEX(dim_date!G:G,MATCH(A555,dim_date!A:A,0)),"")</f>
        <v>06</v>
      </c>
      <c r="M555" s="9" t="str">
        <f t="array" ref="M555">IFERROR(INDEX(dim_date!I:I,MATCH(A555,dim_date!A:A,0)),"")</f>
        <v>Q2</v>
      </c>
      <c r="N555" s="20" t="str">
        <f t="array" ref="N555">IFERROR(INDEX(dim_date!K:K,MATCH(A555,dim_date!A:A,0)),"")</f>
        <v>25</v>
      </c>
      <c r="O555" s="9" t="str">
        <f t="array" ref="O555">IFERROR(INDEX(dim_date!F:F,MATCH(A555,dim_date!A:A,0)),"")</f>
        <v>6/14-6/20</v>
      </c>
      <c r="P555" s="9" t="str">
        <f t="array" ref="P555">IFERROR(INDEX(dim_kpi!E:E,MATCH(D555,dim_kpi!C:C,0)),"")</f>
        <v>count</v>
      </c>
      <c r="Q555" s="9" t="str">
        <f t="array" ref="Q555">IFERROR(INDEX(dim_kpi!F:F,MATCH(D555,dim_kpi!C:C,0)),"")</f>
        <v>Y</v>
      </c>
    </row>
    <row r="556" ht="12.75" customHeight="1">
      <c r="A556" s="20" t="str">
        <f>fact_kpi_weekly!A556</f>
        <v>260621</v>
      </c>
      <c r="B556" s="21">
        <f>fact_kpi_weekly!B556</f>
        <v>46194</v>
      </c>
      <c r="C556" s="9" t="str">
        <f>fact_kpi_weekly!C556</f>
        <v>Growth</v>
      </c>
      <c r="D556" s="9" t="str">
        <f>fact_kpi_weekly!D556</f>
        <v>Total Actives</v>
      </c>
      <c r="E556" s="9" t="str">
        <f>fact_kpi_weekly!E556</f>
        <v>Goal</v>
      </c>
      <c r="F556" s="9" t="str">
        <f>IF(fact_kpi_weekly!F556="","",fact_kpi_weekly!F556)</f>
        <v>Board</v>
      </c>
      <c r="G556" s="9" t="str">
        <f>fact_kpi_weekly!G556</f>
        <v>N/A</v>
      </c>
      <c r="H556" s="9" t="str">
        <f>fact_kpi_weekly!H556</f>
        <v/>
      </c>
      <c r="I556" s="9">
        <f>fact_kpi_weekly!I556</f>
        <v>10308</v>
      </c>
      <c r="J556" s="22">
        <f>fact_kpi_weekly!J556</f>
        <v>10308</v>
      </c>
      <c r="K556" s="20" t="str">
        <f t="array" ref="K556">IFERROR(INDEX(dim_date!H:H,MATCH(A556,dim_date!A:A,0)),"")</f>
        <v>Jun</v>
      </c>
      <c r="L556" s="20" t="str">
        <f t="array" ref="L556">IFERROR(INDEX(dim_date!G:G,MATCH(A556,dim_date!A:A,0)),"")</f>
        <v>06</v>
      </c>
      <c r="M556" s="9" t="str">
        <f t="array" ref="M556">IFERROR(INDEX(dim_date!I:I,MATCH(A556,dim_date!A:A,0)),"")</f>
        <v>Q2</v>
      </c>
      <c r="N556" s="20" t="str">
        <f t="array" ref="N556">IFERROR(INDEX(dim_date!K:K,MATCH(A556,dim_date!A:A,0)),"")</f>
        <v>26</v>
      </c>
      <c r="O556" s="9" t="str">
        <f t="array" ref="O556">IFERROR(INDEX(dim_date!F:F,MATCH(A556,dim_date!A:A,0)),"")</f>
        <v>6/21-6/27</v>
      </c>
      <c r="P556" s="9" t="str">
        <f t="array" ref="P556">IFERROR(INDEX(dim_kpi!E:E,MATCH(D556,dim_kpi!C:C,0)),"")</f>
        <v>count</v>
      </c>
      <c r="Q556" s="9" t="str">
        <f t="array" ref="Q556">IFERROR(INDEX(dim_kpi!F:F,MATCH(D556,dim_kpi!C:C,0)),"")</f>
        <v>Y</v>
      </c>
    </row>
    <row r="557" ht="12.75" customHeight="1">
      <c r="A557" s="20" t="str">
        <f>fact_kpi_weekly!A557</f>
        <v>260628</v>
      </c>
      <c r="B557" s="21">
        <f>fact_kpi_weekly!B557</f>
        <v>46201</v>
      </c>
      <c r="C557" s="9" t="str">
        <f>fact_kpi_weekly!C557</f>
        <v>Growth</v>
      </c>
      <c r="D557" s="9" t="str">
        <f>fact_kpi_weekly!D557</f>
        <v>Total Actives</v>
      </c>
      <c r="E557" s="9" t="str">
        <f>fact_kpi_weekly!E557</f>
        <v>Goal</v>
      </c>
      <c r="F557" s="9" t="str">
        <f>IF(fact_kpi_weekly!F557="","",fact_kpi_weekly!F557)</f>
        <v>Board</v>
      </c>
      <c r="G557" s="9" t="str">
        <f>fact_kpi_weekly!G557</f>
        <v>N/A</v>
      </c>
      <c r="H557" s="9" t="str">
        <f>fact_kpi_weekly!H557</f>
        <v/>
      </c>
      <c r="I557" s="9">
        <f>fact_kpi_weekly!I557</f>
        <v>10522</v>
      </c>
      <c r="J557" s="22">
        <f>fact_kpi_weekly!J557</f>
        <v>10522</v>
      </c>
      <c r="K557" s="20" t="str">
        <f t="array" ref="K557">IFERROR(INDEX(dim_date!H:H,MATCH(A557,dim_date!A:A,0)),"")</f>
        <v>Jun</v>
      </c>
      <c r="L557" s="20" t="str">
        <f t="array" ref="L557">IFERROR(INDEX(dim_date!G:G,MATCH(A557,dim_date!A:A,0)),"")</f>
        <v>06</v>
      </c>
      <c r="M557" s="9" t="str">
        <f t="array" ref="M557">IFERROR(INDEX(dim_date!I:I,MATCH(A557,dim_date!A:A,0)),"")</f>
        <v>Q2</v>
      </c>
      <c r="N557" s="20" t="str">
        <f t="array" ref="N557">IFERROR(INDEX(dim_date!K:K,MATCH(A557,dim_date!A:A,0)),"")</f>
        <v>27</v>
      </c>
      <c r="O557" s="9" t="str">
        <f t="array" ref="O557">IFERROR(INDEX(dim_date!F:F,MATCH(A557,dim_date!A:A,0)),"")</f>
        <v>6/28-7/4</v>
      </c>
      <c r="P557" s="9" t="str">
        <f t="array" ref="P557">IFERROR(INDEX(dim_kpi!E:E,MATCH(D557,dim_kpi!C:C,0)),"")</f>
        <v>count</v>
      </c>
      <c r="Q557" s="9" t="str">
        <f t="array" ref="Q557">IFERROR(INDEX(dim_kpi!F:F,MATCH(D557,dim_kpi!C:C,0)),"")</f>
        <v>Y</v>
      </c>
    </row>
    <row r="558" ht="12.75" customHeight="1">
      <c r="A558" s="20" t="str">
        <f>fact_kpi_weekly!A558</f>
        <v>260705</v>
      </c>
      <c r="B558" s="21">
        <f>fact_kpi_weekly!B558</f>
        <v>46208</v>
      </c>
      <c r="C558" s="9" t="str">
        <f>fact_kpi_weekly!C558</f>
        <v>Growth</v>
      </c>
      <c r="D558" s="9" t="str">
        <f>fact_kpi_weekly!D558</f>
        <v>Total Actives</v>
      </c>
      <c r="E558" s="9" t="str">
        <f>fact_kpi_weekly!E558</f>
        <v>Goal</v>
      </c>
      <c r="F558" s="9" t="str">
        <f>IF(fact_kpi_weekly!F558="","",fact_kpi_weekly!F558)</f>
        <v>Board</v>
      </c>
      <c r="G558" s="9" t="str">
        <f>fact_kpi_weekly!G558</f>
        <v>N/A</v>
      </c>
      <c r="H558" s="9" t="str">
        <f>fact_kpi_weekly!H558</f>
        <v/>
      </c>
      <c r="I558" s="9">
        <f>fact_kpi_weekly!I558</f>
        <v>10817</v>
      </c>
      <c r="J558" s="22">
        <f>fact_kpi_weekly!J558</f>
        <v>10817</v>
      </c>
      <c r="K558" s="20" t="str">
        <f t="array" ref="K558">IFERROR(INDEX(dim_date!H:H,MATCH(A558,dim_date!A:A,0)),"")</f>
        <v>Jul</v>
      </c>
      <c r="L558" s="20" t="str">
        <f t="array" ref="L558">IFERROR(INDEX(dim_date!G:G,MATCH(A558,dim_date!A:A,0)),"")</f>
        <v>07</v>
      </c>
      <c r="M558" s="9" t="str">
        <f t="array" ref="M558">IFERROR(INDEX(dim_date!I:I,MATCH(A558,dim_date!A:A,0)),"")</f>
        <v>Q3</v>
      </c>
      <c r="N558" s="20" t="str">
        <f t="array" ref="N558">IFERROR(INDEX(dim_date!K:K,MATCH(A558,dim_date!A:A,0)),"")</f>
        <v>28</v>
      </c>
      <c r="O558" s="9" t="str">
        <f t="array" ref="O558">IFERROR(INDEX(dim_date!F:F,MATCH(A558,dim_date!A:A,0)),"")</f>
        <v>7/5-7/11</v>
      </c>
      <c r="P558" s="9" t="str">
        <f t="array" ref="P558">IFERROR(INDEX(dim_kpi!E:E,MATCH(D558,dim_kpi!C:C,0)),"")</f>
        <v>count</v>
      </c>
      <c r="Q558" s="9" t="str">
        <f t="array" ref="Q558">IFERROR(INDEX(dim_kpi!F:F,MATCH(D558,dim_kpi!C:C,0)),"")</f>
        <v>Y</v>
      </c>
    </row>
    <row r="559" ht="12.75" customHeight="1">
      <c r="A559" s="20" t="str">
        <f>fact_kpi_weekly!A559</f>
        <v>260712</v>
      </c>
      <c r="B559" s="21">
        <f>fact_kpi_weekly!B559</f>
        <v>46215</v>
      </c>
      <c r="C559" s="9" t="str">
        <f>fact_kpi_weekly!C559</f>
        <v>Growth</v>
      </c>
      <c r="D559" s="9" t="str">
        <f>fact_kpi_weekly!D559</f>
        <v>Total Actives</v>
      </c>
      <c r="E559" s="9" t="str">
        <f>fact_kpi_weekly!E559</f>
        <v>Goal</v>
      </c>
      <c r="F559" s="9" t="str">
        <f>IF(fact_kpi_weekly!F559="","",fact_kpi_weekly!F559)</f>
        <v>Board</v>
      </c>
      <c r="G559" s="9" t="str">
        <f>fact_kpi_weekly!G559</f>
        <v>N/A</v>
      </c>
      <c r="H559" s="9" t="str">
        <f>fact_kpi_weekly!H559</f>
        <v/>
      </c>
      <c r="I559" s="9">
        <f>fact_kpi_weekly!I559</f>
        <v>11112</v>
      </c>
      <c r="J559" s="22">
        <f>fact_kpi_weekly!J559</f>
        <v>11112</v>
      </c>
      <c r="K559" s="20" t="str">
        <f t="array" ref="K559">IFERROR(INDEX(dim_date!H:H,MATCH(A559,dim_date!A:A,0)),"")</f>
        <v>Jul</v>
      </c>
      <c r="L559" s="20" t="str">
        <f t="array" ref="L559">IFERROR(INDEX(dim_date!G:G,MATCH(A559,dim_date!A:A,0)),"")</f>
        <v>07</v>
      </c>
      <c r="M559" s="9" t="str">
        <f t="array" ref="M559">IFERROR(INDEX(dim_date!I:I,MATCH(A559,dim_date!A:A,0)),"")</f>
        <v>Q3</v>
      </c>
      <c r="N559" s="20" t="str">
        <f t="array" ref="N559">IFERROR(INDEX(dim_date!K:K,MATCH(A559,dim_date!A:A,0)),"")</f>
        <v>29</v>
      </c>
      <c r="O559" s="9" t="str">
        <f t="array" ref="O559">IFERROR(INDEX(dim_date!F:F,MATCH(A559,dim_date!A:A,0)),"")</f>
        <v>7/12-7/18</v>
      </c>
      <c r="P559" s="9" t="str">
        <f t="array" ref="P559">IFERROR(INDEX(dim_kpi!E:E,MATCH(D559,dim_kpi!C:C,0)),"")</f>
        <v>count</v>
      </c>
      <c r="Q559" s="9" t="str">
        <f t="array" ref="Q559">IFERROR(INDEX(dim_kpi!F:F,MATCH(D559,dim_kpi!C:C,0)),"")</f>
        <v>Y</v>
      </c>
    </row>
    <row r="560" ht="12.75" customHeight="1">
      <c r="A560" s="20" t="str">
        <f>fact_kpi_weekly!A560</f>
        <v>260719</v>
      </c>
      <c r="B560" s="21">
        <f>fact_kpi_weekly!B560</f>
        <v>46222</v>
      </c>
      <c r="C560" s="9" t="str">
        <f>fact_kpi_weekly!C560</f>
        <v>Growth</v>
      </c>
      <c r="D560" s="9" t="str">
        <f>fact_kpi_weekly!D560</f>
        <v>Total Actives</v>
      </c>
      <c r="E560" s="9" t="str">
        <f>fact_kpi_weekly!E560</f>
        <v>Goal</v>
      </c>
      <c r="F560" s="9" t="str">
        <f>IF(fact_kpi_weekly!F560="","",fact_kpi_weekly!F560)</f>
        <v>Board</v>
      </c>
      <c r="G560" s="9" t="str">
        <f>fact_kpi_weekly!G560</f>
        <v>N/A</v>
      </c>
      <c r="H560" s="9" t="str">
        <f>fact_kpi_weekly!H560</f>
        <v/>
      </c>
      <c r="I560" s="9">
        <f>fact_kpi_weekly!I560</f>
        <v>11407</v>
      </c>
      <c r="J560" s="22">
        <f>fact_kpi_weekly!J560</f>
        <v>11407</v>
      </c>
      <c r="K560" s="20" t="str">
        <f t="array" ref="K560">IFERROR(INDEX(dim_date!H:H,MATCH(A560,dim_date!A:A,0)),"")</f>
        <v>Jul</v>
      </c>
      <c r="L560" s="20" t="str">
        <f t="array" ref="L560">IFERROR(INDEX(dim_date!G:G,MATCH(A560,dim_date!A:A,0)),"")</f>
        <v>07</v>
      </c>
      <c r="M560" s="9" t="str">
        <f t="array" ref="M560">IFERROR(INDEX(dim_date!I:I,MATCH(A560,dim_date!A:A,0)),"")</f>
        <v>Q3</v>
      </c>
      <c r="N560" s="20" t="str">
        <f t="array" ref="N560">IFERROR(INDEX(dim_date!K:K,MATCH(A560,dim_date!A:A,0)),"")</f>
        <v>30</v>
      </c>
      <c r="O560" s="9" t="str">
        <f t="array" ref="O560">IFERROR(INDEX(dim_date!F:F,MATCH(A560,dim_date!A:A,0)),"")</f>
        <v>7/19-7/25</v>
      </c>
      <c r="P560" s="9" t="str">
        <f t="array" ref="P560">IFERROR(INDEX(dim_kpi!E:E,MATCH(D560,dim_kpi!C:C,0)),"")</f>
        <v>count</v>
      </c>
      <c r="Q560" s="9" t="str">
        <f t="array" ref="Q560">IFERROR(INDEX(dim_kpi!F:F,MATCH(D560,dim_kpi!C:C,0)),"")</f>
        <v>Y</v>
      </c>
    </row>
    <row r="561" ht="12.75" customHeight="1">
      <c r="A561" s="20" t="str">
        <f>fact_kpi_weekly!A561</f>
        <v>260726</v>
      </c>
      <c r="B561" s="21">
        <f>fact_kpi_weekly!B561</f>
        <v>46229</v>
      </c>
      <c r="C561" s="9" t="str">
        <f>fact_kpi_weekly!C561</f>
        <v>Growth</v>
      </c>
      <c r="D561" s="9" t="str">
        <f>fact_kpi_weekly!D561</f>
        <v>Total Actives</v>
      </c>
      <c r="E561" s="9" t="str">
        <f>fact_kpi_weekly!E561</f>
        <v>Goal</v>
      </c>
      <c r="F561" s="9" t="str">
        <f>IF(fact_kpi_weekly!F561="","",fact_kpi_weekly!F561)</f>
        <v>Board</v>
      </c>
      <c r="G561" s="9" t="str">
        <f>fact_kpi_weekly!G561</f>
        <v>N/A</v>
      </c>
      <c r="H561" s="9" t="str">
        <f>fact_kpi_weekly!H561</f>
        <v/>
      </c>
      <c r="I561" s="9">
        <f>fact_kpi_weekly!I561</f>
        <v>11702</v>
      </c>
      <c r="J561" s="22">
        <f>fact_kpi_weekly!J561</f>
        <v>11702</v>
      </c>
      <c r="K561" s="20" t="str">
        <f t="array" ref="K561">IFERROR(INDEX(dim_date!H:H,MATCH(A561,dim_date!A:A,0)),"")</f>
        <v>Jul</v>
      </c>
      <c r="L561" s="20" t="str">
        <f t="array" ref="L561">IFERROR(INDEX(dim_date!G:G,MATCH(A561,dim_date!A:A,0)),"")</f>
        <v>07</v>
      </c>
      <c r="M561" s="9" t="str">
        <f t="array" ref="M561">IFERROR(INDEX(dim_date!I:I,MATCH(A561,dim_date!A:A,0)),"")</f>
        <v>Q3</v>
      </c>
      <c r="N561" s="20" t="str">
        <f t="array" ref="N561">IFERROR(INDEX(dim_date!K:K,MATCH(A561,dim_date!A:A,0)),"")</f>
        <v>31</v>
      </c>
      <c r="O561" s="9" t="str">
        <f t="array" ref="O561">IFERROR(INDEX(dim_date!F:F,MATCH(A561,dim_date!A:A,0)),"")</f>
        <v>7/26-8/1</v>
      </c>
      <c r="P561" s="9" t="str">
        <f t="array" ref="P561">IFERROR(INDEX(dim_kpi!E:E,MATCH(D561,dim_kpi!C:C,0)),"")</f>
        <v>count</v>
      </c>
      <c r="Q561" s="9" t="str">
        <f t="array" ref="Q561">IFERROR(INDEX(dim_kpi!F:F,MATCH(D561,dim_kpi!C:C,0)),"")</f>
        <v>Y</v>
      </c>
    </row>
    <row r="562" ht="12.75" customHeight="1">
      <c r="A562" s="20" t="str">
        <f>fact_kpi_weekly!A562</f>
        <v>260802</v>
      </c>
      <c r="B562" s="21">
        <f>fact_kpi_weekly!B562</f>
        <v>46236</v>
      </c>
      <c r="C562" s="9" t="str">
        <f>fact_kpi_weekly!C562</f>
        <v>Growth</v>
      </c>
      <c r="D562" s="9" t="str">
        <f>fact_kpi_weekly!D562</f>
        <v>Total Actives</v>
      </c>
      <c r="E562" s="9" t="str">
        <f>fact_kpi_weekly!E562</f>
        <v>Goal</v>
      </c>
      <c r="F562" s="9" t="str">
        <f>IF(fact_kpi_weekly!F562="","",fact_kpi_weekly!F562)</f>
        <v>Board</v>
      </c>
      <c r="G562" s="9" t="str">
        <f>fact_kpi_weekly!G562</f>
        <v>N/A</v>
      </c>
      <c r="H562" s="9" t="str">
        <f>fact_kpi_weekly!H562</f>
        <v/>
      </c>
      <c r="I562" s="9">
        <f>fact_kpi_weekly!I562</f>
        <v>12057</v>
      </c>
      <c r="J562" s="22">
        <f>fact_kpi_weekly!J562</f>
        <v>12057</v>
      </c>
      <c r="K562" s="20" t="str">
        <f t="array" ref="K562">IFERROR(INDEX(dim_date!H:H,MATCH(A562,dim_date!A:A,0)),"")</f>
        <v>Aug</v>
      </c>
      <c r="L562" s="20" t="str">
        <f t="array" ref="L562">IFERROR(INDEX(dim_date!G:G,MATCH(A562,dim_date!A:A,0)),"")</f>
        <v>08</v>
      </c>
      <c r="M562" s="9" t="str">
        <f t="array" ref="M562">IFERROR(INDEX(dim_date!I:I,MATCH(A562,dim_date!A:A,0)),"")</f>
        <v>Q3</v>
      </c>
      <c r="N562" s="20" t="str">
        <f t="array" ref="N562">IFERROR(INDEX(dim_date!K:K,MATCH(A562,dim_date!A:A,0)),"")</f>
        <v>32</v>
      </c>
      <c r="O562" s="9" t="str">
        <f t="array" ref="O562">IFERROR(INDEX(dim_date!F:F,MATCH(A562,dim_date!A:A,0)),"")</f>
        <v>8/2-8/8</v>
      </c>
      <c r="P562" s="9" t="str">
        <f t="array" ref="P562">IFERROR(INDEX(dim_kpi!E:E,MATCH(D562,dim_kpi!C:C,0)),"")</f>
        <v>count</v>
      </c>
      <c r="Q562" s="9" t="str">
        <f t="array" ref="Q562">IFERROR(INDEX(dim_kpi!F:F,MATCH(D562,dim_kpi!C:C,0)),"")</f>
        <v>Y</v>
      </c>
    </row>
    <row r="563" ht="12.75" customHeight="1">
      <c r="A563" s="20" t="str">
        <f>fact_kpi_weekly!A563</f>
        <v>260809</v>
      </c>
      <c r="B563" s="21">
        <f>fact_kpi_weekly!B563</f>
        <v>46243</v>
      </c>
      <c r="C563" s="9" t="str">
        <f>fact_kpi_weekly!C563</f>
        <v>Growth</v>
      </c>
      <c r="D563" s="9" t="str">
        <f>fact_kpi_weekly!D563</f>
        <v>Total Actives</v>
      </c>
      <c r="E563" s="9" t="str">
        <f>fact_kpi_weekly!E563</f>
        <v>Goal</v>
      </c>
      <c r="F563" s="9" t="str">
        <f>IF(fact_kpi_weekly!F563="","",fact_kpi_weekly!F563)</f>
        <v>Board</v>
      </c>
      <c r="G563" s="9" t="str">
        <f>fact_kpi_weekly!G563</f>
        <v>N/A</v>
      </c>
      <c r="H563" s="9" t="str">
        <f>fact_kpi_weekly!H563</f>
        <v/>
      </c>
      <c r="I563" s="9">
        <f>fact_kpi_weekly!I563</f>
        <v>12412</v>
      </c>
      <c r="J563" s="22">
        <f>fact_kpi_weekly!J563</f>
        <v>12412</v>
      </c>
      <c r="K563" s="20" t="str">
        <f t="array" ref="K563">IFERROR(INDEX(dim_date!H:H,MATCH(A563,dim_date!A:A,0)),"")</f>
        <v>Aug</v>
      </c>
      <c r="L563" s="20" t="str">
        <f t="array" ref="L563">IFERROR(INDEX(dim_date!G:G,MATCH(A563,dim_date!A:A,0)),"")</f>
        <v>08</v>
      </c>
      <c r="M563" s="9" t="str">
        <f t="array" ref="M563">IFERROR(INDEX(dim_date!I:I,MATCH(A563,dim_date!A:A,0)),"")</f>
        <v>Q3</v>
      </c>
      <c r="N563" s="20" t="str">
        <f t="array" ref="N563">IFERROR(INDEX(dim_date!K:K,MATCH(A563,dim_date!A:A,0)),"")</f>
        <v>33</v>
      </c>
      <c r="O563" s="9" t="str">
        <f t="array" ref="O563">IFERROR(INDEX(dim_date!F:F,MATCH(A563,dim_date!A:A,0)),"")</f>
        <v>8/9-8/15</v>
      </c>
      <c r="P563" s="9" t="str">
        <f t="array" ref="P563">IFERROR(INDEX(dim_kpi!E:E,MATCH(D563,dim_kpi!C:C,0)),"")</f>
        <v>count</v>
      </c>
      <c r="Q563" s="9" t="str">
        <f t="array" ref="Q563">IFERROR(INDEX(dim_kpi!F:F,MATCH(D563,dim_kpi!C:C,0)),"")</f>
        <v>Y</v>
      </c>
    </row>
    <row r="564" ht="12.75" customHeight="1">
      <c r="A564" s="20" t="str">
        <f>fact_kpi_weekly!A564</f>
        <v>260816</v>
      </c>
      <c r="B564" s="21">
        <f>fact_kpi_weekly!B564</f>
        <v>46250</v>
      </c>
      <c r="C564" s="9" t="str">
        <f>fact_kpi_weekly!C564</f>
        <v>Growth</v>
      </c>
      <c r="D564" s="9" t="str">
        <f>fact_kpi_weekly!D564</f>
        <v>Total Actives</v>
      </c>
      <c r="E564" s="9" t="str">
        <f>fact_kpi_weekly!E564</f>
        <v>Goal</v>
      </c>
      <c r="F564" s="9" t="str">
        <f>IF(fact_kpi_weekly!F564="","",fact_kpi_weekly!F564)</f>
        <v>Board</v>
      </c>
      <c r="G564" s="9" t="str">
        <f>fact_kpi_weekly!G564</f>
        <v>N/A</v>
      </c>
      <c r="H564" s="9" t="str">
        <f>fact_kpi_weekly!H564</f>
        <v/>
      </c>
      <c r="I564" s="9">
        <f>fact_kpi_weekly!I564</f>
        <v>12767</v>
      </c>
      <c r="J564" s="22">
        <f>fact_kpi_weekly!J564</f>
        <v>12767</v>
      </c>
      <c r="K564" s="20" t="str">
        <f t="array" ref="K564">IFERROR(INDEX(dim_date!H:H,MATCH(A564,dim_date!A:A,0)),"")</f>
        <v>Aug</v>
      </c>
      <c r="L564" s="20" t="str">
        <f t="array" ref="L564">IFERROR(INDEX(dim_date!G:G,MATCH(A564,dim_date!A:A,0)),"")</f>
        <v>08</v>
      </c>
      <c r="M564" s="9" t="str">
        <f t="array" ref="M564">IFERROR(INDEX(dim_date!I:I,MATCH(A564,dim_date!A:A,0)),"")</f>
        <v>Q3</v>
      </c>
      <c r="N564" s="20" t="str">
        <f t="array" ref="N564">IFERROR(INDEX(dim_date!K:K,MATCH(A564,dim_date!A:A,0)),"")</f>
        <v>34</v>
      </c>
      <c r="O564" s="9" t="str">
        <f t="array" ref="O564">IFERROR(INDEX(dim_date!F:F,MATCH(A564,dim_date!A:A,0)),"")</f>
        <v>8/16-8/22</v>
      </c>
      <c r="P564" s="9" t="str">
        <f t="array" ref="P564">IFERROR(INDEX(dim_kpi!E:E,MATCH(D564,dim_kpi!C:C,0)),"")</f>
        <v>count</v>
      </c>
      <c r="Q564" s="9" t="str">
        <f t="array" ref="Q564">IFERROR(INDEX(dim_kpi!F:F,MATCH(D564,dim_kpi!C:C,0)),"")</f>
        <v>Y</v>
      </c>
    </row>
    <row r="565" ht="12.75" customHeight="1">
      <c r="A565" s="20" t="str">
        <f>fact_kpi_weekly!A565</f>
        <v>260823</v>
      </c>
      <c r="B565" s="21">
        <f>fact_kpi_weekly!B565</f>
        <v>46257</v>
      </c>
      <c r="C565" s="9" t="str">
        <f>fact_kpi_weekly!C565</f>
        <v>Growth</v>
      </c>
      <c r="D565" s="9" t="str">
        <f>fact_kpi_weekly!D565</f>
        <v>Total Actives</v>
      </c>
      <c r="E565" s="9" t="str">
        <f>fact_kpi_weekly!E565</f>
        <v>Goal</v>
      </c>
      <c r="F565" s="9" t="str">
        <f>IF(fact_kpi_weekly!F565="","",fact_kpi_weekly!F565)</f>
        <v>Board</v>
      </c>
      <c r="G565" s="9" t="str">
        <f>fact_kpi_weekly!G565</f>
        <v>N/A</v>
      </c>
      <c r="H565" s="9" t="str">
        <f>fact_kpi_weekly!H565</f>
        <v/>
      </c>
      <c r="I565" s="9">
        <f>fact_kpi_weekly!I565</f>
        <v>13122</v>
      </c>
      <c r="J565" s="22">
        <f>fact_kpi_weekly!J565</f>
        <v>13122</v>
      </c>
      <c r="K565" s="20" t="str">
        <f t="array" ref="K565">IFERROR(INDEX(dim_date!H:H,MATCH(A565,dim_date!A:A,0)),"")</f>
        <v>Aug</v>
      </c>
      <c r="L565" s="20" t="str">
        <f t="array" ref="L565">IFERROR(INDEX(dim_date!G:G,MATCH(A565,dim_date!A:A,0)),"")</f>
        <v>08</v>
      </c>
      <c r="M565" s="9" t="str">
        <f t="array" ref="M565">IFERROR(INDEX(dim_date!I:I,MATCH(A565,dim_date!A:A,0)),"")</f>
        <v>Q3</v>
      </c>
      <c r="N565" s="20" t="str">
        <f t="array" ref="N565">IFERROR(INDEX(dim_date!K:K,MATCH(A565,dim_date!A:A,0)),"")</f>
        <v>35</v>
      </c>
      <c r="O565" s="9" t="str">
        <f t="array" ref="O565">IFERROR(INDEX(dim_date!F:F,MATCH(A565,dim_date!A:A,0)),"")</f>
        <v>8/23-8/29</v>
      </c>
      <c r="P565" s="9" t="str">
        <f t="array" ref="P565">IFERROR(INDEX(dim_kpi!E:E,MATCH(D565,dim_kpi!C:C,0)),"")</f>
        <v>count</v>
      </c>
      <c r="Q565" s="9" t="str">
        <f t="array" ref="Q565">IFERROR(INDEX(dim_kpi!F:F,MATCH(D565,dim_kpi!C:C,0)),"")</f>
        <v>Y</v>
      </c>
    </row>
    <row r="566" ht="12.75" customHeight="1">
      <c r="A566" s="20" t="str">
        <f>fact_kpi_weekly!A566</f>
        <v>260830</v>
      </c>
      <c r="B566" s="21">
        <f>fact_kpi_weekly!B566</f>
        <v>46264</v>
      </c>
      <c r="C566" s="9" t="str">
        <f>fact_kpi_weekly!C566</f>
        <v>Growth</v>
      </c>
      <c r="D566" s="9" t="str">
        <f>fact_kpi_weekly!D566</f>
        <v>Total Actives</v>
      </c>
      <c r="E566" s="9" t="str">
        <f>fact_kpi_weekly!E566</f>
        <v>Goal</v>
      </c>
      <c r="F566" s="9" t="str">
        <f>IF(fact_kpi_weekly!F566="","",fact_kpi_weekly!F566)</f>
        <v>Board</v>
      </c>
      <c r="G566" s="9" t="str">
        <f>fact_kpi_weekly!G566</f>
        <v>N/A</v>
      </c>
      <c r="H566" s="9" t="str">
        <f>fact_kpi_weekly!H566</f>
        <v/>
      </c>
      <c r="I566" s="9">
        <f>fact_kpi_weekly!I566</f>
        <v>13509</v>
      </c>
      <c r="J566" s="22">
        <f>fact_kpi_weekly!J566</f>
        <v>13509</v>
      </c>
      <c r="K566" s="20" t="str">
        <f t="array" ref="K566">IFERROR(INDEX(dim_date!H:H,MATCH(A566,dim_date!A:A,0)),"")</f>
        <v>Aug</v>
      </c>
      <c r="L566" s="20" t="str">
        <f t="array" ref="L566">IFERROR(INDEX(dim_date!G:G,MATCH(A566,dim_date!A:A,0)),"")</f>
        <v>08</v>
      </c>
      <c r="M566" s="9" t="str">
        <f t="array" ref="M566">IFERROR(INDEX(dim_date!I:I,MATCH(A566,dim_date!A:A,0)),"")</f>
        <v>Q3</v>
      </c>
      <c r="N566" s="20" t="str">
        <f t="array" ref="N566">IFERROR(INDEX(dim_date!K:K,MATCH(A566,dim_date!A:A,0)),"")</f>
        <v>36</v>
      </c>
      <c r="O566" s="9" t="str">
        <f t="array" ref="O566">IFERROR(INDEX(dim_date!F:F,MATCH(A566,dim_date!A:A,0)),"")</f>
        <v>8/30-9/5</v>
      </c>
      <c r="P566" s="9" t="str">
        <f t="array" ref="P566">IFERROR(INDEX(dim_kpi!E:E,MATCH(D566,dim_kpi!C:C,0)),"")</f>
        <v>count</v>
      </c>
      <c r="Q566" s="9" t="str">
        <f t="array" ref="Q566">IFERROR(INDEX(dim_kpi!F:F,MATCH(D566,dim_kpi!C:C,0)),"")</f>
        <v>Y</v>
      </c>
    </row>
    <row r="567" ht="12.75" customHeight="1">
      <c r="A567" s="20" t="str">
        <f>fact_kpi_weekly!A567</f>
        <v>260906</v>
      </c>
      <c r="B567" s="21">
        <f>fact_kpi_weekly!B567</f>
        <v>46271</v>
      </c>
      <c r="C567" s="9" t="str">
        <f>fact_kpi_weekly!C567</f>
        <v>Growth</v>
      </c>
      <c r="D567" s="9" t="str">
        <f>fact_kpi_weekly!D567</f>
        <v>Total Actives</v>
      </c>
      <c r="E567" s="9" t="str">
        <f>fact_kpi_weekly!E567</f>
        <v>Goal</v>
      </c>
      <c r="F567" s="9" t="str">
        <f>IF(fact_kpi_weekly!F567="","",fact_kpi_weekly!F567)</f>
        <v>Board</v>
      </c>
      <c r="G567" s="9" t="str">
        <f>fact_kpi_weekly!G567</f>
        <v>N/A</v>
      </c>
      <c r="H567" s="9" t="str">
        <f>fact_kpi_weekly!H567</f>
        <v/>
      </c>
      <c r="I567" s="9">
        <f>fact_kpi_weekly!I567</f>
        <v>13825</v>
      </c>
      <c r="J567" s="22">
        <f>fact_kpi_weekly!J567</f>
        <v>13825</v>
      </c>
      <c r="K567" s="20" t="str">
        <f t="array" ref="K567">IFERROR(INDEX(dim_date!H:H,MATCH(A567,dim_date!A:A,0)),"")</f>
        <v>Sep</v>
      </c>
      <c r="L567" s="20" t="str">
        <f t="array" ref="L567">IFERROR(INDEX(dim_date!G:G,MATCH(A567,dim_date!A:A,0)),"")</f>
        <v>09</v>
      </c>
      <c r="M567" s="9" t="str">
        <f t="array" ref="M567">IFERROR(INDEX(dim_date!I:I,MATCH(A567,dim_date!A:A,0)),"")</f>
        <v>Q3</v>
      </c>
      <c r="N567" s="20" t="str">
        <f t="array" ref="N567">IFERROR(INDEX(dim_date!K:K,MATCH(A567,dim_date!A:A,0)),"")</f>
        <v>37</v>
      </c>
      <c r="O567" s="9" t="str">
        <f t="array" ref="O567">IFERROR(INDEX(dim_date!F:F,MATCH(A567,dim_date!A:A,0)),"")</f>
        <v>9/6-9/12</v>
      </c>
      <c r="P567" s="9" t="str">
        <f t="array" ref="P567">IFERROR(INDEX(dim_kpi!E:E,MATCH(D567,dim_kpi!C:C,0)),"")</f>
        <v>count</v>
      </c>
      <c r="Q567" s="9" t="str">
        <f t="array" ref="Q567">IFERROR(INDEX(dim_kpi!F:F,MATCH(D567,dim_kpi!C:C,0)),"")</f>
        <v>Y</v>
      </c>
    </row>
    <row r="568" ht="12.75" customHeight="1">
      <c r="A568" s="20" t="str">
        <f>fact_kpi_weekly!A568</f>
        <v>260913</v>
      </c>
      <c r="B568" s="21">
        <f>fact_kpi_weekly!B568</f>
        <v>46278</v>
      </c>
      <c r="C568" s="9" t="str">
        <f>fact_kpi_weekly!C568</f>
        <v>Growth</v>
      </c>
      <c r="D568" s="9" t="str">
        <f>fact_kpi_weekly!D568</f>
        <v>Total Actives</v>
      </c>
      <c r="E568" s="9" t="str">
        <f>fact_kpi_weekly!E568</f>
        <v>Goal</v>
      </c>
      <c r="F568" s="9" t="str">
        <f>IF(fact_kpi_weekly!F568="","",fact_kpi_weekly!F568)</f>
        <v>Board</v>
      </c>
      <c r="G568" s="9" t="str">
        <f>fact_kpi_weekly!G568</f>
        <v>N/A</v>
      </c>
      <c r="H568" s="9" t="str">
        <f>fact_kpi_weekly!H568</f>
        <v/>
      </c>
      <c r="I568" s="9">
        <f>fact_kpi_weekly!I568</f>
        <v>14220</v>
      </c>
      <c r="J568" s="22">
        <f>fact_kpi_weekly!J568</f>
        <v>14220</v>
      </c>
      <c r="K568" s="20" t="str">
        <f t="array" ref="K568">IFERROR(INDEX(dim_date!H:H,MATCH(A568,dim_date!A:A,0)),"")</f>
        <v>Sep</v>
      </c>
      <c r="L568" s="20" t="str">
        <f t="array" ref="L568">IFERROR(INDEX(dim_date!G:G,MATCH(A568,dim_date!A:A,0)),"")</f>
        <v>09</v>
      </c>
      <c r="M568" s="9" t="str">
        <f t="array" ref="M568">IFERROR(INDEX(dim_date!I:I,MATCH(A568,dim_date!A:A,0)),"")</f>
        <v>Q3</v>
      </c>
      <c r="N568" s="20" t="str">
        <f t="array" ref="N568">IFERROR(INDEX(dim_date!K:K,MATCH(A568,dim_date!A:A,0)),"")</f>
        <v>38</v>
      </c>
      <c r="O568" s="9" t="str">
        <f t="array" ref="O568">IFERROR(INDEX(dim_date!F:F,MATCH(A568,dim_date!A:A,0)),"")</f>
        <v>9/13-9/19</v>
      </c>
      <c r="P568" s="9" t="str">
        <f t="array" ref="P568">IFERROR(INDEX(dim_kpi!E:E,MATCH(D568,dim_kpi!C:C,0)),"")</f>
        <v>count</v>
      </c>
      <c r="Q568" s="9" t="str">
        <f t="array" ref="Q568">IFERROR(INDEX(dim_kpi!F:F,MATCH(D568,dim_kpi!C:C,0)),"")</f>
        <v>Y</v>
      </c>
    </row>
    <row r="569" ht="12.75" customHeight="1">
      <c r="A569" s="20" t="str">
        <f>fact_kpi_weekly!A569</f>
        <v>260920</v>
      </c>
      <c r="B569" s="21">
        <f>fact_kpi_weekly!B569</f>
        <v>46285</v>
      </c>
      <c r="C569" s="9" t="str">
        <f>fact_kpi_weekly!C569</f>
        <v>Growth</v>
      </c>
      <c r="D569" s="9" t="str">
        <f>fact_kpi_weekly!D569</f>
        <v>Total Actives</v>
      </c>
      <c r="E569" s="9" t="str">
        <f>fact_kpi_weekly!E569</f>
        <v>Goal</v>
      </c>
      <c r="F569" s="9" t="str">
        <f>IF(fact_kpi_weekly!F569="","",fact_kpi_weekly!F569)</f>
        <v>Board</v>
      </c>
      <c r="G569" s="9" t="str">
        <f>fact_kpi_weekly!G569</f>
        <v>N/A</v>
      </c>
      <c r="H569" s="9" t="str">
        <f>fact_kpi_weekly!H569</f>
        <v/>
      </c>
      <c r="I569" s="9">
        <f>fact_kpi_weekly!I569</f>
        <v>14615</v>
      </c>
      <c r="J569" s="22">
        <f>fact_kpi_weekly!J569</f>
        <v>14615</v>
      </c>
      <c r="K569" s="20" t="str">
        <f t="array" ref="K569">IFERROR(INDEX(dim_date!H:H,MATCH(A569,dim_date!A:A,0)),"")</f>
        <v>Sep</v>
      </c>
      <c r="L569" s="20" t="str">
        <f t="array" ref="L569">IFERROR(INDEX(dim_date!G:G,MATCH(A569,dim_date!A:A,0)),"")</f>
        <v>09</v>
      </c>
      <c r="M569" s="9" t="str">
        <f t="array" ref="M569">IFERROR(INDEX(dim_date!I:I,MATCH(A569,dim_date!A:A,0)),"")</f>
        <v>Q3</v>
      </c>
      <c r="N569" s="20" t="str">
        <f t="array" ref="N569">IFERROR(INDEX(dim_date!K:K,MATCH(A569,dim_date!A:A,0)),"")</f>
        <v>39</v>
      </c>
      <c r="O569" s="9" t="str">
        <f t="array" ref="O569">IFERROR(INDEX(dim_date!F:F,MATCH(A569,dim_date!A:A,0)),"")</f>
        <v>9/20-9/26</v>
      </c>
      <c r="P569" s="9" t="str">
        <f t="array" ref="P569">IFERROR(INDEX(dim_kpi!E:E,MATCH(D569,dim_kpi!C:C,0)),"")</f>
        <v>count</v>
      </c>
      <c r="Q569" s="9" t="str">
        <f t="array" ref="Q569">IFERROR(INDEX(dim_kpi!F:F,MATCH(D569,dim_kpi!C:C,0)),"")</f>
        <v>Y</v>
      </c>
    </row>
    <row r="570" ht="12.75" customHeight="1">
      <c r="A570" s="20" t="str">
        <f>fact_kpi_weekly!A570</f>
        <v>260927</v>
      </c>
      <c r="B570" s="21">
        <f>fact_kpi_weekly!B570</f>
        <v>46292</v>
      </c>
      <c r="C570" s="9" t="str">
        <f>fact_kpi_weekly!C570</f>
        <v>Growth</v>
      </c>
      <c r="D570" s="9" t="str">
        <f>fact_kpi_weekly!D570</f>
        <v>Total Actives</v>
      </c>
      <c r="E570" s="9" t="str">
        <f>fact_kpi_weekly!E570</f>
        <v>Goal</v>
      </c>
      <c r="F570" s="9" t="str">
        <f>IF(fact_kpi_weekly!F570="","",fact_kpi_weekly!F570)</f>
        <v>Board</v>
      </c>
      <c r="G570" s="9" t="str">
        <f>fact_kpi_weekly!G570</f>
        <v>N/A</v>
      </c>
      <c r="H570" s="9" t="str">
        <f>fact_kpi_weekly!H570</f>
        <v/>
      </c>
      <c r="I570" s="9">
        <f>fact_kpi_weekly!I570</f>
        <v>15022</v>
      </c>
      <c r="J570" s="22">
        <f>fact_kpi_weekly!J570</f>
        <v>15022</v>
      </c>
      <c r="K570" s="20" t="str">
        <f t="array" ref="K570">IFERROR(INDEX(dim_date!H:H,MATCH(A570,dim_date!A:A,0)),"")</f>
        <v>Sep</v>
      </c>
      <c r="L570" s="20" t="str">
        <f t="array" ref="L570">IFERROR(INDEX(dim_date!G:G,MATCH(A570,dim_date!A:A,0)),"")</f>
        <v>09</v>
      </c>
      <c r="M570" s="9" t="str">
        <f t="array" ref="M570">IFERROR(INDEX(dim_date!I:I,MATCH(A570,dim_date!A:A,0)),"")</f>
        <v>Q3</v>
      </c>
      <c r="N570" s="20" t="str">
        <f t="array" ref="N570">IFERROR(INDEX(dim_date!K:K,MATCH(A570,dim_date!A:A,0)),"")</f>
        <v>40</v>
      </c>
      <c r="O570" s="9" t="str">
        <f t="array" ref="O570">IFERROR(INDEX(dim_date!F:F,MATCH(A570,dim_date!A:A,0)),"")</f>
        <v>9/27-10/3</v>
      </c>
      <c r="P570" s="9" t="str">
        <f t="array" ref="P570">IFERROR(INDEX(dim_kpi!E:E,MATCH(D570,dim_kpi!C:C,0)),"")</f>
        <v>count</v>
      </c>
      <c r="Q570" s="9" t="str">
        <f t="array" ref="Q570">IFERROR(INDEX(dim_kpi!F:F,MATCH(D570,dim_kpi!C:C,0)),"")</f>
        <v>Y</v>
      </c>
    </row>
    <row r="571" ht="12.75" customHeight="1">
      <c r="A571" s="20" t="str">
        <f>fact_kpi_weekly!A571</f>
        <v>261004</v>
      </c>
      <c r="B571" s="21">
        <f>fact_kpi_weekly!B571</f>
        <v>46299</v>
      </c>
      <c r="C571" s="9" t="str">
        <f>fact_kpi_weekly!C571</f>
        <v>Growth</v>
      </c>
      <c r="D571" s="9" t="str">
        <f>fact_kpi_weekly!D571</f>
        <v>Total Actives</v>
      </c>
      <c r="E571" s="9" t="str">
        <f>fact_kpi_weekly!E571</f>
        <v>Goal</v>
      </c>
      <c r="F571" s="9" t="str">
        <f>IF(fact_kpi_weekly!F571="","",fact_kpi_weekly!F571)</f>
        <v>Board</v>
      </c>
      <c r="G571" s="9" t="str">
        <f>fact_kpi_weekly!G571</f>
        <v>N/A</v>
      </c>
      <c r="H571" s="9" t="str">
        <f>fact_kpi_weekly!H571</f>
        <v/>
      </c>
      <c r="I571" s="9">
        <f>fact_kpi_weekly!I571</f>
        <v>15447</v>
      </c>
      <c r="J571" s="22">
        <f>fact_kpi_weekly!J571</f>
        <v>15447</v>
      </c>
      <c r="K571" s="20" t="str">
        <f t="array" ref="K571">IFERROR(INDEX(dim_date!H:H,MATCH(A571,dim_date!A:A,0)),"")</f>
        <v>Oct</v>
      </c>
      <c r="L571" s="20" t="str">
        <f t="array" ref="L571">IFERROR(INDEX(dim_date!G:G,MATCH(A571,dim_date!A:A,0)),"")</f>
        <v>10</v>
      </c>
      <c r="M571" s="9" t="str">
        <f t="array" ref="M571">IFERROR(INDEX(dim_date!I:I,MATCH(A571,dim_date!A:A,0)),"")</f>
        <v>Q4</v>
      </c>
      <c r="N571" s="20" t="str">
        <f t="array" ref="N571">IFERROR(INDEX(dim_date!K:K,MATCH(A571,dim_date!A:A,0)),"")</f>
        <v>41</v>
      </c>
      <c r="O571" s="9" t="str">
        <f t="array" ref="O571">IFERROR(INDEX(dim_date!F:F,MATCH(A571,dim_date!A:A,0)),"")</f>
        <v>10/4-10/10</v>
      </c>
      <c r="P571" s="9" t="str">
        <f t="array" ref="P571">IFERROR(INDEX(dim_kpi!E:E,MATCH(D571,dim_kpi!C:C,0)),"")</f>
        <v>count</v>
      </c>
      <c r="Q571" s="9" t="str">
        <f t="array" ref="Q571">IFERROR(INDEX(dim_kpi!F:F,MATCH(D571,dim_kpi!C:C,0)),"")</f>
        <v>Y</v>
      </c>
    </row>
    <row r="572" ht="12.75" customHeight="1">
      <c r="A572" s="20" t="str">
        <f>fact_kpi_weekly!A572</f>
        <v>261011</v>
      </c>
      <c r="B572" s="21">
        <f>fact_kpi_weekly!B572</f>
        <v>46306</v>
      </c>
      <c r="C572" s="9" t="str">
        <f>fact_kpi_weekly!C572</f>
        <v>Growth</v>
      </c>
      <c r="D572" s="9" t="str">
        <f>fact_kpi_weekly!D572</f>
        <v>Total Actives</v>
      </c>
      <c r="E572" s="9" t="str">
        <f>fact_kpi_weekly!E572</f>
        <v>Goal</v>
      </c>
      <c r="F572" s="9" t="str">
        <f>IF(fact_kpi_weekly!F572="","",fact_kpi_weekly!F572)</f>
        <v>Board</v>
      </c>
      <c r="G572" s="9" t="str">
        <f>fact_kpi_weekly!G572</f>
        <v>N/A</v>
      </c>
      <c r="H572" s="9" t="str">
        <f>fact_kpi_weekly!H572</f>
        <v/>
      </c>
      <c r="I572" s="9">
        <f>fact_kpi_weekly!I572</f>
        <v>15787</v>
      </c>
      <c r="J572" s="22">
        <f>fact_kpi_weekly!J572</f>
        <v>15787</v>
      </c>
      <c r="K572" s="20" t="str">
        <f t="array" ref="K572">IFERROR(INDEX(dim_date!H:H,MATCH(A572,dim_date!A:A,0)),"")</f>
        <v>Oct</v>
      </c>
      <c r="L572" s="20" t="str">
        <f t="array" ref="L572">IFERROR(INDEX(dim_date!G:G,MATCH(A572,dim_date!A:A,0)),"")</f>
        <v>10</v>
      </c>
      <c r="M572" s="9" t="str">
        <f t="array" ref="M572">IFERROR(INDEX(dim_date!I:I,MATCH(A572,dim_date!A:A,0)),"")</f>
        <v>Q4</v>
      </c>
      <c r="N572" s="20" t="str">
        <f t="array" ref="N572">IFERROR(INDEX(dim_date!K:K,MATCH(A572,dim_date!A:A,0)),"")</f>
        <v>42</v>
      </c>
      <c r="O572" s="9" t="str">
        <f t="array" ref="O572">IFERROR(INDEX(dim_date!F:F,MATCH(A572,dim_date!A:A,0)),"")</f>
        <v>10/11-10/17</v>
      </c>
      <c r="P572" s="9" t="str">
        <f t="array" ref="P572">IFERROR(INDEX(dim_kpi!E:E,MATCH(D572,dim_kpi!C:C,0)),"")</f>
        <v>count</v>
      </c>
      <c r="Q572" s="9" t="str">
        <f t="array" ref="Q572">IFERROR(INDEX(dim_kpi!F:F,MATCH(D572,dim_kpi!C:C,0)),"")</f>
        <v>Y</v>
      </c>
    </row>
    <row r="573" ht="12.75" customHeight="1">
      <c r="A573" s="20" t="str">
        <f>fact_kpi_weekly!A573</f>
        <v>261018</v>
      </c>
      <c r="B573" s="21">
        <f>fact_kpi_weekly!B573</f>
        <v>46313</v>
      </c>
      <c r="C573" s="9" t="str">
        <f>fact_kpi_weekly!C573</f>
        <v>Growth</v>
      </c>
      <c r="D573" s="9" t="str">
        <f>fact_kpi_weekly!D573</f>
        <v>Total Actives</v>
      </c>
      <c r="E573" s="9" t="str">
        <f>fact_kpi_weekly!E573</f>
        <v>Goal</v>
      </c>
      <c r="F573" s="9" t="str">
        <f>IF(fact_kpi_weekly!F573="","",fact_kpi_weekly!F573)</f>
        <v>Board</v>
      </c>
      <c r="G573" s="9" t="str">
        <f>fact_kpi_weekly!G573</f>
        <v>N/A</v>
      </c>
      <c r="H573" s="9" t="str">
        <f>fact_kpi_weekly!H573</f>
        <v/>
      </c>
      <c r="I573" s="9">
        <f>fact_kpi_weekly!I573</f>
        <v>16212</v>
      </c>
      <c r="J573" s="22">
        <f>fact_kpi_weekly!J573</f>
        <v>16212</v>
      </c>
      <c r="K573" s="20" t="str">
        <f t="array" ref="K573">IFERROR(INDEX(dim_date!H:H,MATCH(A573,dim_date!A:A,0)),"")</f>
        <v>Oct</v>
      </c>
      <c r="L573" s="20" t="str">
        <f t="array" ref="L573">IFERROR(INDEX(dim_date!G:G,MATCH(A573,dim_date!A:A,0)),"")</f>
        <v>10</v>
      </c>
      <c r="M573" s="9" t="str">
        <f t="array" ref="M573">IFERROR(INDEX(dim_date!I:I,MATCH(A573,dim_date!A:A,0)),"")</f>
        <v>Q4</v>
      </c>
      <c r="N573" s="20" t="str">
        <f t="array" ref="N573">IFERROR(INDEX(dim_date!K:K,MATCH(A573,dim_date!A:A,0)),"")</f>
        <v>43</v>
      </c>
      <c r="O573" s="9" t="str">
        <f t="array" ref="O573">IFERROR(INDEX(dim_date!F:F,MATCH(A573,dim_date!A:A,0)),"")</f>
        <v>10/18-10/24</v>
      </c>
      <c r="P573" s="9" t="str">
        <f t="array" ref="P573">IFERROR(INDEX(dim_kpi!E:E,MATCH(D573,dim_kpi!C:C,0)),"")</f>
        <v>count</v>
      </c>
      <c r="Q573" s="9" t="str">
        <f t="array" ref="Q573">IFERROR(INDEX(dim_kpi!F:F,MATCH(D573,dim_kpi!C:C,0)),"")</f>
        <v>Y</v>
      </c>
    </row>
    <row r="574" ht="12.75" customHeight="1">
      <c r="A574" s="20" t="str">
        <f>fact_kpi_weekly!A574</f>
        <v>261025</v>
      </c>
      <c r="B574" s="21">
        <f>fact_kpi_weekly!B574</f>
        <v>46320</v>
      </c>
      <c r="C574" s="9" t="str">
        <f>fact_kpi_weekly!C574</f>
        <v>Growth</v>
      </c>
      <c r="D574" s="9" t="str">
        <f>fact_kpi_weekly!D574</f>
        <v>Total Actives</v>
      </c>
      <c r="E574" s="9" t="str">
        <f>fact_kpi_weekly!E574</f>
        <v>Goal</v>
      </c>
      <c r="F574" s="9" t="str">
        <f>IF(fact_kpi_weekly!F574="","",fact_kpi_weekly!F574)</f>
        <v>Board</v>
      </c>
      <c r="G574" s="9" t="str">
        <f>fact_kpi_weekly!G574</f>
        <v>N/A</v>
      </c>
      <c r="H574" s="9" t="str">
        <f>fact_kpi_weekly!H574</f>
        <v/>
      </c>
      <c r="I574" s="9">
        <f>fact_kpi_weekly!I574</f>
        <v>16637</v>
      </c>
      <c r="J574" s="22">
        <f>fact_kpi_weekly!J574</f>
        <v>16637</v>
      </c>
      <c r="K574" s="20" t="str">
        <f t="array" ref="K574">IFERROR(INDEX(dim_date!H:H,MATCH(A574,dim_date!A:A,0)),"")</f>
        <v>Oct</v>
      </c>
      <c r="L574" s="20" t="str">
        <f t="array" ref="L574">IFERROR(INDEX(dim_date!G:G,MATCH(A574,dim_date!A:A,0)),"")</f>
        <v>10</v>
      </c>
      <c r="M574" s="9" t="str">
        <f t="array" ref="M574">IFERROR(INDEX(dim_date!I:I,MATCH(A574,dim_date!A:A,0)),"")</f>
        <v>Q4</v>
      </c>
      <c r="N574" s="20" t="str">
        <f t="array" ref="N574">IFERROR(INDEX(dim_date!K:K,MATCH(A574,dim_date!A:A,0)),"")</f>
        <v>44</v>
      </c>
      <c r="O574" s="9" t="str">
        <f t="array" ref="O574">IFERROR(INDEX(dim_date!F:F,MATCH(A574,dim_date!A:A,0)),"")</f>
        <v>10/25-10/31</v>
      </c>
      <c r="P574" s="9" t="str">
        <f t="array" ref="P574">IFERROR(INDEX(dim_kpi!E:E,MATCH(D574,dim_kpi!C:C,0)),"")</f>
        <v>count</v>
      </c>
      <c r="Q574" s="9" t="str">
        <f t="array" ref="Q574">IFERROR(INDEX(dim_kpi!F:F,MATCH(D574,dim_kpi!C:C,0)),"")</f>
        <v>Y</v>
      </c>
    </row>
    <row r="575" ht="12.75" customHeight="1">
      <c r="A575" s="20" t="str">
        <f>fact_kpi_weekly!A575</f>
        <v>261101</v>
      </c>
      <c r="B575" s="21">
        <f>fact_kpi_weekly!B575</f>
        <v>46327</v>
      </c>
      <c r="C575" s="9" t="str">
        <f>fact_kpi_weekly!C575</f>
        <v>Growth</v>
      </c>
      <c r="D575" s="9" t="str">
        <f>fact_kpi_weekly!D575</f>
        <v>Total Actives</v>
      </c>
      <c r="E575" s="9" t="str">
        <f>fact_kpi_weekly!E575</f>
        <v>Goal</v>
      </c>
      <c r="F575" s="9" t="str">
        <f>IF(fact_kpi_weekly!F575="","",fact_kpi_weekly!F575)</f>
        <v>Board</v>
      </c>
      <c r="G575" s="9" t="str">
        <f>fact_kpi_weekly!G575</f>
        <v>N/A</v>
      </c>
      <c r="H575" s="9" t="str">
        <f>fact_kpi_weekly!H575</f>
        <v/>
      </c>
      <c r="I575" s="9">
        <f>fact_kpi_weekly!I575</f>
        <v>17047</v>
      </c>
      <c r="J575" s="22">
        <f>fact_kpi_weekly!J575</f>
        <v>17047</v>
      </c>
      <c r="K575" s="20" t="str">
        <f t="array" ref="K575">IFERROR(INDEX(dim_date!H:H,MATCH(A575,dim_date!A:A,0)),"")</f>
        <v>Nov</v>
      </c>
      <c r="L575" s="20" t="str">
        <f t="array" ref="L575">IFERROR(INDEX(dim_date!G:G,MATCH(A575,dim_date!A:A,0)),"")</f>
        <v>11</v>
      </c>
      <c r="M575" s="9" t="str">
        <f t="array" ref="M575">IFERROR(INDEX(dim_date!I:I,MATCH(A575,dim_date!A:A,0)),"")</f>
        <v>Q4</v>
      </c>
      <c r="N575" s="20" t="str">
        <f t="array" ref="N575">IFERROR(INDEX(dim_date!K:K,MATCH(A575,dim_date!A:A,0)),"")</f>
        <v>45</v>
      </c>
      <c r="O575" s="9" t="str">
        <f t="array" ref="O575">IFERROR(INDEX(dim_date!F:F,MATCH(A575,dim_date!A:A,0)),"")</f>
        <v>11/1-11/7</v>
      </c>
      <c r="P575" s="9" t="str">
        <f t="array" ref="P575">IFERROR(INDEX(dim_kpi!E:E,MATCH(D575,dim_kpi!C:C,0)),"")</f>
        <v>count</v>
      </c>
      <c r="Q575" s="9" t="str">
        <f t="array" ref="Q575">IFERROR(INDEX(dim_kpi!F:F,MATCH(D575,dim_kpi!C:C,0)),"")</f>
        <v>Y</v>
      </c>
    </row>
    <row r="576" ht="12.75" customHeight="1">
      <c r="A576" s="20" t="str">
        <f>fact_kpi_weekly!A576</f>
        <v>261108</v>
      </c>
      <c r="B576" s="21">
        <f>fact_kpi_weekly!B576</f>
        <v>46334</v>
      </c>
      <c r="C576" s="9" t="str">
        <f>fact_kpi_weekly!C576</f>
        <v>Growth</v>
      </c>
      <c r="D576" s="9" t="str">
        <f>fact_kpi_weekly!D576</f>
        <v>Total Actives</v>
      </c>
      <c r="E576" s="9" t="str">
        <f>fact_kpi_weekly!E576</f>
        <v>Goal</v>
      </c>
      <c r="F576" s="9" t="str">
        <f>IF(fact_kpi_weekly!F576="","",fact_kpi_weekly!F576)</f>
        <v>Board</v>
      </c>
      <c r="G576" s="9" t="str">
        <f>fact_kpi_weekly!G576</f>
        <v>N/A</v>
      </c>
      <c r="H576" s="9" t="str">
        <f>fact_kpi_weekly!H576</f>
        <v/>
      </c>
      <c r="I576" s="9">
        <f>fact_kpi_weekly!I576</f>
        <v>17375</v>
      </c>
      <c r="J576" s="22">
        <f>fact_kpi_weekly!J576</f>
        <v>17375</v>
      </c>
      <c r="K576" s="20" t="str">
        <f t="array" ref="K576">IFERROR(INDEX(dim_date!H:H,MATCH(A576,dim_date!A:A,0)),"")</f>
        <v>Nov</v>
      </c>
      <c r="L576" s="20" t="str">
        <f t="array" ref="L576">IFERROR(INDEX(dim_date!G:G,MATCH(A576,dim_date!A:A,0)),"")</f>
        <v>11</v>
      </c>
      <c r="M576" s="9" t="str">
        <f t="array" ref="M576">IFERROR(INDEX(dim_date!I:I,MATCH(A576,dim_date!A:A,0)),"")</f>
        <v>Q4</v>
      </c>
      <c r="N576" s="20" t="str">
        <f t="array" ref="N576">IFERROR(INDEX(dim_date!K:K,MATCH(A576,dim_date!A:A,0)),"")</f>
        <v>46</v>
      </c>
      <c r="O576" s="9" t="str">
        <f t="array" ref="O576">IFERROR(INDEX(dim_date!F:F,MATCH(A576,dim_date!A:A,0)),"")</f>
        <v>11/8-11/14</v>
      </c>
      <c r="P576" s="9" t="str">
        <f t="array" ref="P576">IFERROR(INDEX(dim_kpi!E:E,MATCH(D576,dim_kpi!C:C,0)),"")</f>
        <v>count</v>
      </c>
      <c r="Q576" s="9" t="str">
        <f t="array" ref="Q576">IFERROR(INDEX(dim_kpi!F:F,MATCH(D576,dim_kpi!C:C,0)),"")</f>
        <v>Y</v>
      </c>
    </row>
    <row r="577" ht="12.75" customHeight="1">
      <c r="A577" s="20" t="str">
        <f>fact_kpi_weekly!A577</f>
        <v>261115</v>
      </c>
      <c r="B577" s="21">
        <f>fact_kpi_weekly!B577</f>
        <v>46341</v>
      </c>
      <c r="C577" s="9" t="str">
        <f>fact_kpi_weekly!C577</f>
        <v>Growth</v>
      </c>
      <c r="D577" s="9" t="str">
        <f>fact_kpi_weekly!D577</f>
        <v>Total Actives</v>
      </c>
      <c r="E577" s="9" t="str">
        <f>fact_kpi_weekly!E577</f>
        <v>Goal</v>
      </c>
      <c r="F577" s="9" t="str">
        <f>IF(fact_kpi_weekly!F577="","",fact_kpi_weekly!F577)</f>
        <v>Board</v>
      </c>
      <c r="G577" s="9" t="str">
        <f>fact_kpi_weekly!G577</f>
        <v>N/A</v>
      </c>
      <c r="H577" s="9" t="str">
        <f>fact_kpi_weekly!H577</f>
        <v/>
      </c>
      <c r="I577" s="9">
        <f>fact_kpi_weekly!I577</f>
        <v>17785</v>
      </c>
      <c r="J577" s="22">
        <f>fact_kpi_weekly!J577</f>
        <v>17785</v>
      </c>
      <c r="K577" s="20" t="str">
        <f t="array" ref="K577">IFERROR(INDEX(dim_date!H:H,MATCH(A577,dim_date!A:A,0)),"")</f>
        <v>Nov</v>
      </c>
      <c r="L577" s="20" t="str">
        <f t="array" ref="L577">IFERROR(INDEX(dim_date!G:G,MATCH(A577,dim_date!A:A,0)),"")</f>
        <v>11</v>
      </c>
      <c r="M577" s="9" t="str">
        <f t="array" ref="M577">IFERROR(INDEX(dim_date!I:I,MATCH(A577,dim_date!A:A,0)),"")</f>
        <v>Q4</v>
      </c>
      <c r="N577" s="20" t="str">
        <f t="array" ref="N577">IFERROR(INDEX(dim_date!K:K,MATCH(A577,dim_date!A:A,0)),"")</f>
        <v>47</v>
      </c>
      <c r="O577" s="9" t="str">
        <f t="array" ref="O577">IFERROR(INDEX(dim_date!F:F,MATCH(A577,dim_date!A:A,0)),"")</f>
        <v>11/15-11/21</v>
      </c>
      <c r="P577" s="9" t="str">
        <f t="array" ref="P577">IFERROR(INDEX(dim_kpi!E:E,MATCH(D577,dim_kpi!C:C,0)),"")</f>
        <v>count</v>
      </c>
      <c r="Q577" s="9" t="str">
        <f t="array" ref="Q577">IFERROR(INDEX(dim_kpi!F:F,MATCH(D577,dim_kpi!C:C,0)),"")</f>
        <v>Y</v>
      </c>
    </row>
    <row r="578" ht="12.75" customHeight="1">
      <c r="A578" s="20" t="str">
        <f>fact_kpi_weekly!A578</f>
        <v>261122</v>
      </c>
      <c r="B578" s="21">
        <f>fact_kpi_weekly!B578</f>
        <v>46348</v>
      </c>
      <c r="C578" s="9" t="str">
        <f>fact_kpi_weekly!C578</f>
        <v>Growth</v>
      </c>
      <c r="D578" s="9" t="str">
        <f>fact_kpi_weekly!D578</f>
        <v>Total Actives</v>
      </c>
      <c r="E578" s="9" t="str">
        <f>fact_kpi_weekly!E578</f>
        <v>Goal</v>
      </c>
      <c r="F578" s="9" t="str">
        <f>IF(fact_kpi_weekly!F578="","",fact_kpi_weekly!F578)</f>
        <v>Board</v>
      </c>
      <c r="G578" s="9" t="str">
        <f>fact_kpi_weekly!G578</f>
        <v>N/A</v>
      </c>
      <c r="H578" s="9" t="str">
        <f>fact_kpi_weekly!H578</f>
        <v/>
      </c>
      <c r="I578" s="9">
        <f>fact_kpi_weekly!I578</f>
        <v>18031</v>
      </c>
      <c r="J578" s="22">
        <f>fact_kpi_weekly!J578</f>
        <v>18031</v>
      </c>
      <c r="K578" s="20" t="str">
        <f t="array" ref="K578">IFERROR(INDEX(dim_date!H:H,MATCH(A578,dim_date!A:A,0)),"")</f>
        <v>Nov</v>
      </c>
      <c r="L578" s="20" t="str">
        <f t="array" ref="L578">IFERROR(INDEX(dim_date!G:G,MATCH(A578,dim_date!A:A,0)),"")</f>
        <v>11</v>
      </c>
      <c r="M578" s="9" t="str">
        <f t="array" ref="M578">IFERROR(INDEX(dim_date!I:I,MATCH(A578,dim_date!A:A,0)),"")</f>
        <v>Q4</v>
      </c>
      <c r="N578" s="20" t="str">
        <f t="array" ref="N578">IFERROR(INDEX(dim_date!K:K,MATCH(A578,dim_date!A:A,0)),"")</f>
        <v>48</v>
      </c>
      <c r="O578" s="9" t="str">
        <f t="array" ref="O578">IFERROR(INDEX(dim_date!F:F,MATCH(A578,dim_date!A:A,0)),"")</f>
        <v>11/22-11/28</v>
      </c>
      <c r="P578" s="9" t="str">
        <f t="array" ref="P578">IFERROR(INDEX(dim_kpi!E:E,MATCH(D578,dim_kpi!C:C,0)),"")</f>
        <v>count</v>
      </c>
      <c r="Q578" s="9" t="str">
        <f t="array" ref="Q578">IFERROR(INDEX(dim_kpi!F:F,MATCH(D578,dim_kpi!C:C,0)),"")</f>
        <v>Y</v>
      </c>
    </row>
    <row r="579" ht="12.75" customHeight="1">
      <c r="A579" s="20" t="str">
        <f>fact_kpi_weekly!A579</f>
        <v>261129</v>
      </c>
      <c r="B579" s="21">
        <f>fact_kpi_weekly!B579</f>
        <v>46355</v>
      </c>
      <c r="C579" s="9" t="str">
        <f>fact_kpi_weekly!C579</f>
        <v>Growth</v>
      </c>
      <c r="D579" s="9" t="str">
        <f>fact_kpi_weekly!D579</f>
        <v>Total Actives</v>
      </c>
      <c r="E579" s="9" t="str">
        <f>fact_kpi_weekly!E579</f>
        <v>Goal</v>
      </c>
      <c r="F579" s="9" t="str">
        <f>IF(fact_kpi_weekly!F579="","",fact_kpi_weekly!F579)</f>
        <v>Board</v>
      </c>
      <c r="G579" s="9" t="str">
        <f>fact_kpi_weekly!G579</f>
        <v>N/A</v>
      </c>
      <c r="H579" s="9" t="str">
        <f>fact_kpi_weekly!H579</f>
        <v/>
      </c>
      <c r="I579" s="9">
        <f>fact_kpi_weekly!I579</f>
        <v>18349</v>
      </c>
      <c r="J579" s="22">
        <f>fact_kpi_weekly!J579</f>
        <v>18349</v>
      </c>
      <c r="K579" s="20" t="str">
        <f t="array" ref="K579">IFERROR(INDEX(dim_date!H:H,MATCH(A579,dim_date!A:A,0)),"")</f>
        <v>Nov</v>
      </c>
      <c r="L579" s="20" t="str">
        <f t="array" ref="L579">IFERROR(INDEX(dim_date!G:G,MATCH(A579,dim_date!A:A,0)),"")</f>
        <v>11</v>
      </c>
      <c r="M579" s="9" t="str">
        <f t="array" ref="M579">IFERROR(INDEX(dim_date!I:I,MATCH(A579,dim_date!A:A,0)),"")</f>
        <v>Q4</v>
      </c>
      <c r="N579" s="20" t="str">
        <f t="array" ref="N579">IFERROR(INDEX(dim_date!K:K,MATCH(A579,dim_date!A:A,0)),"")</f>
        <v>49</v>
      </c>
      <c r="O579" s="9" t="str">
        <f t="array" ref="O579">IFERROR(INDEX(dim_date!F:F,MATCH(A579,dim_date!A:A,0)),"")</f>
        <v>11/29-12/5</v>
      </c>
      <c r="P579" s="9" t="str">
        <f t="array" ref="P579">IFERROR(INDEX(dim_kpi!E:E,MATCH(D579,dim_kpi!C:C,0)),"")</f>
        <v>count</v>
      </c>
      <c r="Q579" s="9" t="str">
        <f t="array" ref="Q579">IFERROR(INDEX(dim_kpi!F:F,MATCH(D579,dim_kpi!C:C,0)),"")</f>
        <v>Y</v>
      </c>
    </row>
    <row r="580" ht="12.75" customHeight="1">
      <c r="A580" s="20" t="str">
        <f>fact_kpi_weekly!A580</f>
        <v>261206</v>
      </c>
      <c r="B580" s="21">
        <f>fact_kpi_weekly!B580</f>
        <v>46362</v>
      </c>
      <c r="C580" s="9" t="str">
        <f>fact_kpi_weekly!C580</f>
        <v>Growth</v>
      </c>
      <c r="D580" s="9" t="str">
        <f>fact_kpi_weekly!D580</f>
        <v>Total Actives</v>
      </c>
      <c r="E580" s="9" t="str">
        <f>fact_kpi_weekly!E580</f>
        <v>Goal</v>
      </c>
      <c r="F580" s="9" t="str">
        <f>IF(fact_kpi_weekly!F580="","",fact_kpi_weekly!F580)</f>
        <v>Board</v>
      </c>
      <c r="G580" s="9" t="str">
        <f>fact_kpi_weekly!G580</f>
        <v>N/A</v>
      </c>
      <c r="H580" s="9" t="str">
        <f>fact_kpi_weekly!H580</f>
        <v/>
      </c>
      <c r="I580" s="9">
        <f>fact_kpi_weekly!I580</f>
        <v>18644</v>
      </c>
      <c r="J580" s="22">
        <f>fact_kpi_weekly!J580</f>
        <v>18644</v>
      </c>
      <c r="K580" s="20" t="str">
        <f t="array" ref="K580">IFERROR(INDEX(dim_date!H:H,MATCH(A580,dim_date!A:A,0)),"")</f>
        <v>Dec</v>
      </c>
      <c r="L580" s="20" t="str">
        <f t="array" ref="L580">IFERROR(INDEX(dim_date!G:G,MATCH(A580,dim_date!A:A,0)),"")</f>
        <v>12</v>
      </c>
      <c r="M580" s="9" t="str">
        <f t="array" ref="M580">IFERROR(INDEX(dim_date!I:I,MATCH(A580,dim_date!A:A,0)),"")</f>
        <v>Q4</v>
      </c>
      <c r="N580" s="20" t="str">
        <f t="array" ref="N580">IFERROR(INDEX(dim_date!K:K,MATCH(A580,dim_date!A:A,0)),"")</f>
        <v>50</v>
      </c>
      <c r="O580" s="9" t="str">
        <f t="array" ref="O580">IFERROR(INDEX(dim_date!F:F,MATCH(A580,dim_date!A:A,0)),"")</f>
        <v>12/6-12/12</v>
      </c>
      <c r="P580" s="9" t="str">
        <f t="array" ref="P580">IFERROR(INDEX(dim_kpi!E:E,MATCH(D580,dim_kpi!C:C,0)),"")</f>
        <v>count</v>
      </c>
      <c r="Q580" s="9" t="str">
        <f t="array" ref="Q580">IFERROR(INDEX(dim_kpi!F:F,MATCH(D580,dim_kpi!C:C,0)),"")</f>
        <v>Y</v>
      </c>
    </row>
    <row r="581" ht="12.75" customHeight="1">
      <c r="A581" s="20" t="str">
        <f>fact_kpi_weekly!A581</f>
        <v>261213</v>
      </c>
      <c r="B581" s="21">
        <f>fact_kpi_weekly!B581</f>
        <v>46369</v>
      </c>
      <c r="C581" s="9" t="str">
        <f>fact_kpi_weekly!C581</f>
        <v>Growth</v>
      </c>
      <c r="D581" s="9" t="str">
        <f>fact_kpi_weekly!D581</f>
        <v>Total Actives</v>
      </c>
      <c r="E581" s="9" t="str">
        <f>fact_kpi_weekly!E581</f>
        <v>Goal</v>
      </c>
      <c r="F581" s="9" t="str">
        <f>IF(fact_kpi_weekly!F581="","",fact_kpi_weekly!F581)</f>
        <v>Board</v>
      </c>
      <c r="G581" s="9" t="str">
        <f>fact_kpi_weekly!G581</f>
        <v>N/A</v>
      </c>
      <c r="H581" s="9" t="str">
        <f>fact_kpi_weekly!H581</f>
        <v/>
      </c>
      <c r="I581" s="9">
        <f>fact_kpi_weekly!I581</f>
        <v>18939</v>
      </c>
      <c r="J581" s="22">
        <f>fact_kpi_weekly!J581</f>
        <v>18939</v>
      </c>
      <c r="K581" s="20" t="str">
        <f t="array" ref="K581">IFERROR(INDEX(dim_date!H:H,MATCH(A581,dim_date!A:A,0)),"")</f>
        <v>Dec</v>
      </c>
      <c r="L581" s="20" t="str">
        <f t="array" ref="L581">IFERROR(INDEX(dim_date!G:G,MATCH(A581,dim_date!A:A,0)),"")</f>
        <v>12</v>
      </c>
      <c r="M581" s="9" t="str">
        <f t="array" ref="M581">IFERROR(INDEX(dim_date!I:I,MATCH(A581,dim_date!A:A,0)),"")</f>
        <v>Q4</v>
      </c>
      <c r="N581" s="20" t="str">
        <f t="array" ref="N581">IFERROR(INDEX(dim_date!K:K,MATCH(A581,dim_date!A:A,0)),"")</f>
        <v>51</v>
      </c>
      <c r="O581" s="9" t="str">
        <f t="array" ref="O581">IFERROR(INDEX(dim_date!F:F,MATCH(A581,dim_date!A:A,0)),"")</f>
        <v>12/13-12/19</v>
      </c>
      <c r="P581" s="9" t="str">
        <f t="array" ref="P581">IFERROR(INDEX(dim_kpi!E:E,MATCH(D581,dim_kpi!C:C,0)),"")</f>
        <v>count</v>
      </c>
      <c r="Q581" s="9" t="str">
        <f t="array" ref="Q581">IFERROR(INDEX(dim_kpi!F:F,MATCH(D581,dim_kpi!C:C,0)),"")</f>
        <v>Y</v>
      </c>
    </row>
    <row r="582" ht="12.75" customHeight="1">
      <c r="A582" s="20" t="str">
        <f>fact_kpi_weekly!A582</f>
        <v>261220</v>
      </c>
      <c r="B582" s="21">
        <f>fact_kpi_weekly!B582</f>
        <v>46376</v>
      </c>
      <c r="C582" s="9" t="str">
        <f>fact_kpi_weekly!C582</f>
        <v>Growth</v>
      </c>
      <c r="D582" s="9" t="str">
        <f>fact_kpi_weekly!D582</f>
        <v>Total Actives</v>
      </c>
      <c r="E582" s="9" t="str">
        <f>fact_kpi_weekly!E582</f>
        <v>Goal</v>
      </c>
      <c r="F582" s="9" t="str">
        <f>IF(fact_kpi_weekly!F582="","",fact_kpi_weekly!F582)</f>
        <v>Board</v>
      </c>
      <c r="G582" s="9" t="str">
        <f>fact_kpi_weekly!G582</f>
        <v>N/A</v>
      </c>
      <c r="H582" s="9" t="str">
        <f>fact_kpi_weekly!H582</f>
        <v/>
      </c>
      <c r="I582" s="9">
        <f>fact_kpi_weekly!I582</f>
        <v>19175</v>
      </c>
      <c r="J582" s="22">
        <f>fact_kpi_weekly!J582</f>
        <v>19175</v>
      </c>
      <c r="K582" s="20" t="str">
        <f t="array" ref="K582">IFERROR(INDEX(dim_date!H:H,MATCH(A582,dim_date!A:A,0)),"")</f>
        <v>Dec</v>
      </c>
      <c r="L582" s="20" t="str">
        <f t="array" ref="L582">IFERROR(INDEX(dim_date!G:G,MATCH(A582,dim_date!A:A,0)),"")</f>
        <v>12</v>
      </c>
      <c r="M582" s="9" t="str">
        <f t="array" ref="M582">IFERROR(INDEX(dim_date!I:I,MATCH(A582,dim_date!A:A,0)),"")</f>
        <v>Q4</v>
      </c>
      <c r="N582" s="20" t="str">
        <f t="array" ref="N582">IFERROR(INDEX(dim_date!K:K,MATCH(A582,dim_date!A:A,0)),"")</f>
        <v>52</v>
      </c>
      <c r="O582" s="9" t="str">
        <f t="array" ref="O582">IFERROR(INDEX(dim_date!F:F,MATCH(A582,dim_date!A:A,0)),"")</f>
        <v>12/20-12/26</v>
      </c>
      <c r="P582" s="9" t="str">
        <f t="array" ref="P582">IFERROR(INDEX(dim_kpi!E:E,MATCH(D582,dim_kpi!C:C,0)),"")</f>
        <v>count</v>
      </c>
      <c r="Q582" s="9" t="str">
        <f t="array" ref="Q582">IFERROR(INDEX(dim_kpi!F:F,MATCH(D582,dim_kpi!C:C,0)),"")</f>
        <v>Y</v>
      </c>
    </row>
    <row r="583" ht="12.75" customHeight="1">
      <c r="A583" s="20" t="str">
        <f>fact_kpi_weekly!A583</f>
        <v>261227</v>
      </c>
      <c r="B583" s="21">
        <f>fact_kpi_weekly!B583</f>
        <v>46383</v>
      </c>
      <c r="C583" s="9" t="str">
        <f>fact_kpi_weekly!C583</f>
        <v>Growth</v>
      </c>
      <c r="D583" s="9" t="str">
        <f>fact_kpi_weekly!D583</f>
        <v>Total Actives</v>
      </c>
      <c r="E583" s="9" t="str">
        <f>fact_kpi_weekly!E583</f>
        <v>Goal</v>
      </c>
      <c r="F583" s="9" t="str">
        <f>IF(fact_kpi_weekly!F583="","",fact_kpi_weekly!F583)</f>
        <v>Board</v>
      </c>
      <c r="G583" s="9" t="str">
        <f>fact_kpi_weekly!G583</f>
        <v>N/A</v>
      </c>
      <c r="H583" s="9" t="str">
        <f>fact_kpi_weekly!H583</f>
        <v/>
      </c>
      <c r="I583" s="9">
        <f>fact_kpi_weekly!I583</f>
        <v>19411</v>
      </c>
      <c r="J583" s="22">
        <f>fact_kpi_weekly!J583</f>
        <v>19411</v>
      </c>
      <c r="K583" s="20" t="str">
        <f t="array" ref="K583">IFERROR(INDEX(dim_date!H:H,MATCH(A583,dim_date!A:A,0)),"")</f>
        <v>Dec</v>
      </c>
      <c r="L583" s="20" t="str">
        <f t="array" ref="L583">IFERROR(INDEX(dim_date!G:G,MATCH(A583,dim_date!A:A,0)),"")</f>
        <v>12</v>
      </c>
      <c r="M583" s="9" t="str">
        <f t="array" ref="M583">IFERROR(INDEX(dim_date!I:I,MATCH(A583,dim_date!A:A,0)),"")</f>
        <v>Q4</v>
      </c>
      <c r="N583" s="20" t="str">
        <f t="array" ref="N583">IFERROR(INDEX(dim_date!K:K,MATCH(A583,dim_date!A:A,0)),"")</f>
        <v>53</v>
      </c>
      <c r="O583" s="9" t="str">
        <f t="array" ref="O583">IFERROR(INDEX(dim_date!F:F,MATCH(A583,dim_date!A:A,0)),"")</f>
        <v>12/27-1/2</v>
      </c>
      <c r="P583" s="9" t="str">
        <f t="array" ref="P583">IFERROR(INDEX(dim_kpi!E:E,MATCH(D583,dim_kpi!C:C,0)),"")</f>
        <v>count</v>
      </c>
      <c r="Q583" s="9" t="str">
        <f t="array" ref="Q583">IFERROR(INDEX(dim_kpi!F:F,MATCH(D583,dim_kpi!C:C,0)),"")</f>
        <v>Y</v>
      </c>
    </row>
    <row r="584" ht="12.75" customHeight="1">
      <c r="A584" s="20" t="str">
        <f>fact_kpi_weekly!A584</f>
        <v>260329</v>
      </c>
      <c r="B584" s="21">
        <f>fact_kpi_weekly!B584</f>
        <v>46110</v>
      </c>
      <c r="C584" s="9" t="str">
        <f>fact_kpi_weekly!C584</f>
        <v>Growth</v>
      </c>
      <c r="D584" s="9" t="str">
        <f>fact_kpi_weekly!D584</f>
        <v>Retention Rate</v>
      </c>
      <c r="E584" s="9" t="str">
        <f>fact_kpi_weekly!E584</f>
        <v>Goal</v>
      </c>
      <c r="F584" s="9" t="str">
        <f>IF(fact_kpi_weekly!F584="","",fact_kpi_weekly!F584)</f>
        <v/>
      </c>
      <c r="G584" s="9" t="str">
        <f>fact_kpi_weekly!G584</f>
        <v>N/A</v>
      </c>
      <c r="H584" s="9" t="str">
        <f>fact_kpi_weekly!H584</f>
        <v>Kit</v>
      </c>
      <c r="I584" s="9">
        <f>fact_kpi_weekly!I584</f>
        <v>0.0375</v>
      </c>
      <c r="J584" s="22">
        <f>fact_kpi_weekly!J584</f>
        <v>0.0375</v>
      </c>
      <c r="K584" s="20" t="str">
        <f t="array" ref="K584">IFERROR(INDEX(dim_date!H:H,MATCH(A584,dim_date!A:A,0)),"")</f>
        <v>Mar</v>
      </c>
      <c r="L584" s="20" t="str">
        <f t="array" ref="L584">IFERROR(INDEX(dim_date!G:G,MATCH(A584,dim_date!A:A,0)),"")</f>
        <v>03</v>
      </c>
      <c r="M584" s="9" t="str">
        <f t="array" ref="M584">IFERROR(INDEX(dim_date!I:I,MATCH(A584,dim_date!A:A,0)),"")</f>
        <v>Q1</v>
      </c>
      <c r="N584" s="20" t="str">
        <f t="array" ref="N584">IFERROR(INDEX(dim_date!K:K,MATCH(A584,dim_date!A:A,0)),"")</f>
        <v>14</v>
      </c>
      <c r="O584" s="9" t="str">
        <f t="array" ref="O584">IFERROR(INDEX(dim_date!F:F,MATCH(A584,dim_date!A:A,0)),"")</f>
        <v>3/29-4/4</v>
      </c>
      <c r="P584" s="9" t="str">
        <f t="array" ref="P584">IFERROR(INDEX(dim_kpi!E:E,MATCH(D584,dim_kpi!C:C,0)),"")</f>
        <v>%</v>
      </c>
      <c r="Q584" s="9" t="str">
        <f t="array" ref="Q584">IFERROR(INDEX(dim_kpi!F:F,MATCH(D584,dim_kpi!C:C,0)),"")</f>
        <v>N</v>
      </c>
    </row>
    <row r="585" ht="12.75" customHeight="1">
      <c r="A585" s="20" t="str">
        <f>fact_kpi_weekly!A585</f>
        <v>260405</v>
      </c>
      <c r="B585" s="21">
        <f>fact_kpi_weekly!B585</f>
        <v>46117</v>
      </c>
      <c r="C585" s="9" t="str">
        <f>fact_kpi_weekly!C585</f>
        <v>Growth</v>
      </c>
      <c r="D585" s="9" t="str">
        <f>fact_kpi_weekly!D585</f>
        <v>Retention Rate</v>
      </c>
      <c r="E585" s="9" t="str">
        <f>fact_kpi_weekly!E585</f>
        <v>Goal</v>
      </c>
      <c r="F585" s="9" t="str">
        <f>IF(fact_kpi_weekly!F585="","",fact_kpi_weekly!F585)</f>
        <v/>
      </c>
      <c r="G585" s="9" t="str">
        <f>fact_kpi_weekly!G585</f>
        <v>N/A</v>
      </c>
      <c r="H585" s="9" t="str">
        <f>fact_kpi_weekly!H585</f>
        <v>Kit</v>
      </c>
      <c r="I585" s="9">
        <f>fact_kpi_weekly!I585</f>
        <v>0.0375</v>
      </c>
      <c r="J585" s="22">
        <f>fact_kpi_weekly!J585</f>
        <v>0.0375</v>
      </c>
      <c r="K585" s="20" t="str">
        <f t="array" ref="K585">IFERROR(INDEX(dim_date!H:H,MATCH(A585,dim_date!A:A,0)),"")</f>
        <v>Apr</v>
      </c>
      <c r="L585" s="20" t="str">
        <f t="array" ref="L585">IFERROR(INDEX(dim_date!G:G,MATCH(A585,dim_date!A:A,0)),"")</f>
        <v>04</v>
      </c>
      <c r="M585" s="9" t="str">
        <f t="array" ref="M585">IFERROR(INDEX(dim_date!I:I,MATCH(A585,dim_date!A:A,0)),"")</f>
        <v>Q2</v>
      </c>
      <c r="N585" s="20" t="str">
        <f t="array" ref="N585">IFERROR(INDEX(dim_date!K:K,MATCH(A585,dim_date!A:A,0)),"")</f>
        <v>15</v>
      </c>
      <c r="O585" s="9" t="str">
        <f t="array" ref="O585">IFERROR(INDEX(dim_date!F:F,MATCH(A585,dim_date!A:A,0)),"")</f>
        <v>4/5-4/11</v>
      </c>
      <c r="P585" s="9" t="str">
        <f t="array" ref="P585">IFERROR(INDEX(dim_kpi!E:E,MATCH(D585,dim_kpi!C:C,0)),"")</f>
        <v>%</v>
      </c>
      <c r="Q585" s="9" t="str">
        <f t="array" ref="Q585">IFERROR(INDEX(dim_kpi!F:F,MATCH(D585,dim_kpi!C:C,0)),"")</f>
        <v>N</v>
      </c>
    </row>
    <row r="586" ht="12.75" customHeight="1">
      <c r="A586" s="20" t="str">
        <f>fact_kpi_weekly!A586</f>
        <v>260412</v>
      </c>
      <c r="B586" s="21">
        <f>fact_kpi_weekly!B586</f>
        <v>46124</v>
      </c>
      <c r="C586" s="9" t="str">
        <f>fact_kpi_weekly!C586</f>
        <v>Growth</v>
      </c>
      <c r="D586" s="9" t="str">
        <f>fact_kpi_weekly!D586</f>
        <v>Retention Rate</v>
      </c>
      <c r="E586" s="9" t="str">
        <f>fact_kpi_weekly!E586</f>
        <v>Goal</v>
      </c>
      <c r="F586" s="9" t="str">
        <f>IF(fact_kpi_weekly!F586="","",fact_kpi_weekly!F586)</f>
        <v/>
      </c>
      <c r="G586" s="9" t="str">
        <f>fact_kpi_weekly!G586</f>
        <v>N/A</v>
      </c>
      <c r="H586" s="9" t="str">
        <f>fact_kpi_weekly!H586</f>
        <v>Kit</v>
      </c>
      <c r="I586" s="9">
        <f>fact_kpi_weekly!I586</f>
        <v>0.0375</v>
      </c>
      <c r="J586" s="22">
        <f>fact_kpi_weekly!J586</f>
        <v>0.0375</v>
      </c>
      <c r="K586" s="20" t="str">
        <f t="array" ref="K586">IFERROR(INDEX(dim_date!H:H,MATCH(A586,dim_date!A:A,0)),"")</f>
        <v>Apr</v>
      </c>
      <c r="L586" s="20" t="str">
        <f t="array" ref="L586">IFERROR(INDEX(dim_date!G:G,MATCH(A586,dim_date!A:A,0)),"")</f>
        <v>04</v>
      </c>
      <c r="M586" s="9" t="str">
        <f t="array" ref="M586">IFERROR(INDEX(dim_date!I:I,MATCH(A586,dim_date!A:A,0)),"")</f>
        <v>Q2</v>
      </c>
      <c r="N586" s="20" t="str">
        <f t="array" ref="N586">IFERROR(INDEX(dim_date!K:K,MATCH(A586,dim_date!A:A,0)),"")</f>
        <v>16</v>
      </c>
      <c r="O586" s="9" t="str">
        <f t="array" ref="O586">IFERROR(INDEX(dim_date!F:F,MATCH(A586,dim_date!A:A,0)),"")</f>
        <v>4/12-4/18</v>
      </c>
      <c r="P586" s="9" t="str">
        <f t="array" ref="P586">IFERROR(INDEX(dim_kpi!E:E,MATCH(D586,dim_kpi!C:C,0)),"")</f>
        <v>%</v>
      </c>
      <c r="Q586" s="9" t="str">
        <f t="array" ref="Q586">IFERROR(INDEX(dim_kpi!F:F,MATCH(D586,dim_kpi!C:C,0)),"")</f>
        <v>N</v>
      </c>
    </row>
    <row r="587" ht="12.75" customHeight="1">
      <c r="A587" s="20" t="str">
        <f>fact_kpi_weekly!A587</f>
        <v>260419</v>
      </c>
      <c r="B587" s="21">
        <f>fact_kpi_weekly!B587</f>
        <v>46131</v>
      </c>
      <c r="C587" s="9" t="str">
        <f>fact_kpi_weekly!C587</f>
        <v>Growth</v>
      </c>
      <c r="D587" s="9" t="str">
        <f>fact_kpi_weekly!D587</f>
        <v>Retention Rate</v>
      </c>
      <c r="E587" s="9" t="str">
        <f>fact_kpi_weekly!E587</f>
        <v>Goal</v>
      </c>
      <c r="F587" s="9" t="str">
        <f>IF(fact_kpi_weekly!F587="","",fact_kpi_weekly!F587)</f>
        <v/>
      </c>
      <c r="G587" s="9" t="str">
        <f>fact_kpi_weekly!G587</f>
        <v>N/A</v>
      </c>
      <c r="H587" s="9" t="str">
        <f>fact_kpi_weekly!H587</f>
        <v>Kit</v>
      </c>
      <c r="I587" s="9">
        <f>fact_kpi_weekly!I587</f>
        <v>0.0375</v>
      </c>
      <c r="J587" s="22">
        <f>fact_kpi_weekly!J587</f>
        <v>0.0375</v>
      </c>
      <c r="K587" s="20" t="str">
        <f t="array" ref="K587">IFERROR(INDEX(dim_date!H:H,MATCH(A587,dim_date!A:A,0)),"")</f>
        <v>Apr</v>
      </c>
      <c r="L587" s="20" t="str">
        <f t="array" ref="L587">IFERROR(INDEX(dim_date!G:G,MATCH(A587,dim_date!A:A,0)),"")</f>
        <v>04</v>
      </c>
      <c r="M587" s="9" t="str">
        <f t="array" ref="M587">IFERROR(INDEX(dim_date!I:I,MATCH(A587,dim_date!A:A,0)),"")</f>
        <v>Q2</v>
      </c>
      <c r="N587" s="20" t="str">
        <f t="array" ref="N587">IFERROR(INDEX(dim_date!K:K,MATCH(A587,dim_date!A:A,0)),"")</f>
        <v>17</v>
      </c>
      <c r="O587" s="9" t="str">
        <f t="array" ref="O587">IFERROR(INDEX(dim_date!F:F,MATCH(A587,dim_date!A:A,0)),"")</f>
        <v>4/19-4/25</v>
      </c>
      <c r="P587" s="9" t="str">
        <f t="array" ref="P587">IFERROR(INDEX(dim_kpi!E:E,MATCH(D587,dim_kpi!C:C,0)),"")</f>
        <v>%</v>
      </c>
      <c r="Q587" s="9" t="str">
        <f t="array" ref="Q587">IFERROR(INDEX(dim_kpi!F:F,MATCH(D587,dim_kpi!C:C,0)),"")</f>
        <v>N</v>
      </c>
    </row>
    <row r="588" ht="12.75" customHeight="1">
      <c r="A588" s="20" t="str">
        <f>fact_kpi_weekly!A588</f>
        <v>260426</v>
      </c>
      <c r="B588" s="21">
        <f>fact_kpi_weekly!B588</f>
        <v>46138</v>
      </c>
      <c r="C588" s="9" t="str">
        <f>fact_kpi_weekly!C588</f>
        <v>Growth</v>
      </c>
      <c r="D588" s="9" t="str">
        <f>fact_kpi_weekly!D588</f>
        <v>Retention Rate</v>
      </c>
      <c r="E588" s="9" t="str">
        <f>fact_kpi_weekly!E588</f>
        <v>Goal</v>
      </c>
      <c r="F588" s="9" t="str">
        <f>IF(fact_kpi_weekly!F588="","",fact_kpi_weekly!F588)</f>
        <v/>
      </c>
      <c r="G588" s="9" t="str">
        <f>fact_kpi_weekly!G588</f>
        <v>N/A</v>
      </c>
      <c r="H588" s="9" t="str">
        <f>fact_kpi_weekly!H588</f>
        <v>Kit</v>
      </c>
      <c r="I588" s="9">
        <f>fact_kpi_weekly!I588</f>
        <v>0.0387</v>
      </c>
      <c r="J588" s="22">
        <f>fact_kpi_weekly!J588</f>
        <v>0.0387</v>
      </c>
      <c r="K588" s="20" t="str">
        <f t="array" ref="K588">IFERROR(INDEX(dim_date!H:H,MATCH(A588,dim_date!A:A,0)),"")</f>
        <v>Apr</v>
      </c>
      <c r="L588" s="20" t="str">
        <f t="array" ref="L588">IFERROR(INDEX(dim_date!G:G,MATCH(A588,dim_date!A:A,0)),"")</f>
        <v>04</v>
      </c>
      <c r="M588" s="9" t="str">
        <f t="array" ref="M588">IFERROR(INDEX(dim_date!I:I,MATCH(A588,dim_date!A:A,0)),"")</f>
        <v>Q2</v>
      </c>
      <c r="N588" s="20" t="str">
        <f t="array" ref="N588">IFERROR(INDEX(dim_date!K:K,MATCH(A588,dim_date!A:A,0)),"")</f>
        <v>18</v>
      </c>
      <c r="O588" s="9" t="str">
        <f t="array" ref="O588">IFERROR(INDEX(dim_date!F:F,MATCH(A588,dim_date!A:A,0)),"")</f>
        <v>4/26-5/2</v>
      </c>
      <c r="P588" s="9" t="str">
        <f t="array" ref="P588">IFERROR(INDEX(dim_kpi!E:E,MATCH(D588,dim_kpi!C:C,0)),"")</f>
        <v>%</v>
      </c>
      <c r="Q588" s="9" t="str">
        <f t="array" ref="Q588">IFERROR(INDEX(dim_kpi!F:F,MATCH(D588,dim_kpi!C:C,0)),"")</f>
        <v>N</v>
      </c>
    </row>
    <row r="589" ht="12.75" customHeight="1">
      <c r="A589" s="20" t="str">
        <f>fact_kpi_weekly!A589</f>
        <v>260503</v>
      </c>
      <c r="B589" s="21">
        <f>fact_kpi_weekly!B589</f>
        <v>46145</v>
      </c>
      <c r="C589" s="9" t="str">
        <f>fact_kpi_weekly!C589</f>
        <v>Growth</v>
      </c>
      <c r="D589" s="9" t="str">
        <f>fact_kpi_weekly!D589</f>
        <v>Retention Rate</v>
      </c>
      <c r="E589" s="9" t="str">
        <f>fact_kpi_weekly!E589</f>
        <v>Goal</v>
      </c>
      <c r="F589" s="9" t="str">
        <f>IF(fact_kpi_weekly!F589="","",fact_kpi_weekly!F589)</f>
        <v/>
      </c>
      <c r="G589" s="9" t="str">
        <f>fact_kpi_weekly!G589</f>
        <v>N/A</v>
      </c>
      <c r="H589" s="9" t="str">
        <f>fact_kpi_weekly!H589</f>
        <v>Kit</v>
      </c>
      <c r="I589" s="9">
        <f>fact_kpi_weekly!I589</f>
        <v>0.0387</v>
      </c>
      <c r="J589" s="22">
        <f>fact_kpi_weekly!J589</f>
        <v>0.0387</v>
      </c>
      <c r="K589" s="20" t="str">
        <f t="array" ref="K589">IFERROR(INDEX(dim_date!H:H,MATCH(A589,dim_date!A:A,0)),"")</f>
        <v>May</v>
      </c>
      <c r="L589" s="20" t="str">
        <f t="array" ref="L589">IFERROR(INDEX(dim_date!G:G,MATCH(A589,dim_date!A:A,0)),"")</f>
        <v>05</v>
      </c>
      <c r="M589" s="9" t="str">
        <f t="array" ref="M589">IFERROR(INDEX(dim_date!I:I,MATCH(A589,dim_date!A:A,0)),"")</f>
        <v>Q2</v>
      </c>
      <c r="N589" s="20" t="str">
        <f t="array" ref="N589">IFERROR(INDEX(dim_date!K:K,MATCH(A589,dim_date!A:A,0)),"")</f>
        <v>19</v>
      </c>
      <c r="O589" s="9" t="str">
        <f t="array" ref="O589">IFERROR(INDEX(dim_date!F:F,MATCH(A589,dim_date!A:A,0)),"")</f>
        <v>5/3-5/9</v>
      </c>
      <c r="P589" s="9" t="str">
        <f t="array" ref="P589">IFERROR(INDEX(dim_kpi!E:E,MATCH(D589,dim_kpi!C:C,0)),"")</f>
        <v>%</v>
      </c>
      <c r="Q589" s="9" t="str">
        <f t="array" ref="Q589">IFERROR(INDEX(dim_kpi!F:F,MATCH(D589,dim_kpi!C:C,0)),"")</f>
        <v>N</v>
      </c>
    </row>
    <row r="590" ht="12.75" customHeight="1">
      <c r="A590" s="20" t="str">
        <f>fact_kpi_weekly!A590</f>
        <v>260510</v>
      </c>
      <c r="B590" s="21">
        <f>fact_kpi_weekly!B590</f>
        <v>46152</v>
      </c>
      <c r="C590" s="9" t="str">
        <f>fact_kpi_weekly!C590</f>
        <v>Growth</v>
      </c>
      <c r="D590" s="9" t="str">
        <f>fact_kpi_weekly!D590</f>
        <v>Retention Rate</v>
      </c>
      <c r="E590" s="9" t="str">
        <f>fact_kpi_weekly!E590</f>
        <v>Goal</v>
      </c>
      <c r="F590" s="9" t="str">
        <f>IF(fact_kpi_weekly!F590="","",fact_kpi_weekly!F590)</f>
        <v/>
      </c>
      <c r="G590" s="9" t="str">
        <f>fact_kpi_weekly!G590</f>
        <v>N/A</v>
      </c>
      <c r="H590" s="9" t="str">
        <f>fact_kpi_weekly!H590</f>
        <v>Kit</v>
      </c>
      <c r="I590" s="9">
        <f>fact_kpi_weekly!I590</f>
        <v>0.0387</v>
      </c>
      <c r="J590" s="22">
        <f>fact_kpi_weekly!J590</f>
        <v>0.0387</v>
      </c>
      <c r="K590" s="20" t="str">
        <f t="array" ref="K590">IFERROR(INDEX(dim_date!H:H,MATCH(A590,dim_date!A:A,0)),"")</f>
        <v>May</v>
      </c>
      <c r="L590" s="20" t="str">
        <f t="array" ref="L590">IFERROR(INDEX(dim_date!G:G,MATCH(A590,dim_date!A:A,0)),"")</f>
        <v>05</v>
      </c>
      <c r="M590" s="9" t="str">
        <f t="array" ref="M590">IFERROR(INDEX(dim_date!I:I,MATCH(A590,dim_date!A:A,0)),"")</f>
        <v>Q2</v>
      </c>
      <c r="N590" s="20" t="str">
        <f t="array" ref="N590">IFERROR(INDEX(dim_date!K:K,MATCH(A590,dim_date!A:A,0)),"")</f>
        <v>20</v>
      </c>
      <c r="O590" s="9" t="str">
        <f t="array" ref="O590">IFERROR(INDEX(dim_date!F:F,MATCH(A590,dim_date!A:A,0)),"")</f>
        <v>5/10-5/16</v>
      </c>
      <c r="P590" s="9" t="str">
        <f t="array" ref="P590">IFERROR(INDEX(dim_kpi!E:E,MATCH(D590,dim_kpi!C:C,0)),"")</f>
        <v>%</v>
      </c>
      <c r="Q590" s="9" t="str">
        <f t="array" ref="Q590">IFERROR(INDEX(dim_kpi!F:F,MATCH(D590,dim_kpi!C:C,0)),"")</f>
        <v>N</v>
      </c>
    </row>
    <row r="591" ht="12.75" customHeight="1">
      <c r="A591" s="20" t="str">
        <f>fact_kpi_weekly!A591</f>
        <v>260517</v>
      </c>
      <c r="B591" s="21">
        <f>fact_kpi_weekly!B591</f>
        <v>46159</v>
      </c>
      <c r="C591" s="9" t="str">
        <f>fact_kpi_weekly!C591</f>
        <v>Growth</v>
      </c>
      <c r="D591" s="9" t="str">
        <f>fact_kpi_weekly!D591</f>
        <v>Retention Rate</v>
      </c>
      <c r="E591" s="9" t="str">
        <f>fact_kpi_weekly!E591</f>
        <v>Goal</v>
      </c>
      <c r="F591" s="9" t="str">
        <f>IF(fact_kpi_weekly!F591="","",fact_kpi_weekly!F591)</f>
        <v/>
      </c>
      <c r="G591" s="9" t="str">
        <f>fact_kpi_weekly!G591</f>
        <v>N/A</v>
      </c>
      <c r="H591" s="9" t="str">
        <f>fact_kpi_weekly!H591</f>
        <v>Kit</v>
      </c>
      <c r="I591" s="9">
        <f>fact_kpi_weekly!I591</f>
        <v>0.0387</v>
      </c>
      <c r="J591" s="22">
        <f>fact_kpi_weekly!J591</f>
        <v>0.0387</v>
      </c>
      <c r="K591" s="20" t="str">
        <f t="array" ref="K591">IFERROR(INDEX(dim_date!H:H,MATCH(A591,dim_date!A:A,0)),"")</f>
        <v>May</v>
      </c>
      <c r="L591" s="20" t="str">
        <f t="array" ref="L591">IFERROR(INDEX(dim_date!G:G,MATCH(A591,dim_date!A:A,0)),"")</f>
        <v>05</v>
      </c>
      <c r="M591" s="9" t="str">
        <f t="array" ref="M591">IFERROR(INDEX(dim_date!I:I,MATCH(A591,dim_date!A:A,0)),"")</f>
        <v>Q2</v>
      </c>
      <c r="N591" s="20" t="str">
        <f t="array" ref="N591">IFERROR(INDEX(dim_date!K:K,MATCH(A591,dim_date!A:A,0)),"")</f>
        <v>21</v>
      </c>
      <c r="O591" s="9" t="str">
        <f t="array" ref="O591">IFERROR(INDEX(dim_date!F:F,MATCH(A591,dim_date!A:A,0)),"")</f>
        <v>5/17-5/23</v>
      </c>
      <c r="P591" s="9" t="str">
        <f t="array" ref="P591">IFERROR(INDEX(dim_kpi!E:E,MATCH(D591,dim_kpi!C:C,0)),"")</f>
        <v>%</v>
      </c>
      <c r="Q591" s="9" t="str">
        <f t="array" ref="Q591">IFERROR(INDEX(dim_kpi!F:F,MATCH(D591,dim_kpi!C:C,0)),"")</f>
        <v>N</v>
      </c>
    </row>
    <row r="592" ht="12.75" customHeight="1">
      <c r="A592" s="20" t="str">
        <f>fact_kpi_weekly!A592</f>
        <v>260524</v>
      </c>
      <c r="B592" s="21">
        <f>fact_kpi_weekly!B592</f>
        <v>46166</v>
      </c>
      <c r="C592" s="9" t="str">
        <f>fact_kpi_weekly!C592</f>
        <v>Growth</v>
      </c>
      <c r="D592" s="9" t="str">
        <f>fact_kpi_weekly!D592</f>
        <v>Retention Rate</v>
      </c>
      <c r="E592" s="9" t="str">
        <f>fact_kpi_weekly!E592</f>
        <v>Goal</v>
      </c>
      <c r="F592" s="9" t="str">
        <f>IF(fact_kpi_weekly!F592="","",fact_kpi_weekly!F592)</f>
        <v/>
      </c>
      <c r="G592" s="9" t="str">
        <f>fact_kpi_weekly!G592</f>
        <v>N/A</v>
      </c>
      <c r="H592" s="9" t="str">
        <f>fact_kpi_weekly!H592</f>
        <v>Kit</v>
      </c>
      <c r="I592" s="9">
        <f>fact_kpi_weekly!I592</f>
        <v>0.0381</v>
      </c>
      <c r="J592" s="22">
        <f>fact_kpi_weekly!J592</f>
        <v>0.0381</v>
      </c>
      <c r="K592" s="20" t="str">
        <f t="array" ref="K592">IFERROR(INDEX(dim_date!H:H,MATCH(A592,dim_date!A:A,0)),"")</f>
        <v>May</v>
      </c>
      <c r="L592" s="20" t="str">
        <f t="array" ref="L592">IFERROR(INDEX(dim_date!G:G,MATCH(A592,dim_date!A:A,0)),"")</f>
        <v>05</v>
      </c>
      <c r="M592" s="9" t="str">
        <f t="array" ref="M592">IFERROR(INDEX(dim_date!I:I,MATCH(A592,dim_date!A:A,0)),"")</f>
        <v>Q2</v>
      </c>
      <c r="N592" s="20" t="str">
        <f t="array" ref="N592">IFERROR(INDEX(dim_date!K:K,MATCH(A592,dim_date!A:A,0)),"")</f>
        <v>22</v>
      </c>
      <c r="O592" s="9" t="str">
        <f t="array" ref="O592">IFERROR(INDEX(dim_date!F:F,MATCH(A592,dim_date!A:A,0)),"")</f>
        <v>5/24-5/30</v>
      </c>
      <c r="P592" s="9" t="str">
        <f t="array" ref="P592">IFERROR(INDEX(dim_kpi!E:E,MATCH(D592,dim_kpi!C:C,0)),"")</f>
        <v>%</v>
      </c>
      <c r="Q592" s="9" t="str">
        <f t="array" ref="Q592">IFERROR(INDEX(dim_kpi!F:F,MATCH(D592,dim_kpi!C:C,0)),"")</f>
        <v>N</v>
      </c>
    </row>
    <row r="593" ht="12.75" customHeight="1">
      <c r="A593" s="20" t="str">
        <f>fact_kpi_weekly!A593</f>
        <v>260601</v>
      </c>
      <c r="B593" s="21">
        <f>fact_kpi_weekly!B593</f>
        <v>46174</v>
      </c>
      <c r="C593" s="9" t="str">
        <f>fact_kpi_weekly!C593</f>
        <v>Growth</v>
      </c>
      <c r="D593" s="9" t="str">
        <f>fact_kpi_weekly!D593</f>
        <v>Retention Rate</v>
      </c>
      <c r="E593" s="9" t="str">
        <f>fact_kpi_weekly!E593</f>
        <v>Goal</v>
      </c>
      <c r="F593" s="9" t="str">
        <f>IF(fact_kpi_weekly!F593="","",fact_kpi_weekly!F593)</f>
        <v/>
      </c>
      <c r="G593" s="9" t="str">
        <f>fact_kpi_weekly!G593</f>
        <v>N/A</v>
      </c>
      <c r="H593" s="9" t="str">
        <f>fact_kpi_weekly!H593</f>
        <v>Kit</v>
      </c>
      <c r="I593" s="9">
        <f>fact_kpi_weekly!I593</f>
        <v>0.0381</v>
      </c>
      <c r="J593" s="22">
        <f>fact_kpi_weekly!J593</f>
        <v>0.0381</v>
      </c>
      <c r="K593" s="20" t="str">
        <f t="array" ref="K593">IFERROR(INDEX(dim_date!H:H,MATCH(A593,dim_date!A:A,0)),"")</f>
        <v>Jun</v>
      </c>
      <c r="L593" s="20" t="str">
        <f t="array" ref="L593">IFERROR(INDEX(dim_date!G:G,MATCH(A593,dim_date!A:A,0)),"")</f>
        <v>06</v>
      </c>
      <c r="M593" s="9" t="str">
        <f t="array" ref="M593">IFERROR(INDEX(dim_date!I:I,MATCH(A593,dim_date!A:A,0)),"")</f>
        <v>Q2</v>
      </c>
      <c r="N593" s="20" t="str">
        <f t="array" ref="N593">IFERROR(INDEX(dim_date!K:K,MATCH(A593,dim_date!A:A,0)),"")</f>
        <v>23</v>
      </c>
      <c r="O593" s="9" t="str">
        <f t="array" ref="O593">IFERROR(INDEX(dim_date!F:F,MATCH(A593,dim_date!A:A,0)),"")</f>
        <v>5/31-6/6</v>
      </c>
      <c r="P593" s="9" t="str">
        <f t="array" ref="P593">IFERROR(INDEX(dim_kpi!E:E,MATCH(D593,dim_kpi!C:C,0)),"")</f>
        <v>%</v>
      </c>
      <c r="Q593" s="9" t="str">
        <f t="array" ref="Q593">IFERROR(INDEX(dim_kpi!F:F,MATCH(D593,dim_kpi!C:C,0)),"")</f>
        <v>N</v>
      </c>
    </row>
    <row r="594" ht="12.75" customHeight="1">
      <c r="A594" s="20" t="str">
        <f>fact_kpi_weekly!A594</f>
        <v>260607</v>
      </c>
      <c r="B594" s="21">
        <f>fact_kpi_weekly!B594</f>
        <v>46180</v>
      </c>
      <c r="C594" s="9" t="str">
        <f>fact_kpi_weekly!C594</f>
        <v>Growth</v>
      </c>
      <c r="D594" s="9" t="str">
        <f>fact_kpi_weekly!D594</f>
        <v>Retention Rate</v>
      </c>
      <c r="E594" s="9" t="str">
        <f>fact_kpi_weekly!E594</f>
        <v>Goal</v>
      </c>
      <c r="F594" s="9" t="str">
        <f>IF(fact_kpi_weekly!F594="","",fact_kpi_weekly!F594)</f>
        <v/>
      </c>
      <c r="G594" s="9" t="str">
        <f>fact_kpi_weekly!G594</f>
        <v>N/A</v>
      </c>
      <c r="H594" s="9" t="str">
        <f>fact_kpi_weekly!H594</f>
        <v>Kit</v>
      </c>
      <c r="I594" s="9">
        <f>fact_kpi_weekly!I594</f>
        <v>0.0381</v>
      </c>
      <c r="J594" s="22">
        <f>fact_kpi_weekly!J594</f>
        <v>0.0381</v>
      </c>
      <c r="K594" s="20" t="str">
        <f t="array" ref="K594">IFERROR(INDEX(dim_date!H:H,MATCH(A594,dim_date!A:A,0)),"")</f>
        <v>Jun</v>
      </c>
      <c r="L594" s="20" t="str">
        <f t="array" ref="L594">IFERROR(INDEX(dim_date!G:G,MATCH(A594,dim_date!A:A,0)),"")</f>
        <v>06</v>
      </c>
      <c r="M594" s="9" t="str">
        <f t="array" ref="M594">IFERROR(INDEX(dim_date!I:I,MATCH(A594,dim_date!A:A,0)),"")</f>
        <v>Q2</v>
      </c>
      <c r="N594" s="20" t="str">
        <f t="array" ref="N594">IFERROR(INDEX(dim_date!K:K,MATCH(A594,dim_date!A:A,0)),"")</f>
        <v>24</v>
      </c>
      <c r="O594" s="9" t="str">
        <f t="array" ref="O594">IFERROR(INDEX(dim_date!F:F,MATCH(A594,dim_date!A:A,0)),"")</f>
        <v>6/7-6/13</v>
      </c>
      <c r="P594" s="9" t="str">
        <f t="array" ref="P594">IFERROR(INDEX(dim_kpi!E:E,MATCH(D594,dim_kpi!C:C,0)),"")</f>
        <v>%</v>
      </c>
      <c r="Q594" s="9" t="str">
        <f t="array" ref="Q594">IFERROR(INDEX(dim_kpi!F:F,MATCH(D594,dim_kpi!C:C,0)),"")</f>
        <v>N</v>
      </c>
    </row>
    <row r="595" ht="12.75" customHeight="1">
      <c r="A595" s="20" t="str">
        <f>fact_kpi_weekly!A595</f>
        <v>260614</v>
      </c>
      <c r="B595" s="21">
        <f>fact_kpi_weekly!B595</f>
        <v>46187</v>
      </c>
      <c r="C595" s="9" t="str">
        <f>fact_kpi_weekly!C595</f>
        <v>Growth</v>
      </c>
      <c r="D595" s="9" t="str">
        <f>fact_kpi_weekly!D595</f>
        <v>Retention Rate</v>
      </c>
      <c r="E595" s="9" t="str">
        <f>fact_kpi_weekly!E595</f>
        <v>Goal</v>
      </c>
      <c r="F595" s="9" t="str">
        <f>IF(fact_kpi_weekly!F595="","",fact_kpi_weekly!F595)</f>
        <v/>
      </c>
      <c r="G595" s="9" t="str">
        <f>fact_kpi_weekly!G595</f>
        <v>N/A</v>
      </c>
      <c r="H595" s="9" t="str">
        <f>fact_kpi_weekly!H595</f>
        <v>Kit</v>
      </c>
      <c r="I595" s="9">
        <f>fact_kpi_weekly!I595</f>
        <v>0.0381</v>
      </c>
      <c r="J595" s="22">
        <f>fact_kpi_weekly!J595</f>
        <v>0.0381</v>
      </c>
      <c r="K595" s="20" t="str">
        <f t="array" ref="K595">IFERROR(INDEX(dim_date!H:H,MATCH(A595,dim_date!A:A,0)),"")</f>
        <v>Jun</v>
      </c>
      <c r="L595" s="20" t="str">
        <f t="array" ref="L595">IFERROR(INDEX(dim_date!G:G,MATCH(A595,dim_date!A:A,0)),"")</f>
        <v>06</v>
      </c>
      <c r="M595" s="9" t="str">
        <f t="array" ref="M595">IFERROR(INDEX(dim_date!I:I,MATCH(A595,dim_date!A:A,0)),"")</f>
        <v>Q2</v>
      </c>
      <c r="N595" s="20" t="str">
        <f t="array" ref="N595">IFERROR(INDEX(dim_date!K:K,MATCH(A595,dim_date!A:A,0)),"")</f>
        <v>25</v>
      </c>
      <c r="O595" s="9" t="str">
        <f t="array" ref="O595">IFERROR(INDEX(dim_date!F:F,MATCH(A595,dim_date!A:A,0)),"")</f>
        <v>6/14-6/20</v>
      </c>
      <c r="P595" s="9" t="str">
        <f t="array" ref="P595">IFERROR(INDEX(dim_kpi!E:E,MATCH(D595,dim_kpi!C:C,0)),"")</f>
        <v>%</v>
      </c>
      <c r="Q595" s="9" t="str">
        <f t="array" ref="Q595">IFERROR(INDEX(dim_kpi!F:F,MATCH(D595,dim_kpi!C:C,0)),"")</f>
        <v>N</v>
      </c>
    </row>
    <row r="596" ht="12.75" customHeight="1">
      <c r="A596" s="20" t="str">
        <f>fact_kpi_weekly!A596</f>
        <v>260621</v>
      </c>
      <c r="B596" s="21">
        <f>fact_kpi_weekly!B596</f>
        <v>46194</v>
      </c>
      <c r="C596" s="9" t="str">
        <f>fact_kpi_weekly!C596</f>
        <v>Growth</v>
      </c>
      <c r="D596" s="9" t="str">
        <f>fact_kpi_weekly!D596</f>
        <v>Retention Rate</v>
      </c>
      <c r="E596" s="9" t="str">
        <f>fact_kpi_weekly!E596</f>
        <v>Goal</v>
      </c>
      <c r="F596" s="9" t="str">
        <f>IF(fact_kpi_weekly!F596="","",fact_kpi_weekly!F596)</f>
        <v/>
      </c>
      <c r="G596" s="9" t="str">
        <f>fact_kpi_weekly!G596</f>
        <v>N/A</v>
      </c>
      <c r="H596" s="9" t="str">
        <f>fact_kpi_weekly!H596</f>
        <v>Kit</v>
      </c>
      <c r="I596" s="9">
        <f>fact_kpi_weekly!I596</f>
        <v>0.0381</v>
      </c>
      <c r="J596" s="22">
        <f>fact_kpi_weekly!J596</f>
        <v>0.0381</v>
      </c>
      <c r="K596" s="20" t="str">
        <f t="array" ref="K596">IFERROR(INDEX(dim_date!H:H,MATCH(A596,dim_date!A:A,0)),"")</f>
        <v>Jun</v>
      </c>
      <c r="L596" s="20" t="str">
        <f t="array" ref="L596">IFERROR(INDEX(dim_date!G:G,MATCH(A596,dim_date!A:A,0)),"")</f>
        <v>06</v>
      </c>
      <c r="M596" s="9" t="str">
        <f t="array" ref="M596">IFERROR(INDEX(dim_date!I:I,MATCH(A596,dim_date!A:A,0)),"")</f>
        <v>Q2</v>
      </c>
      <c r="N596" s="20" t="str">
        <f t="array" ref="N596">IFERROR(INDEX(dim_date!K:K,MATCH(A596,dim_date!A:A,0)),"")</f>
        <v>26</v>
      </c>
      <c r="O596" s="9" t="str">
        <f t="array" ref="O596">IFERROR(INDEX(dim_date!F:F,MATCH(A596,dim_date!A:A,0)),"")</f>
        <v>6/21-6/27</v>
      </c>
      <c r="P596" s="9" t="str">
        <f t="array" ref="P596">IFERROR(INDEX(dim_kpi!E:E,MATCH(D596,dim_kpi!C:C,0)),"")</f>
        <v>%</v>
      </c>
      <c r="Q596" s="9" t="str">
        <f t="array" ref="Q596">IFERROR(INDEX(dim_kpi!F:F,MATCH(D596,dim_kpi!C:C,0)),"")</f>
        <v>N</v>
      </c>
    </row>
    <row r="597" ht="12.75" customHeight="1">
      <c r="A597" s="20" t="str">
        <f>fact_kpi_weekly!A597</f>
        <v>260628</v>
      </c>
      <c r="B597" s="21">
        <f>fact_kpi_weekly!B597</f>
        <v>46201</v>
      </c>
      <c r="C597" s="9" t="str">
        <f>fact_kpi_weekly!C597</f>
        <v>Growth</v>
      </c>
      <c r="D597" s="9" t="str">
        <f>fact_kpi_weekly!D597</f>
        <v>Retention Rate</v>
      </c>
      <c r="E597" s="9" t="str">
        <f>fact_kpi_weekly!E597</f>
        <v>Goal</v>
      </c>
      <c r="F597" s="9" t="str">
        <f>IF(fact_kpi_weekly!F597="","",fact_kpi_weekly!F597)</f>
        <v/>
      </c>
      <c r="G597" s="9" t="str">
        <f>fact_kpi_weekly!G597</f>
        <v>N/A</v>
      </c>
      <c r="H597" s="9" t="str">
        <f>fact_kpi_weekly!H597</f>
        <v>Kit</v>
      </c>
      <c r="I597" s="9">
        <f>fact_kpi_weekly!I597</f>
        <v>0.0378</v>
      </c>
      <c r="J597" s="22">
        <f>fact_kpi_weekly!J597</f>
        <v>0.0378</v>
      </c>
      <c r="K597" s="20" t="str">
        <f t="array" ref="K597">IFERROR(INDEX(dim_date!H:H,MATCH(A597,dim_date!A:A,0)),"")</f>
        <v>Jun</v>
      </c>
      <c r="L597" s="20" t="str">
        <f t="array" ref="L597">IFERROR(INDEX(dim_date!G:G,MATCH(A597,dim_date!A:A,0)),"")</f>
        <v>06</v>
      </c>
      <c r="M597" s="9" t="str">
        <f t="array" ref="M597">IFERROR(INDEX(dim_date!I:I,MATCH(A597,dim_date!A:A,0)),"")</f>
        <v>Q2</v>
      </c>
      <c r="N597" s="20" t="str">
        <f t="array" ref="N597">IFERROR(INDEX(dim_date!K:K,MATCH(A597,dim_date!A:A,0)),"")</f>
        <v>27</v>
      </c>
      <c r="O597" s="9" t="str">
        <f t="array" ref="O597">IFERROR(INDEX(dim_date!F:F,MATCH(A597,dim_date!A:A,0)),"")</f>
        <v>6/28-7/4</v>
      </c>
      <c r="P597" s="9" t="str">
        <f t="array" ref="P597">IFERROR(INDEX(dim_kpi!E:E,MATCH(D597,dim_kpi!C:C,0)),"")</f>
        <v>%</v>
      </c>
      <c r="Q597" s="9" t="str">
        <f t="array" ref="Q597">IFERROR(INDEX(dim_kpi!F:F,MATCH(D597,dim_kpi!C:C,0)),"")</f>
        <v>N</v>
      </c>
    </row>
    <row r="598" ht="12.75" customHeight="1">
      <c r="A598" s="20" t="str">
        <f>fact_kpi_weekly!A598</f>
        <v>260705</v>
      </c>
      <c r="B598" s="21">
        <f>fact_kpi_weekly!B598</f>
        <v>46208</v>
      </c>
      <c r="C598" s="9" t="str">
        <f>fact_kpi_weekly!C598</f>
        <v>Growth</v>
      </c>
      <c r="D598" s="9" t="str">
        <f>fact_kpi_weekly!D598</f>
        <v>Retention Rate</v>
      </c>
      <c r="E598" s="9" t="str">
        <f>fact_kpi_weekly!E598</f>
        <v>Goal</v>
      </c>
      <c r="F598" s="9" t="str">
        <f>IF(fact_kpi_weekly!F598="","",fact_kpi_weekly!F598)</f>
        <v/>
      </c>
      <c r="G598" s="9" t="str">
        <f>fact_kpi_weekly!G598</f>
        <v>N/A</v>
      </c>
      <c r="H598" s="9" t="str">
        <f>fact_kpi_weekly!H598</f>
        <v>Kit</v>
      </c>
      <c r="I598" s="9">
        <f>fact_kpi_weekly!I598</f>
        <v>0.0378</v>
      </c>
      <c r="J598" s="22">
        <f>fact_kpi_weekly!J598</f>
        <v>0.0378</v>
      </c>
      <c r="K598" s="20" t="str">
        <f t="array" ref="K598">IFERROR(INDEX(dim_date!H:H,MATCH(A598,dim_date!A:A,0)),"")</f>
        <v>Jul</v>
      </c>
      <c r="L598" s="20" t="str">
        <f t="array" ref="L598">IFERROR(INDEX(dim_date!G:G,MATCH(A598,dim_date!A:A,0)),"")</f>
        <v>07</v>
      </c>
      <c r="M598" s="9" t="str">
        <f t="array" ref="M598">IFERROR(INDEX(dim_date!I:I,MATCH(A598,dim_date!A:A,0)),"")</f>
        <v>Q3</v>
      </c>
      <c r="N598" s="20" t="str">
        <f t="array" ref="N598">IFERROR(INDEX(dim_date!K:K,MATCH(A598,dim_date!A:A,0)),"")</f>
        <v>28</v>
      </c>
      <c r="O598" s="9" t="str">
        <f t="array" ref="O598">IFERROR(INDEX(dim_date!F:F,MATCH(A598,dim_date!A:A,0)),"")</f>
        <v>7/5-7/11</v>
      </c>
      <c r="P598" s="9" t="str">
        <f t="array" ref="P598">IFERROR(INDEX(dim_kpi!E:E,MATCH(D598,dim_kpi!C:C,0)),"")</f>
        <v>%</v>
      </c>
      <c r="Q598" s="9" t="str">
        <f t="array" ref="Q598">IFERROR(INDEX(dim_kpi!F:F,MATCH(D598,dim_kpi!C:C,0)),"")</f>
        <v>N</v>
      </c>
    </row>
    <row r="599" ht="12.75" customHeight="1">
      <c r="A599" s="20" t="str">
        <f>fact_kpi_weekly!A599</f>
        <v>260712</v>
      </c>
      <c r="B599" s="21">
        <f>fact_kpi_weekly!B599</f>
        <v>46215</v>
      </c>
      <c r="C599" s="9" t="str">
        <f>fact_kpi_weekly!C599</f>
        <v>Growth</v>
      </c>
      <c r="D599" s="9" t="str">
        <f>fact_kpi_weekly!D599</f>
        <v>Retention Rate</v>
      </c>
      <c r="E599" s="9" t="str">
        <f>fact_kpi_weekly!E599</f>
        <v>Goal</v>
      </c>
      <c r="F599" s="9" t="str">
        <f>IF(fact_kpi_weekly!F599="","",fact_kpi_weekly!F599)</f>
        <v/>
      </c>
      <c r="G599" s="9" t="str">
        <f>fact_kpi_weekly!G599</f>
        <v>N/A</v>
      </c>
      <c r="H599" s="9" t="str">
        <f>fact_kpi_weekly!H599</f>
        <v>Kit</v>
      </c>
      <c r="I599" s="9">
        <f>fact_kpi_weekly!I599</f>
        <v>0.0378</v>
      </c>
      <c r="J599" s="22">
        <f>fact_kpi_weekly!J599</f>
        <v>0.0378</v>
      </c>
      <c r="K599" s="20" t="str">
        <f t="array" ref="K599">IFERROR(INDEX(dim_date!H:H,MATCH(A599,dim_date!A:A,0)),"")</f>
        <v>Jul</v>
      </c>
      <c r="L599" s="20" t="str">
        <f t="array" ref="L599">IFERROR(INDEX(dim_date!G:G,MATCH(A599,dim_date!A:A,0)),"")</f>
        <v>07</v>
      </c>
      <c r="M599" s="9" t="str">
        <f t="array" ref="M599">IFERROR(INDEX(dim_date!I:I,MATCH(A599,dim_date!A:A,0)),"")</f>
        <v>Q3</v>
      </c>
      <c r="N599" s="20" t="str">
        <f t="array" ref="N599">IFERROR(INDEX(dim_date!K:K,MATCH(A599,dim_date!A:A,0)),"")</f>
        <v>29</v>
      </c>
      <c r="O599" s="9" t="str">
        <f t="array" ref="O599">IFERROR(INDEX(dim_date!F:F,MATCH(A599,dim_date!A:A,0)),"")</f>
        <v>7/12-7/18</v>
      </c>
      <c r="P599" s="9" t="str">
        <f t="array" ref="P599">IFERROR(INDEX(dim_kpi!E:E,MATCH(D599,dim_kpi!C:C,0)),"")</f>
        <v>%</v>
      </c>
      <c r="Q599" s="9" t="str">
        <f t="array" ref="Q599">IFERROR(INDEX(dim_kpi!F:F,MATCH(D599,dim_kpi!C:C,0)),"")</f>
        <v>N</v>
      </c>
    </row>
    <row r="600" ht="12.75" customHeight="1">
      <c r="A600" s="20" t="str">
        <f>fact_kpi_weekly!A600</f>
        <v>260719</v>
      </c>
      <c r="B600" s="21">
        <f>fact_kpi_weekly!B600</f>
        <v>46222</v>
      </c>
      <c r="C600" s="9" t="str">
        <f>fact_kpi_weekly!C600</f>
        <v>Growth</v>
      </c>
      <c r="D600" s="9" t="str">
        <f>fact_kpi_weekly!D600</f>
        <v>Retention Rate</v>
      </c>
      <c r="E600" s="9" t="str">
        <f>fact_kpi_weekly!E600</f>
        <v>Goal</v>
      </c>
      <c r="F600" s="9" t="str">
        <f>IF(fact_kpi_weekly!F600="","",fact_kpi_weekly!F600)</f>
        <v/>
      </c>
      <c r="G600" s="9" t="str">
        <f>fact_kpi_weekly!G600</f>
        <v>N/A</v>
      </c>
      <c r="H600" s="9" t="str">
        <f>fact_kpi_weekly!H600</f>
        <v>Kit</v>
      </c>
      <c r="I600" s="9">
        <f>fact_kpi_weekly!I600</f>
        <v>0.0378</v>
      </c>
      <c r="J600" s="22">
        <f>fact_kpi_weekly!J600</f>
        <v>0.0378</v>
      </c>
      <c r="K600" s="20" t="str">
        <f t="array" ref="K600">IFERROR(INDEX(dim_date!H:H,MATCH(A600,dim_date!A:A,0)),"")</f>
        <v>Jul</v>
      </c>
      <c r="L600" s="20" t="str">
        <f t="array" ref="L600">IFERROR(INDEX(dim_date!G:G,MATCH(A600,dim_date!A:A,0)),"")</f>
        <v>07</v>
      </c>
      <c r="M600" s="9" t="str">
        <f t="array" ref="M600">IFERROR(INDEX(dim_date!I:I,MATCH(A600,dim_date!A:A,0)),"")</f>
        <v>Q3</v>
      </c>
      <c r="N600" s="20" t="str">
        <f t="array" ref="N600">IFERROR(INDEX(dim_date!K:K,MATCH(A600,dim_date!A:A,0)),"")</f>
        <v>30</v>
      </c>
      <c r="O600" s="9" t="str">
        <f t="array" ref="O600">IFERROR(INDEX(dim_date!F:F,MATCH(A600,dim_date!A:A,0)),"")</f>
        <v>7/19-7/25</v>
      </c>
      <c r="P600" s="9" t="str">
        <f t="array" ref="P600">IFERROR(INDEX(dim_kpi!E:E,MATCH(D600,dim_kpi!C:C,0)),"")</f>
        <v>%</v>
      </c>
      <c r="Q600" s="9" t="str">
        <f t="array" ref="Q600">IFERROR(INDEX(dim_kpi!F:F,MATCH(D600,dim_kpi!C:C,0)),"")</f>
        <v>N</v>
      </c>
    </row>
    <row r="601" ht="12.75" customHeight="1">
      <c r="A601" s="20" t="str">
        <f>fact_kpi_weekly!A601</f>
        <v>260726</v>
      </c>
      <c r="B601" s="21">
        <f>fact_kpi_weekly!B601</f>
        <v>46229</v>
      </c>
      <c r="C601" s="9" t="str">
        <f>fact_kpi_weekly!C601</f>
        <v>Growth</v>
      </c>
      <c r="D601" s="9" t="str">
        <f>fact_kpi_weekly!D601</f>
        <v>Retention Rate</v>
      </c>
      <c r="E601" s="9" t="str">
        <f>fact_kpi_weekly!E601</f>
        <v>Goal</v>
      </c>
      <c r="F601" s="9" t="str">
        <f>IF(fact_kpi_weekly!F601="","",fact_kpi_weekly!F601)</f>
        <v/>
      </c>
      <c r="G601" s="9" t="str">
        <f>fact_kpi_weekly!G601</f>
        <v>N/A</v>
      </c>
      <c r="H601" s="9" t="str">
        <f>fact_kpi_weekly!H601</f>
        <v>Kit</v>
      </c>
      <c r="I601" s="9">
        <f>fact_kpi_weekly!I601</f>
        <v>0.0377</v>
      </c>
      <c r="J601" s="22">
        <f>fact_kpi_weekly!J601</f>
        <v>0.0377</v>
      </c>
      <c r="K601" s="20" t="str">
        <f t="array" ref="K601">IFERROR(INDEX(dim_date!H:H,MATCH(A601,dim_date!A:A,0)),"")</f>
        <v>Jul</v>
      </c>
      <c r="L601" s="20" t="str">
        <f t="array" ref="L601">IFERROR(INDEX(dim_date!G:G,MATCH(A601,dim_date!A:A,0)),"")</f>
        <v>07</v>
      </c>
      <c r="M601" s="9" t="str">
        <f t="array" ref="M601">IFERROR(INDEX(dim_date!I:I,MATCH(A601,dim_date!A:A,0)),"")</f>
        <v>Q3</v>
      </c>
      <c r="N601" s="20" t="str">
        <f t="array" ref="N601">IFERROR(INDEX(dim_date!K:K,MATCH(A601,dim_date!A:A,0)),"")</f>
        <v>31</v>
      </c>
      <c r="O601" s="9" t="str">
        <f t="array" ref="O601">IFERROR(INDEX(dim_date!F:F,MATCH(A601,dim_date!A:A,0)),"")</f>
        <v>7/26-8/1</v>
      </c>
      <c r="P601" s="9" t="str">
        <f t="array" ref="P601">IFERROR(INDEX(dim_kpi!E:E,MATCH(D601,dim_kpi!C:C,0)),"")</f>
        <v>%</v>
      </c>
      <c r="Q601" s="9" t="str">
        <f t="array" ref="Q601">IFERROR(INDEX(dim_kpi!F:F,MATCH(D601,dim_kpi!C:C,0)),"")</f>
        <v>N</v>
      </c>
    </row>
    <row r="602" ht="12.75" customHeight="1">
      <c r="A602" s="20" t="str">
        <f>fact_kpi_weekly!A602</f>
        <v>260802</v>
      </c>
      <c r="B602" s="21">
        <f>fact_kpi_weekly!B602</f>
        <v>46236</v>
      </c>
      <c r="C602" s="9" t="str">
        <f>fact_kpi_weekly!C602</f>
        <v>Growth</v>
      </c>
      <c r="D602" s="9" t="str">
        <f>fact_kpi_weekly!D602</f>
        <v>Retention Rate</v>
      </c>
      <c r="E602" s="9" t="str">
        <f>fact_kpi_weekly!E602</f>
        <v>Goal</v>
      </c>
      <c r="F602" s="9" t="str">
        <f>IF(fact_kpi_weekly!F602="","",fact_kpi_weekly!F602)</f>
        <v/>
      </c>
      <c r="G602" s="9" t="str">
        <f>fact_kpi_weekly!G602</f>
        <v>N/A</v>
      </c>
      <c r="H602" s="9" t="str">
        <f>fact_kpi_weekly!H602</f>
        <v>Kit</v>
      </c>
      <c r="I602" s="9">
        <f>fact_kpi_weekly!I602</f>
        <v>0.0377</v>
      </c>
      <c r="J602" s="22">
        <f>fact_kpi_weekly!J602</f>
        <v>0.0377</v>
      </c>
      <c r="K602" s="20" t="str">
        <f t="array" ref="K602">IFERROR(INDEX(dim_date!H:H,MATCH(A602,dim_date!A:A,0)),"")</f>
        <v>Aug</v>
      </c>
      <c r="L602" s="20" t="str">
        <f t="array" ref="L602">IFERROR(INDEX(dim_date!G:G,MATCH(A602,dim_date!A:A,0)),"")</f>
        <v>08</v>
      </c>
      <c r="M602" s="9" t="str">
        <f t="array" ref="M602">IFERROR(INDEX(dim_date!I:I,MATCH(A602,dim_date!A:A,0)),"")</f>
        <v>Q3</v>
      </c>
      <c r="N602" s="20" t="str">
        <f t="array" ref="N602">IFERROR(INDEX(dim_date!K:K,MATCH(A602,dim_date!A:A,0)),"")</f>
        <v>32</v>
      </c>
      <c r="O602" s="9" t="str">
        <f t="array" ref="O602">IFERROR(INDEX(dim_date!F:F,MATCH(A602,dim_date!A:A,0)),"")</f>
        <v>8/2-8/8</v>
      </c>
      <c r="P602" s="9" t="str">
        <f t="array" ref="P602">IFERROR(INDEX(dim_kpi!E:E,MATCH(D602,dim_kpi!C:C,0)),"")</f>
        <v>%</v>
      </c>
      <c r="Q602" s="9" t="str">
        <f t="array" ref="Q602">IFERROR(INDEX(dim_kpi!F:F,MATCH(D602,dim_kpi!C:C,0)),"")</f>
        <v>N</v>
      </c>
    </row>
    <row r="603" ht="12.75" customHeight="1">
      <c r="A603" s="20" t="str">
        <f>fact_kpi_weekly!A603</f>
        <v>260809</v>
      </c>
      <c r="B603" s="21">
        <f>fact_kpi_weekly!B603</f>
        <v>46243</v>
      </c>
      <c r="C603" s="9" t="str">
        <f>fact_kpi_weekly!C603</f>
        <v>Growth</v>
      </c>
      <c r="D603" s="9" t="str">
        <f>fact_kpi_weekly!D603</f>
        <v>Retention Rate</v>
      </c>
      <c r="E603" s="9" t="str">
        <f>fact_kpi_weekly!E603</f>
        <v>Goal</v>
      </c>
      <c r="F603" s="9" t="str">
        <f>IF(fact_kpi_weekly!F603="","",fact_kpi_weekly!F603)</f>
        <v/>
      </c>
      <c r="G603" s="9" t="str">
        <f>fact_kpi_weekly!G603</f>
        <v>N/A</v>
      </c>
      <c r="H603" s="9" t="str">
        <f>fact_kpi_weekly!H603</f>
        <v>Kit</v>
      </c>
      <c r="I603" s="9">
        <f>fact_kpi_weekly!I603</f>
        <v>0.0377</v>
      </c>
      <c r="J603" s="22">
        <f>fact_kpi_weekly!J603</f>
        <v>0.0377</v>
      </c>
      <c r="K603" s="20" t="str">
        <f t="array" ref="K603">IFERROR(INDEX(dim_date!H:H,MATCH(A603,dim_date!A:A,0)),"")</f>
        <v>Aug</v>
      </c>
      <c r="L603" s="20" t="str">
        <f t="array" ref="L603">IFERROR(INDEX(dim_date!G:G,MATCH(A603,dim_date!A:A,0)),"")</f>
        <v>08</v>
      </c>
      <c r="M603" s="9" t="str">
        <f t="array" ref="M603">IFERROR(INDEX(dim_date!I:I,MATCH(A603,dim_date!A:A,0)),"")</f>
        <v>Q3</v>
      </c>
      <c r="N603" s="20" t="str">
        <f t="array" ref="N603">IFERROR(INDEX(dim_date!K:K,MATCH(A603,dim_date!A:A,0)),"")</f>
        <v>33</v>
      </c>
      <c r="O603" s="9" t="str">
        <f t="array" ref="O603">IFERROR(INDEX(dim_date!F:F,MATCH(A603,dim_date!A:A,0)),"")</f>
        <v>8/9-8/15</v>
      </c>
      <c r="P603" s="9" t="str">
        <f t="array" ref="P603">IFERROR(INDEX(dim_kpi!E:E,MATCH(D603,dim_kpi!C:C,0)),"")</f>
        <v>%</v>
      </c>
      <c r="Q603" s="9" t="str">
        <f t="array" ref="Q603">IFERROR(INDEX(dim_kpi!F:F,MATCH(D603,dim_kpi!C:C,0)),"")</f>
        <v>N</v>
      </c>
    </row>
    <row r="604" ht="12.75" customHeight="1">
      <c r="A604" s="20" t="str">
        <f>fact_kpi_weekly!A604</f>
        <v>260816</v>
      </c>
      <c r="B604" s="21">
        <f>fact_kpi_weekly!B604</f>
        <v>46250</v>
      </c>
      <c r="C604" s="9" t="str">
        <f>fact_kpi_weekly!C604</f>
        <v>Growth</v>
      </c>
      <c r="D604" s="9" t="str">
        <f>fact_kpi_weekly!D604</f>
        <v>Retention Rate</v>
      </c>
      <c r="E604" s="9" t="str">
        <f>fact_kpi_weekly!E604</f>
        <v>Goal</v>
      </c>
      <c r="F604" s="9" t="str">
        <f>IF(fact_kpi_weekly!F604="","",fact_kpi_weekly!F604)</f>
        <v/>
      </c>
      <c r="G604" s="9" t="str">
        <f>fact_kpi_weekly!G604</f>
        <v>N/A</v>
      </c>
      <c r="H604" s="9" t="str">
        <f>fact_kpi_weekly!H604</f>
        <v>Kit</v>
      </c>
      <c r="I604" s="9">
        <f>fact_kpi_weekly!I604</f>
        <v>0.0377</v>
      </c>
      <c r="J604" s="22">
        <f>fact_kpi_weekly!J604</f>
        <v>0.0377</v>
      </c>
      <c r="K604" s="20" t="str">
        <f t="array" ref="K604">IFERROR(INDEX(dim_date!H:H,MATCH(A604,dim_date!A:A,0)),"")</f>
        <v>Aug</v>
      </c>
      <c r="L604" s="20" t="str">
        <f t="array" ref="L604">IFERROR(INDEX(dim_date!G:G,MATCH(A604,dim_date!A:A,0)),"")</f>
        <v>08</v>
      </c>
      <c r="M604" s="9" t="str">
        <f t="array" ref="M604">IFERROR(INDEX(dim_date!I:I,MATCH(A604,dim_date!A:A,0)),"")</f>
        <v>Q3</v>
      </c>
      <c r="N604" s="20" t="str">
        <f t="array" ref="N604">IFERROR(INDEX(dim_date!K:K,MATCH(A604,dim_date!A:A,0)),"")</f>
        <v>34</v>
      </c>
      <c r="O604" s="9" t="str">
        <f t="array" ref="O604">IFERROR(INDEX(dim_date!F:F,MATCH(A604,dim_date!A:A,0)),"")</f>
        <v>8/16-8/22</v>
      </c>
      <c r="P604" s="9" t="str">
        <f t="array" ref="P604">IFERROR(INDEX(dim_kpi!E:E,MATCH(D604,dim_kpi!C:C,0)),"")</f>
        <v>%</v>
      </c>
      <c r="Q604" s="9" t="str">
        <f t="array" ref="Q604">IFERROR(INDEX(dim_kpi!F:F,MATCH(D604,dim_kpi!C:C,0)),"")</f>
        <v>N</v>
      </c>
    </row>
    <row r="605" ht="12.75" customHeight="1">
      <c r="A605" s="20" t="str">
        <f>fact_kpi_weekly!A605</f>
        <v>260823</v>
      </c>
      <c r="B605" s="21">
        <f>fact_kpi_weekly!B605</f>
        <v>46257</v>
      </c>
      <c r="C605" s="9" t="str">
        <f>fact_kpi_weekly!C605</f>
        <v>Growth</v>
      </c>
      <c r="D605" s="9" t="str">
        <f>fact_kpi_weekly!D605</f>
        <v>Retention Rate</v>
      </c>
      <c r="E605" s="9" t="str">
        <f>fact_kpi_weekly!E605</f>
        <v>Goal</v>
      </c>
      <c r="F605" s="9" t="str">
        <f>IF(fact_kpi_weekly!F605="","",fact_kpi_weekly!F605)</f>
        <v/>
      </c>
      <c r="G605" s="9" t="str">
        <f>fact_kpi_weekly!G605</f>
        <v>N/A</v>
      </c>
      <c r="H605" s="9" t="str">
        <f>fact_kpi_weekly!H605</f>
        <v>Kit</v>
      </c>
      <c r="I605" s="9">
        <f>fact_kpi_weekly!I605</f>
        <v>0.037</v>
      </c>
      <c r="J605" s="22">
        <f>fact_kpi_weekly!J605</f>
        <v>0.037</v>
      </c>
      <c r="K605" s="20" t="str">
        <f t="array" ref="K605">IFERROR(INDEX(dim_date!H:H,MATCH(A605,dim_date!A:A,0)),"")</f>
        <v>Aug</v>
      </c>
      <c r="L605" s="20" t="str">
        <f t="array" ref="L605">IFERROR(INDEX(dim_date!G:G,MATCH(A605,dim_date!A:A,0)),"")</f>
        <v>08</v>
      </c>
      <c r="M605" s="9" t="str">
        <f t="array" ref="M605">IFERROR(INDEX(dim_date!I:I,MATCH(A605,dim_date!A:A,0)),"")</f>
        <v>Q3</v>
      </c>
      <c r="N605" s="20" t="str">
        <f t="array" ref="N605">IFERROR(INDEX(dim_date!K:K,MATCH(A605,dim_date!A:A,0)),"")</f>
        <v>35</v>
      </c>
      <c r="O605" s="9" t="str">
        <f t="array" ref="O605">IFERROR(INDEX(dim_date!F:F,MATCH(A605,dim_date!A:A,0)),"")</f>
        <v>8/23-8/29</v>
      </c>
      <c r="P605" s="9" t="str">
        <f t="array" ref="P605">IFERROR(INDEX(dim_kpi!E:E,MATCH(D605,dim_kpi!C:C,0)),"")</f>
        <v>%</v>
      </c>
      <c r="Q605" s="9" t="str">
        <f t="array" ref="Q605">IFERROR(INDEX(dim_kpi!F:F,MATCH(D605,dim_kpi!C:C,0)),"")</f>
        <v>N</v>
      </c>
    </row>
    <row r="606" ht="12.75" customHeight="1">
      <c r="A606" s="20" t="str">
        <f>fact_kpi_weekly!A606</f>
        <v>260830</v>
      </c>
      <c r="B606" s="21">
        <f>fact_kpi_weekly!B606</f>
        <v>46264</v>
      </c>
      <c r="C606" s="9" t="str">
        <f>fact_kpi_weekly!C606</f>
        <v>Growth</v>
      </c>
      <c r="D606" s="9" t="str">
        <f>fact_kpi_weekly!D606</f>
        <v>Retention Rate</v>
      </c>
      <c r="E606" s="9" t="str">
        <f>fact_kpi_weekly!E606</f>
        <v>Goal</v>
      </c>
      <c r="F606" s="9" t="str">
        <f>IF(fact_kpi_weekly!F606="","",fact_kpi_weekly!F606)</f>
        <v/>
      </c>
      <c r="G606" s="9" t="str">
        <f>fact_kpi_weekly!G606</f>
        <v>N/A</v>
      </c>
      <c r="H606" s="9" t="str">
        <f>fact_kpi_weekly!H606</f>
        <v>Kit</v>
      </c>
      <c r="I606" s="9">
        <f>fact_kpi_weekly!I606</f>
        <v>0.037</v>
      </c>
      <c r="J606" s="22">
        <f>fact_kpi_weekly!J606</f>
        <v>0.037</v>
      </c>
      <c r="K606" s="20" t="str">
        <f t="array" ref="K606">IFERROR(INDEX(dim_date!H:H,MATCH(A606,dim_date!A:A,0)),"")</f>
        <v>Aug</v>
      </c>
      <c r="L606" s="20" t="str">
        <f t="array" ref="L606">IFERROR(INDEX(dim_date!G:G,MATCH(A606,dim_date!A:A,0)),"")</f>
        <v>08</v>
      </c>
      <c r="M606" s="9" t="str">
        <f t="array" ref="M606">IFERROR(INDEX(dim_date!I:I,MATCH(A606,dim_date!A:A,0)),"")</f>
        <v>Q3</v>
      </c>
      <c r="N606" s="20" t="str">
        <f t="array" ref="N606">IFERROR(INDEX(dim_date!K:K,MATCH(A606,dim_date!A:A,0)),"")</f>
        <v>36</v>
      </c>
      <c r="O606" s="9" t="str">
        <f t="array" ref="O606">IFERROR(INDEX(dim_date!F:F,MATCH(A606,dim_date!A:A,0)),"")</f>
        <v>8/30-9/5</v>
      </c>
      <c r="P606" s="9" t="str">
        <f t="array" ref="P606">IFERROR(INDEX(dim_kpi!E:E,MATCH(D606,dim_kpi!C:C,0)),"")</f>
        <v>%</v>
      </c>
      <c r="Q606" s="9" t="str">
        <f t="array" ref="Q606">IFERROR(INDEX(dim_kpi!F:F,MATCH(D606,dim_kpi!C:C,0)),"")</f>
        <v>N</v>
      </c>
    </row>
    <row r="607" ht="12.75" customHeight="1">
      <c r="A607" s="20" t="str">
        <f>fact_kpi_weekly!A607</f>
        <v>260906</v>
      </c>
      <c r="B607" s="21">
        <f>fact_kpi_weekly!B607</f>
        <v>46271</v>
      </c>
      <c r="C607" s="9" t="str">
        <f>fact_kpi_weekly!C607</f>
        <v>Growth</v>
      </c>
      <c r="D607" s="9" t="str">
        <f>fact_kpi_weekly!D607</f>
        <v>Retention Rate</v>
      </c>
      <c r="E607" s="9" t="str">
        <f>fact_kpi_weekly!E607</f>
        <v>Goal</v>
      </c>
      <c r="F607" s="9" t="str">
        <f>IF(fact_kpi_weekly!F607="","",fact_kpi_weekly!F607)</f>
        <v/>
      </c>
      <c r="G607" s="9" t="str">
        <f>fact_kpi_weekly!G607</f>
        <v>N/A</v>
      </c>
      <c r="H607" s="9" t="str">
        <f>fact_kpi_weekly!H607</f>
        <v>Kit</v>
      </c>
      <c r="I607" s="9">
        <f>fact_kpi_weekly!I607</f>
        <v>0.037</v>
      </c>
      <c r="J607" s="22">
        <f>fact_kpi_weekly!J607</f>
        <v>0.037</v>
      </c>
      <c r="K607" s="20" t="str">
        <f t="array" ref="K607">IFERROR(INDEX(dim_date!H:H,MATCH(A607,dim_date!A:A,0)),"")</f>
        <v>Sep</v>
      </c>
      <c r="L607" s="20" t="str">
        <f t="array" ref="L607">IFERROR(INDEX(dim_date!G:G,MATCH(A607,dim_date!A:A,0)),"")</f>
        <v>09</v>
      </c>
      <c r="M607" s="9" t="str">
        <f t="array" ref="M607">IFERROR(INDEX(dim_date!I:I,MATCH(A607,dim_date!A:A,0)),"")</f>
        <v>Q3</v>
      </c>
      <c r="N607" s="20" t="str">
        <f t="array" ref="N607">IFERROR(INDEX(dim_date!K:K,MATCH(A607,dim_date!A:A,0)),"")</f>
        <v>37</v>
      </c>
      <c r="O607" s="9" t="str">
        <f t="array" ref="O607">IFERROR(INDEX(dim_date!F:F,MATCH(A607,dim_date!A:A,0)),"")</f>
        <v>9/6-9/12</v>
      </c>
      <c r="P607" s="9" t="str">
        <f t="array" ref="P607">IFERROR(INDEX(dim_kpi!E:E,MATCH(D607,dim_kpi!C:C,0)),"")</f>
        <v>%</v>
      </c>
      <c r="Q607" s="9" t="str">
        <f t="array" ref="Q607">IFERROR(INDEX(dim_kpi!F:F,MATCH(D607,dim_kpi!C:C,0)),"")</f>
        <v>N</v>
      </c>
    </row>
    <row r="608" ht="12.75" customHeight="1">
      <c r="A608" s="20" t="str">
        <f>fact_kpi_weekly!A608</f>
        <v>260913</v>
      </c>
      <c r="B608" s="21">
        <f>fact_kpi_weekly!B608</f>
        <v>46278</v>
      </c>
      <c r="C608" s="9" t="str">
        <f>fact_kpi_weekly!C608</f>
        <v>Growth</v>
      </c>
      <c r="D608" s="9" t="str">
        <f>fact_kpi_weekly!D608</f>
        <v>Retention Rate</v>
      </c>
      <c r="E608" s="9" t="str">
        <f>fact_kpi_weekly!E608</f>
        <v>Goal</v>
      </c>
      <c r="F608" s="9" t="str">
        <f>IF(fact_kpi_weekly!F608="","",fact_kpi_weekly!F608)</f>
        <v/>
      </c>
      <c r="G608" s="9" t="str">
        <f>fact_kpi_weekly!G608</f>
        <v>N/A</v>
      </c>
      <c r="H608" s="9" t="str">
        <f>fact_kpi_weekly!H608</f>
        <v>Kit</v>
      </c>
      <c r="I608" s="9">
        <f>fact_kpi_weekly!I608</f>
        <v>0.037</v>
      </c>
      <c r="J608" s="22">
        <f>fact_kpi_weekly!J608</f>
        <v>0.037</v>
      </c>
      <c r="K608" s="20" t="str">
        <f t="array" ref="K608">IFERROR(INDEX(dim_date!H:H,MATCH(A608,dim_date!A:A,0)),"")</f>
        <v>Sep</v>
      </c>
      <c r="L608" s="20" t="str">
        <f t="array" ref="L608">IFERROR(INDEX(dim_date!G:G,MATCH(A608,dim_date!A:A,0)),"")</f>
        <v>09</v>
      </c>
      <c r="M608" s="9" t="str">
        <f t="array" ref="M608">IFERROR(INDEX(dim_date!I:I,MATCH(A608,dim_date!A:A,0)),"")</f>
        <v>Q3</v>
      </c>
      <c r="N608" s="20" t="str">
        <f t="array" ref="N608">IFERROR(INDEX(dim_date!K:K,MATCH(A608,dim_date!A:A,0)),"")</f>
        <v>38</v>
      </c>
      <c r="O608" s="9" t="str">
        <f t="array" ref="O608">IFERROR(INDEX(dim_date!F:F,MATCH(A608,dim_date!A:A,0)),"")</f>
        <v>9/13-9/19</v>
      </c>
      <c r="P608" s="9" t="str">
        <f t="array" ref="P608">IFERROR(INDEX(dim_kpi!E:E,MATCH(D608,dim_kpi!C:C,0)),"")</f>
        <v>%</v>
      </c>
      <c r="Q608" s="9" t="str">
        <f t="array" ref="Q608">IFERROR(INDEX(dim_kpi!F:F,MATCH(D608,dim_kpi!C:C,0)),"")</f>
        <v>N</v>
      </c>
    </row>
    <row r="609" ht="12.75" customHeight="1">
      <c r="A609" s="20" t="str">
        <f>fact_kpi_weekly!A609</f>
        <v>260920</v>
      </c>
      <c r="B609" s="21">
        <f>fact_kpi_weekly!B609</f>
        <v>46285</v>
      </c>
      <c r="C609" s="9" t="str">
        <f>fact_kpi_weekly!C609</f>
        <v>Growth</v>
      </c>
      <c r="D609" s="9" t="str">
        <f>fact_kpi_weekly!D609</f>
        <v>Retention Rate</v>
      </c>
      <c r="E609" s="9" t="str">
        <f>fact_kpi_weekly!E609</f>
        <v>Goal</v>
      </c>
      <c r="F609" s="9" t="str">
        <f>IF(fact_kpi_weekly!F609="","",fact_kpi_weekly!F609)</f>
        <v/>
      </c>
      <c r="G609" s="9" t="str">
        <f>fact_kpi_weekly!G609</f>
        <v>N/A</v>
      </c>
      <c r="H609" s="9" t="str">
        <f>fact_kpi_weekly!H609</f>
        <v>Kit</v>
      </c>
      <c r="I609" s="9">
        <f>fact_kpi_weekly!I609</f>
        <v>0.037</v>
      </c>
      <c r="J609" s="22">
        <f>fact_kpi_weekly!J609</f>
        <v>0.037</v>
      </c>
      <c r="K609" s="20" t="str">
        <f t="array" ref="K609">IFERROR(INDEX(dim_date!H:H,MATCH(A609,dim_date!A:A,0)),"")</f>
        <v>Sep</v>
      </c>
      <c r="L609" s="20" t="str">
        <f t="array" ref="L609">IFERROR(INDEX(dim_date!G:G,MATCH(A609,dim_date!A:A,0)),"")</f>
        <v>09</v>
      </c>
      <c r="M609" s="9" t="str">
        <f t="array" ref="M609">IFERROR(INDEX(dim_date!I:I,MATCH(A609,dim_date!A:A,0)),"")</f>
        <v>Q3</v>
      </c>
      <c r="N609" s="20" t="str">
        <f t="array" ref="N609">IFERROR(INDEX(dim_date!K:K,MATCH(A609,dim_date!A:A,0)),"")</f>
        <v>39</v>
      </c>
      <c r="O609" s="9" t="str">
        <f t="array" ref="O609">IFERROR(INDEX(dim_date!F:F,MATCH(A609,dim_date!A:A,0)),"")</f>
        <v>9/20-9/26</v>
      </c>
      <c r="P609" s="9" t="str">
        <f t="array" ref="P609">IFERROR(INDEX(dim_kpi!E:E,MATCH(D609,dim_kpi!C:C,0)),"")</f>
        <v>%</v>
      </c>
      <c r="Q609" s="9" t="str">
        <f t="array" ref="Q609">IFERROR(INDEX(dim_kpi!F:F,MATCH(D609,dim_kpi!C:C,0)),"")</f>
        <v>N</v>
      </c>
    </row>
    <row r="610" ht="12.75" customHeight="1">
      <c r="A610" s="20" t="str">
        <f>fact_kpi_weekly!A610</f>
        <v>260927</v>
      </c>
      <c r="B610" s="21">
        <f>fact_kpi_weekly!B610</f>
        <v>46292</v>
      </c>
      <c r="C610" s="9" t="str">
        <f>fact_kpi_weekly!C610</f>
        <v>Growth</v>
      </c>
      <c r="D610" s="9" t="str">
        <f>fact_kpi_weekly!D610</f>
        <v>Retention Rate</v>
      </c>
      <c r="E610" s="9" t="str">
        <f>fact_kpi_weekly!E610</f>
        <v>Goal</v>
      </c>
      <c r="F610" s="9" t="str">
        <f>IF(fact_kpi_weekly!F610="","",fact_kpi_weekly!F610)</f>
        <v/>
      </c>
      <c r="G610" s="9" t="str">
        <f>fact_kpi_weekly!G610</f>
        <v>N/A</v>
      </c>
      <c r="H610" s="9" t="str">
        <f>fact_kpi_weekly!H610</f>
        <v>Kit</v>
      </c>
      <c r="I610" s="9">
        <f>fact_kpi_weekly!I610</f>
        <v>0.0367</v>
      </c>
      <c r="J610" s="22">
        <f>fact_kpi_weekly!J610</f>
        <v>0.0367</v>
      </c>
      <c r="K610" s="20" t="str">
        <f t="array" ref="K610">IFERROR(INDEX(dim_date!H:H,MATCH(A610,dim_date!A:A,0)),"")</f>
        <v>Sep</v>
      </c>
      <c r="L610" s="20" t="str">
        <f t="array" ref="L610">IFERROR(INDEX(dim_date!G:G,MATCH(A610,dim_date!A:A,0)),"")</f>
        <v>09</v>
      </c>
      <c r="M610" s="9" t="str">
        <f t="array" ref="M610">IFERROR(INDEX(dim_date!I:I,MATCH(A610,dim_date!A:A,0)),"")</f>
        <v>Q3</v>
      </c>
      <c r="N610" s="20" t="str">
        <f t="array" ref="N610">IFERROR(INDEX(dim_date!K:K,MATCH(A610,dim_date!A:A,0)),"")</f>
        <v>40</v>
      </c>
      <c r="O610" s="9" t="str">
        <f t="array" ref="O610">IFERROR(INDEX(dim_date!F:F,MATCH(A610,dim_date!A:A,0)),"")</f>
        <v>9/27-10/3</v>
      </c>
      <c r="P610" s="9" t="str">
        <f t="array" ref="P610">IFERROR(INDEX(dim_kpi!E:E,MATCH(D610,dim_kpi!C:C,0)),"")</f>
        <v>%</v>
      </c>
      <c r="Q610" s="9" t="str">
        <f t="array" ref="Q610">IFERROR(INDEX(dim_kpi!F:F,MATCH(D610,dim_kpi!C:C,0)),"")</f>
        <v>N</v>
      </c>
    </row>
    <row r="611" ht="12.75" customHeight="1">
      <c r="A611" s="20" t="str">
        <f>fact_kpi_weekly!A611</f>
        <v>261004</v>
      </c>
      <c r="B611" s="21">
        <f>fact_kpi_weekly!B611</f>
        <v>46299</v>
      </c>
      <c r="C611" s="9" t="str">
        <f>fact_kpi_weekly!C611</f>
        <v>Growth</v>
      </c>
      <c r="D611" s="9" t="str">
        <f>fact_kpi_weekly!D611</f>
        <v>Retention Rate</v>
      </c>
      <c r="E611" s="9" t="str">
        <f>fact_kpi_weekly!E611</f>
        <v>Goal</v>
      </c>
      <c r="F611" s="9" t="str">
        <f>IF(fact_kpi_weekly!F611="","",fact_kpi_weekly!F611)</f>
        <v/>
      </c>
      <c r="G611" s="9" t="str">
        <f>fact_kpi_weekly!G611</f>
        <v>N/A</v>
      </c>
      <c r="H611" s="9" t="str">
        <f>fact_kpi_weekly!H611</f>
        <v>Kit</v>
      </c>
      <c r="I611" s="9">
        <f>fact_kpi_weekly!I611</f>
        <v>0.0367</v>
      </c>
      <c r="J611" s="22">
        <f>fact_kpi_weekly!J611</f>
        <v>0.0367</v>
      </c>
      <c r="K611" s="20" t="str">
        <f t="array" ref="K611">IFERROR(INDEX(dim_date!H:H,MATCH(A611,dim_date!A:A,0)),"")</f>
        <v>Oct</v>
      </c>
      <c r="L611" s="20" t="str">
        <f t="array" ref="L611">IFERROR(INDEX(dim_date!G:G,MATCH(A611,dim_date!A:A,0)),"")</f>
        <v>10</v>
      </c>
      <c r="M611" s="9" t="str">
        <f t="array" ref="M611">IFERROR(INDEX(dim_date!I:I,MATCH(A611,dim_date!A:A,0)),"")</f>
        <v>Q4</v>
      </c>
      <c r="N611" s="20" t="str">
        <f t="array" ref="N611">IFERROR(INDEX(dim_date!K:K,MATCH(A611,dim_date!A:A,0)),"")</f>
        <v>41</v>
      </c>
      <c r="O611" s="9" t="str">
        <f t="array" ref="O611">IFERROR(INDEX(dim_date!F:F,MATCH(A611,dim_date!A:A,0)),"")</f>
        <v>10/4-10/10</v>
      </c>
      <c r="P611" s="9" t="str">
        <f t="array" ref="P611">IFERROR(INDEX(dim_kpi!E:E,MATCH(D611,dim_kpi!C:C,0)),"")</f>
        <v>%</v>
      </c>
      <c r="Q611" s="9" t="str">
        <f t="array" ref="Q611">IFERROR(INDEX(dim_kpi!F:F,MATCH(D611,dim_kpi!C:C,0)),"")</f>
        <v>N</v>
      </c>
    </row>
    <row r="612" ht="12.75" customHeight="1">
      <c r="A612" s="20" t="str">
        <f>fact_kpi_weekly!A612</f>
        <v>261011</v>
      </c>
      <c r="B612" s="21">
        <f>fact_kpi_weekly!B612</f>
        <v>46306</v>
      </c>
      <c r="C612" s="9" t="str">
        <f>fact_kpi_weekly!C612</f>
        <v>Growth</v>
      </c>
      <c r="D612" s="9" t="str">
        <f>fact_kpi_weekly!D612</f>
        <v>Retention Rate</v>
      </c>
      <c r="E612" s="9" t="str">
        <f>fact_kpi_weekly!E612</f>
        <v>Goal</v>
      </c>
      <c r="F612" s="9" t="str">
        <f>IF(fact_kpi_weekly!F612="","",fact_kpi_weekly!F612)</f>
        <v/>
      </c>
      <c r="G612" s="9" t="str">
        <f>fact_kpi_weekly!G612</f>
        <v>N/A</v>
      </c>
      <c r="H612" s="9" t="str">
        <f>fact_kpi_weekly!H612</f>
        <v>Kit</v>
      </c>
      <c r="I612" s="9">
        <f>fact_kpi_weekly!I612</f>
        <v>0.0367</v>
      </c>
      <c r="J612" s="22">
        <f>fact_kpi_weekly!J612</f>
        <v>0.0367</v>
      </c>
      <c r="K612" s="20" t="str">
        <f t="array" ref="K612">IFERROR(INDEX(dim_date!H:H,MATCH(A612,dim_date!A:A,0)),"")</f>
        <v>Oct</v>
      </c>
      <c r="L612" s="20" t="str">
        <f t="array" ref="L612">IFERROR(INDEX(dim_date!G:G,MATCH(A612,dim_date!A:A,0)),"")</f>
        <v>10</v>
      </c>
      <c r="M612" s="9" t="str">
        <f t="array" ref="M612">IFERROR(INDEX(dim_date!I:I,MATCH(A612,dim_date!A:A,0)),"")</f>
        <v>Q4</v>
      </c>
      <c r="N612" s="20" t="str">
        <f t="array" ref="N612">IFERROR(INDEX(dim_date!K:K,MATCH(A612,dim_date!A:A,0)),"")</f>
        <v>42</v>
      </c>
      <c r="O612" s="9" t="str">
        <f t="array" ref="O612">IFERROR(INDEX(dim_date!F:F,MATCH(A612,dim_date!A:A,0)),"")</f>
        <v>10/11-10/17</v>
      </c>
      <c r="P612" s="9" t="str">
        <f t="array" ref="P612">IFERROR(INDEX(dim_kpi!E:E,MATCH(D612,dim_kpi!C:C,0)),"")</f>
        <v>%</v>
      </c>
      <c r="Q612" s="9" t="str">
        <f t="array" ref="Q612">IFERROR(INDEX(dim_kpi!F:F,MATCH(D612,dim_kpi!C:C,0)),"")</f>
        <v>N</v>
      </c>
    </row>
    <row r="613" ht="12.75" customHeight="1">
      <c r="A613" s="20" t="str">
        <f>fact_kpi_weekly!A613</f>
        <v>261018</v>
      </c>
      <c r="B613" s="21">
        <f>fact_kpi_weekly!B613</f>
        <v>46313</v>
      </c>
      <c r="C613" s="9" t="str">
        <f>fact_kpi_weekly!C613</f>
        <v>Growth</v>
      </c>
      <c r="D613" s="9" t="str">
        <f>fact_kpi_weekly!D613</f>
        <v>Retention Rate</v>
      </c>
      <c r="E613" s="9" t="str">
        <f>fact_kpi_weekly!E613</f>
        <v>Goal</v>
      </c>
      <c r="F613" s="9" t="str">
        <f>IF(fact_kpi_weekly!F613="","",fact_kpi_weekly!F613)</f>
        <v/>
      </c>
      <c r="G613" s="9" t="str">
        <f>fact_kpi_weekly!G613</f>
        <v>N/A</v>
      </c>
      <c r="H613" s="9" t="str">
        <f>fact_kpi_weekly!H613</f>
        <v>Kit</v>
      </c>
      <c r="I613" s="9">
        <f>fact_kpi_weekly!I613</f>
        <v>0.0367</v>
      </c>
      <c r="J613" s="22">
        <f>fact_kpi_weekly!J613</f>
        <v>0.0367</v>
      </c>
      <c r="K613" s="20" t="str">
        <f t="array" ref="K613">IFERROR(INDEX(dim_date!H:H,MATCH(A613,dim_date!A:A,0)),"")</f>
        <v>Oct</v>
      </c>
      <c r="L613" s="20" t="str">
        <f t="array" ref="L613">IFERROR(INDEX(dim_date!G:G,MATCH(A613,dim_date!A:A,0)),"")</f>
        <v>10</v>
      </c>
      <c r="M613" s="9" t="str">
        <f t="array" ref="M613">IFERROR(INDEX(dim_date!I:I,MATCH(A613,dim_date!A:A,0)),"")</f>
        <v>Q4</v>
      </c>
      <c r="N613" s="20" t="str">
        <f t="array" ref="N613">IFERROR(INDEX(dim_date!K:K,MATCH(A613,dim_date!A:A,0)),"")</f>
        <v>43</v>
      </c>
      <c r="O613" s="9" t="str">
        <f t="array" ref="O613">IFERROR(INDEX(dim_date!F:F,MATCH(A613,dim_date!A:A,0)),"")</f>
        <v>10/18-10/24</v>
      </c>
      <c r="P613" s="9" t="str">
        <f t="array" ref="P613">IFERROR(INDEX(dim_kpi!E:E,MATCH(D613,dim_kpi!C:C,0)),"")</f>
        <v>%</v>
      </c>
      <c r="Q613" s="9" t="str">
        <f t="array" ref="Q613">IFERROR(INDEX(dim_kpi!F:F,MATCH(D613,dim_kpi!C:C,0)),"")</f>
        <v>N</v>
      </c>
    </row>
    <row r="614" ht="12.75" customHeight="1">
      <c r="A614" s="20" t="str">
        <f>fact_kpi_weekly!A614</f>
        <v>261025</v>
      </c>
      <c r="B614" s="21">
        <f>fact_kpi_weekly!B614</f>
        <v>46320</v>
      </c>
      <c r="C614" s="9" t="str">
        <f>fact_kpi_weekly!C614</f>
        <v>Growth</v>
      </c>
      <c r="D614" s="9" t="str">
        <f>fact_kpi_weekly!D614</f>
        <v>Retention Rate</v>
      </c>
      <c r="E614" s="9" t="str">
        <f>fact_kpi_weekly!E614</f>
        <v>Goal</v>
      </c>
      <c r="F614" s="9" t="str">
        <f>IF(fact_kpi_weekly!F614="","",fact_kpi_weekly!F614)</f>
        <v/>
      </c>
      <c r="G614" s="9" t="str">
        <f>fact_kpi_weekly!G614</f>
        <v>N/A</v>
      </c>
      <c r="H614" s="9" t="str">
        <f>fact_kpi_weekly!H614</f>
        <v>Kit</v>
      </c>
      <c r="I614" s="9">
        <f>fact_kpi_weekly!I614</f>
        <v>0.0361</v>
      </c>
      <c r="J614" s="22">
        <f>fact_kpi_weekly!J614</f>
        <v>0.0361</v>
      </c>
      <c r="K614" s="20" t="str">
        <f t="array" ref="K614">IFERROR(INDEX(dim_date!H:H,MATCH(A614,dim_date!A:A,0)),"")</f>
        <v>Oct</v>
      </c>
      <c r="L614" s="20" t="str">
        <f t="array" ref="L614">IFERROR(INDEX(dim_date!G:G,MATCH(A614,dim_date!A:A,0)),"")</f>
        <v>10</v>
      </c>
      <c r="M614" s="9" t="str">
        <f t="array" ref="M614">IFERROR(INDEX(dim_date!I:I,MATCH(A614,dim_date!A:A,0)),"")</f>
        <v>Q4</v>
      </c>
      <c r="N614" s="20" t="str">
        <f t="array" ref="N614">IFERROR(INDEX(dim_date!K:K,MATCH(A614,dim_date!A:A,0)),"")</f>
        <v>44</v>
      </c>
      <c r="O614" s="9" t="str">
        <f t="array" ref="O614">IFERROR(INDEX(dim_date!F:F,MATCH(A614,dim_date!A:A,0)),"")</f>
        <v>10/25-10/31</v>
      </c>
      <c r="P614" s="9" t="str">
        <f t="array" ref="P614">IFERROR(INDEX(dim_kpi!E:E,MATCH(D614,dim_kpi!C:C,0)),"")</f>
        <v>%</v>
      </c>
      <c r="Q614" s="9" t="str">
        <f t="array" ref="Q614">IFERROR(INDEX(dim_kpi!F:F,MATCH(D614,dim_kpi!C:C,0)),"")</f>
        <v>N</v>
      </c>
    </row>
    <row r="615" ht="12.75" customHeight="1">
      <c r="A615" s="20" t="str">
        <f>fact_kpi_weekly!A615</f>
        <v>261101</v>
      </c>
      <c r="B615" s="21">
        <f>fact_kpi_weekly!B615</f>
        <v>46327</v>
      </c>
      <c r="C615" s="9" t="str">
        <f>fact_kpi_weekly!C615</f>
        <v>Growth</v>
      </c>
      <c r="D615" s="9" t="str">
        <f>fact_kpi_weekly!D615</f>
        <v>Retention Rate</v>
      </c>
      <c r="E615" s="9" t="str">
        <f>fact_kpi_weekly!E615</f>
        <v>Goal</v>
      </c>
      <c r="F615" s="9" t="str">
        <f>IF(fact_kpi_weekly!F615="","",fact_kpi_weekly!F615)</f>
        <v/>
      </c>
      <c r="G615" s="9" t="str">
        <f>fact_kpi_weekly!G615</f>
        <v>N/A</v>
      </c>
      <c r="H615" s="9" t="str">
        <f>fact_kpi_weekly!H615</f>
        <v>Kit</v>
      </c>
      <c r="I615" s="9">
        <f>fact_kpi_weekly!I615</f>
        <v>0.0361</v>
      </c>
      <c r="J615" s="22">
        <f>fact_kpi_weekly!J615</f>
        <v>0.0361</v>
      </c>
      <c r="K615" s="20" t="str">
        <f t="array" ref="K615">IFERROR(INDEX(dim_date!H:H,MATCH(A615,dim_date!A:A,0)),"")</f>
        <v>Nov</v>
      </c>
      <c r="L615" s="20" t="str">
        <f t="array" ref="L615">IFERROR(INDEX(dim_date!G:G,MATCH(A615,dim_date!A:A,0)),"")</f>
        <v>11</v>
      </c>
      <c r="M615" s="9" t="str">
        <f t="array" ref="M615">IFERROR(INDEX(dim_date!I:I,MATCH(A615,dim_date!A:A,0)),"")</f>
        <v>Q4</v>
      </c>
      <c r="N615" s="20" t="str">
        <f t="array" ref="N615">IFERROR(INDEX(dim_date!K:K,MATCH(A615,dim_date!A:A,0)),"")</f>
        <v>45</v>
      </c>
      <c r="O615" s="9" t="str">
        <f t="array" ref="O615">IFERROR(INDEX(dim_date!F:F,MATCH(A615,dim_date!A:A,0)),"")</f>
        <v>11/1-11/7</v>
      </c>
      <c r="P615" s="9" t="str">
        <f t="array" ref="P615">IFERROR(INDEX(dim_kpi!E:E,MATCH(D615,dim_kpi!C:C,0)),"")</f>
        <v>%</v>
      </c>
      <c r="Q615" s="9" t="str">
        <f t="array" ref="Q615">IFERROR(INDEX(dim_kpi!F:F,MATCH(D615,dim_kpi!C:C,0)),"")</f>
        <v>N</v>
      </c>
    </row>
    <row r="616" ht="12.75" customHeight="1">
      <c r="A616" s="20" t="str">
        <f>fact_kpi_weekly!A616</f>
        <v>261108</v>
      </c>
      <c r="B616" s="21">
        <f>fact_kpi_weekly!B616</f>
        <v>46334</v>
      </c>
      <c r="C616" s="9" t="str">
        <f>fact_kpi_weekly!C616</f>
        <v>Growth</v>
      </c>
      <c r="D616" s="9" t="str">
        <f>fact_kpi_weekly!D616</f>
        <v>Retention Rate</v>
      </c>
      <c r="E616" s="9" t="str">
        <f>fact_kpi_weekly!E616</f>
        <v>Goal</v>
      </c>
      <c r="F616" s="9" t="str">
        <f>IF(fact_kpi_weekly!F616="","",fact_kpi_weekly!F616)</f>
        <v/>
      </c>
      <c r="G616" s="9" t="str">
        <f>fact_kpi_weekly!G616</f>
        <v>N/A</v>
      </c>
      <c r="H616" s="9" t="str">
        <f>fact_kpi_weekly!H616</f>
        <v>Kit</v>
      </c>
      <c r="I616" s="9">
        <f>fact_kpi_weekly!I616</f>
        <v>0.0361</v>
      </c>
      <c r="J616" s="22">
        <f>fact_kpi_weekly!J616</f>
        <v>0.0361</v>
      </c>
      <c r="K616" s="20" t="str">
        <f t="array" ref="K616">IFERROR(INDEX(dim_date!H:H,MATCH(A616,dim_date!A:A,0)),"")</f>
        <v>Nov</v>
      </c>
      <c r="L616" s="20" t="str">
        <f t="array" ref="L616">IFERROR(INDEX(dim_date!G:G,MATCH(A616,dim_date!A:A,0)),"")</f>
        <v>11</v>
      </c>
      <c r="M616" s="9" t="str">
        <f t="array" ref="M616">IFERROR(INDEX(dim_date!I:I,MATCH(A616,dim_date!A:A,0)),"")</f>
        <v>Q4</v>
      </c>
      <c r="N616" s="20" t="str">
        <f t="array" ref="N616">IFERROR(INDEX(dim_date!K:K,MATCH(A616,dim_date!A:A,0)),"")</f>
        <v>46</v>
      </c>
      <c r="O616" s="9" t="str">
        <f t="array" ref="O616">IFERROR(INDEX(dim_date!F:F,MATCH(A616,dim_date!A:A,0)),"")</f>
        <v>11/8-11/14</v>
      </c>
      <c r="P616" s="9" t="str">
        <f t="array" ref="P616">IFERROR(INDEX(dim_kpi!E:E,MATCH(D616,dim_kpi!C:C,0)),"")</f>
        <v>%</v>
      </c>
      <c r="Q616" s="9" t="str">
        <f t="array" ref="Q616">IFERROR(INDEX(dim_kpi!F:F,MATCH(D616,dim_kpi!C:C,0)),"")</f>
        <v>N</v>
      </c>
    </row>
    <row r="617" ht="12.75" customHeight="1">
      <c r="A617" s="20" t="str">
        <f>fact_kpi_weekly!A617</f>
        <v>261115</v>
      </c>
      <c r="B617" s="21">
        <f>fact_kpi_weekly!B617</f>
        <v>46341</v>
      </c>
      <c r="C617" s="9" t="str">
        <f>fact_kpi_weekly!C617</f>
        <v>Growth</v>
      </c>
      <c r="D617" s="9" t="str">
        <f>fact_kpi_weekly!D617</f>
        <v>Retention Rate</v>
      </c>
      <c r="E617" s="9" t="str">
        <f>fact_kpi_weekly!E617</f>
        <v>Goal</v>
      </c>
      <c r="F617" s="9" t="str">
        <f>IF(fact_kpi_weekly!F617="","",fact_kpi_weekly!F617)</f>
        <v/>
      </c>
      <c r="G617" s="9" t="str">
        <f>fact_kpi_weekly!G617</f>
        <v>N/A</v>
      </c>
      <c r="H617" s="9" t="str">
        <f>fact_kpi_weekly!H617</f>
        <v>Kit</v>
      </c>
      <c r="I617" s="9">
        <f>fact_kpi_weekly!I617</f>
        <v>0.0361</v>
      </c>
      <c r="J617" s="22">
        <f>fact_kpi_weekly!J617</f>
        <v>0.0361</v>
      </c>
      <c r="K617" s="20" t="str">
        <f t="array" ref="K617">IFERROR(INDEX(dim_date!H:H,MATCH(A617,dim_date!A:A,0)),"")</f>
        <v>Nov</v>
      </c>
      <c r="L617" s="20" t="str">
        <f t="array" ref="L617">IFERROR(INDEX(dim_date!G:G,MATCH(A617,dim_date!A:A,0)),"")</f>
        <v>11</v>
      </c>
      <c r="M617" s="9" t="str">
        <f t="array" ref="M617">IFERROR(INDEX(dim_date!I:I,MATCH(A617,dim_date!A:A,0)),"")</f>
        <v>Q4</v>
      </c>
      <c r="N617" s="20" t="str">
        <f t="array" ref="N617">IFERROR(INDEX(dim_date!K:K,MATCH(A617,dim_date!A:A,0)),"")</f>
        <v>47</v>
      </c>
      <c r="O617" s="9" t="str">
        <f t="array" ref="O617">IFERROR(INDEX(dim_date!F:F,MATCH(A617,dim_date!A:A,0)),"")</f>
        <v>11/15-11/21</v>
      </c>
      <c r="P617" s="9" t="str">
        <f t="array" ref="P617">IFERROR(INDEX(dim_kpi!E:E,MATCH(D617,dim_kpi!C:C,0)),"")</f>
        <v>%</v>
      </c>
      <c r="Q617" s="9" t="str">
        <f t="array" ref="Q617">IFERROR(INDEX(dim_kpi!F:F,MATCH(D617,dim_kpi!C:C,0)),"")</f>
        <v>N</v>
      </c>
    </row>
    <row r="618" ht="12.75" customHeight="1">
      <c r="A618" s="20" t="str">
        <f>fact_kpi_weekly!A618</f>
        <v>261122</v>
      </c>
      <c r="B618" s="21">
        <f>fact_kpi_weekly!B618</f>
        <v>46348</v>
      </c>
      <c r="C618" s="9" t="str">
        <f>fact_kpi_weekly!C618</f>
        <v>Growth</v>
      </c>
      <c r="D618" s="9" t="str">
        <f>fact_kpi_weekly!D618</f>
        <v>Retention Rate</v>
      </c>
      <c r="E618" s="9" t="str">
        <f>fact_kpi_weekly!E618</f>
        <v>Goal</v>
      </c>
      <c r="F618" s="9" t="str">
        <f>IF(fact_kpi_weekly!F618="","",fact_kpi_weekly!F618)</f>
        <v/>
      </c>
      <c r="G618" s="9" t="str">
        <f>fact_kpi_weekly!G618</f>
        <v>N/A</v>
      </c>
      <c r="H618" s="9" t="str">
        <f>fact_kpi_weekly!H618</f>
        <v>Kit</v>
      </c>
      <c r="I618" s="9">
        <f>fact_kpi_weekly!I618</f>
        <v>0.0361</v>
      </c>
      <c r="J618" s="22">
        <f>fact_kpi_weekly!J618</f>
        <v>0.0361</v>
      </c>
      <c r="K618" s="20" t="str">
        <f t="array" ref="K618">IFERROR(INDEX(dim_date!H:H,MATCH(A618,dim_date!A:A,0)),"")</f>
        <v>Nov</v>
      </c>
      <c r="L618" s="20" t="str">
        <f t="array" ref="L618">IFERROR(INDEX(dim_date!G:G,MATCH(A618,dim_date!A:A,0)),"")</f>
        <v>11</v>
      </c>
      <c r="M618" s="9" t="str">
        <f t="array" ref="M618">IFERROR(INDEX(dim_date!I:I,MATCH(A618,dim_date!A:A,0)),"")</f>
        <v>Q4</v>
      </c>
      <c r="N618" s="20" t="str">
        <f t="array" ref="N618">IFERROR(INDEX(dim_date!K:K,MATCH(A618,dim_date!A:A,0)),"")</f>
        <v>48</v>
      </c>
      <c r="O618" s="9" t="str">
        <f t="array" ref="O618">IFERROR(INDEX(dim_date!F:F,MATCH(A618,dim_date!A:A,0)),"")</f>
        <v>11/22-11/28</v>
      </c>
      <c r="P618" s="9" t="str">
        <f t="array" ref="P618">IFERROR(INDEX(dim_kpi!E:E,MATCH(D618,dim_kpi!C:C,0)),"")</f>
        <v>%</v>
      </c>
      <c r="Q618" s="9" t="str">
        <f t="array" ref="Q618">IFERROR(INDEX(dim_kpi!F:F,MATCH(D618,dim_kpi!C:C,0)),"")</f>
        <v>N</v>
      </c>
    </row>
    <row r="619" ht="12.75" customHeight="1">
      <c r="A619" s="20" t="str">
        <f>fact_kpi_weekly!A619</f>
        <v>261129</v>
      </c>
      <c r="B619" s="21">
        <f>fact_kpi_weekly!B619</f>
        <v>46355</v>
      </c>
      <c r="C619" s="9" t="str">
        <f>fact_kpi_weekly!C619</f>
        <v>Growth</v>
      </c>
      <c r="D619" s="9" t="str">
        <f>fact_kpi_weekly!D619</f>
        <v>Retention Rate</v>
      </c>
      <c r="E619" s="9" t="str">
        <f>fact_kpi_weekly!E619</f>
        <v>Goal</v>
      </c>
      <c r="F619" s="9" t="str">
        <f>IF(fact_kpi_weekly!F619="","",fact_kpi_weekly!F619)</f>
        <v/>
      </c>
      <c r="G619" s="9" t="str">
        <f>fact_kpi_weekly!G619</f>
        <v>N/A</v>
      </c>
      <c r="H619" s="9" t="str">
        <f>fact_kpi_weekly!H619</f>
        <v>Kit</v>
      </c>
      <c r="I619" s="9">
        <f>fact_kpi_weekly!I619</f>
        <v>0.0356</v>
      </c>
      <c r="J619" s="22">
        <f>fact_kpi_weekly!J619</f>
        <v>0.0356</v>
      </c>
      <c r="K619" s="20" t="str">
        <f t="array" ref="K619">IFERROR(INDEX(dim_date!H:H,MATCH(A619,dim_date!A:A,0)),"")</f>
        <v>Nov</v>
      </c>
      <c r="L619" s="20" t="str">
        <f t="array" ref="L619">IFERROR(INDEX(dim_date!G:G,MATCH(A619,dim_date!A:A,0)),"")</f>
        <v>11</v>
      </c>
      <c r="M619" s="9" t="str">
        <f t="array" ref="M619">IFERROR(INDEX(dim_date!I:I,MATCH(A619,dim_date!A:A,0)),"")</f>
        <v>Q4</v>
      </c>
      <c r="N619" s="20" t="str">
        <f t="array" ref="N619">IFERROR(INDEX(dim_date!K:K,MATCH(A619,dim_date!A:A,0)),"")</f>
        <v>49</v>
      </c>
      <c r="O619" s="9" t="str">
        <f t="array" ref="O619">IFERROR(INDEX(dim_date!F:F,MATCH(A619,dim_date!A:A,0)),"")</f>
        <v>11/29-12/5</v>
      </c>
      <c r="P619" s="9" t="str">
        <f t="array" ref="P619">IFERROR(INDEX(dim_kpi!E:E,MATCH(D619,dim_kpi!C:C,0)),"")</f>
        <v>%</v>
      </c>
      <c r="Q619" s="9" t="str">
        <f t="array" ref="Q619">IFERROR(INDEX(dim_kpi!F:F,MATCH(D619,dim_kpi!C:C,0)),"")</f>
        <v>N</v>
      </c>
    </row>
    <row r="620" ht="12.75" customHeight="1">
      <c r="A620" s="20" t="str">
        <f>fact_kpi_weekly!A620</f>
        <v>261206</v>
      </c>
      <c r="B620" s="21">
        <f>fact_kpi_weekly!B620</f>
        <v>46362</v>
      </c>
      <c r="C620" s="9" t="str">
        <f>fact_kpi_weekly!C620</f>
        <v>Growth</v>
      </c>
      <c r="D620" s="9" t="str">
        <f>fact_kpi_weekly!D620</f>
        <v>Retention Rate</v>
      </c>
      <c r="E620" s="9" t="str">
        <f>fact_kpi_weekly!E620</f>
        <v>Goal</v>
      </c>
      <c r="F620" s="9" t="str">
        <f>IF(fact_kpi_weekly!F620="","",fact_kpi_weekly!F620)</f>
        <v/>
      </c>
      <c r="G620" s="9" t="str">
        <f>fact_kpi_weekly!G620</f>
        <v>N/A</v>
      </c>
      <c r="H620" s="9" t="str">
        <f>fact_kpi_weekly!H620</f>
        <v>Kit</v>
      </c>
      <c r="I620" s="9">
        <f>fact_kpi_weekly!I620</f>
        <v>0.0356</v>
      </c>
      <c r="J620" s="22">
        <f>fact_kpi_weekly!J620</f>
        <v>0.0356</v>
      </c>
      <c r="K620" s="20" t="str">
        <f t="array" ref="K620">IFERROR(INDEX(dim_date!H:H,MATCH(A620,dim_date!A:A,0)),"")</f>
        <v>Dec</v>
      </c>
      <c r="L620" s="20" t="str">
        <f t="array" ref="L620">IFERROR(INDEX(dim_date!G:G,MATCH(A620,dim_date!A:A,0)),"")</f>
        <v>12</v>
      </c>
      <c r="M620" s="9" t="str">
        <f t="array" ref="M620">IFERROR(INDEX(dim_date!I:I,MATCH(A620,dim_date!A:A,0)),"")</f>
        <v>Q4</v>
      </c>
      <c r="N620" s="20" t="str">
        <f t="array" ref="N620">IFERROR(INDEX(dim_date!K:K,MATCH(A620,dim_date!A:A,0)),"")</f>
        <v>50</v>
      </c>
      <c r="O620" s="9" t="str">
        <f t="array" ref="O620">IFERROR(INDEX(dim_date!F:F,MATCH(A620,dim_date!A:A,0)),"")</f>
        <v>12/6-12/12</v>
      </c>
      <c r="P620" s="9" t="str">
        <f t="array" ref="P620">IFERROR(INDEX(dim_kpi!E:E,MATCH(D620,dim_kpi!C:C,0)),"")</f>
        <v>%</v>
      </c>
      <c r="Q620" s="9" t="str">
        <f t="array" ref="Q620">IFERROR(INDEX(dim_kpi!F:F,MATCH(D620,dim_kpi!C:C,0)),"")</f>
        <v>N</v>
      </c>
    </row>
    <row r="621" ht="12.75" customHeight="1">
      <c r="A621" s="20" t="str">
        <f>fact_kpi_weekly!A621</f>
        <v>261213</v>
      </c>
      <c r="B621" s="21">
        <f>fact_kpi_weekly!B621</f>
        <v>46369</v>
      </c>
      <c r="C621" s="9" t="str">
        <f>fact_kpi_weekly!C621</f>
        <v>Growth</v>
      </c>
      <c r="D621" s="9" t="str">
        <f>fact_kpi_weekly!D621</f>
        <v>Retention Rate</v>
      </c>
      <c r="E621" s="9" t="str">
        <f>fact_kpi_weekly!E621</f>
        <v>Goal</v>
      </c>
      <c r="F621" s="9" t="str">
        <f>IF(fact_kpi_weekly!F621="","",fact_kpi_weekly!F621)</f>
        <v/>
      </c>
      <c r="G621" s="9" t="str">
        <f>fact_kpi_weekly!G621</f>
        <v>N/A</v>
      </c>
      <c r="H621" s="9" t="str">
        <f>fact_kpi_weekly!H621</f>
        <v>Kit</v>
      </c>
      <c r="I621" s="9">
        <f>fact_kpi_weekly!I621</f>
        <v>0.0356</v>
      </c>
      <c r="J621" s="22">
        <f>fact_kpi_weekly!J621</f>
        <v>0.0356</v>
      </c>
      <c r="K621" s="20" t="str">
        <f t="array" ref="K621">IFERROR(INDEX(dim_date!H:H,MATCH(A621,dim_date!A:A,0)),"")</f>
        <v>Dec</v>
      </c>
      <c r="L621" s="20" t="str">
        <f t="array" ref="L621">IFERROR(INDEX(dim_date!G:G,MATCH(A621,dim_date!A:A,0)),"")</f>
        <v>12</v>
      </c>
      <c r="M621" s="9" t="str">
        <f t="array" ref="M621">IFERROR(INDEX(dim_date!I:I,MATCH(A621,dim_date!A:A,0)),"")</f>
        <v>Q4</v>
      </c>
      <c r="N621" s="20" t="str">
        <f t="array" ref="N621">IFERROR(INDEX(dim_date!K:K,MATCH(A621,dim_date!A:A,0)),"")</f>
        <v>51</v>
      </c>
      <c r="O621" s="9" t="str">
        <f t="array" ref="O621">IFERROR(INDEX(dim_date!F:F,MATCH(A621,dim_date!A:A,0)),"")</f>
        <v>12/13-12/19</v>
      </c>
      <c r="P621" s="9" t="str">
        <f t="array" ref="P621">IFERROR(INDEX(dim_kpi!E:E,MATCH(D621,dim_kpi!C:C,0)),"")</f>
        <v>%</v>
      </c>
      <c r="Q621" s="9" t="str">
        <f t="array" ref="Q621">IFERROR(INDEX(dim_kpi!F:F,MATCH(D621,dim_kpi!C:C,0)),"")</f>
        <v>N</v>
      </c>
    </row>
    <row r="622" ht="12.75" customHeight="1">
      <c r="A622" s="20" t="str">
        <f>fact_kpi_weekly!A622</f>
        <v>261220</v>
      </c>
      <c r="B622" s="21">
        <f>fact_kpi_weekly!B622</f>
        <v>46376</v>
      </c>
      <c r="C622" s="9" t="str">
        <f>fact_kpi_weekly!C622</f>
        <v>Growth</v>
      </c>
      <c r="D622" s="9" t="str">
        <f>fact_kpi_weekly!D622</f>
        <v>Retention Rate</v>
      </c>
      <c r="E622" s="9" t="str">
        <f>fact_kpi_weekly!E622</f>
        <v>Goal</v>
      </c>
      <c r="F622" s="9" t="str">
        <f>IF(fact_kpi_weekly!F622="","",fact_kpi_weekly!F622)</f>
        <v/>
      </c>
      <c r="G622" s="9" t="str">
        <f>fact_kpi_weekly!G622</f>
        <v>N/A</v>
      </c>
      <c r="H622" s="9" t="str">
        <f>fact_kpi_weekly!H622</f>
        <v>Kit</v>
      </c>
      <c r="I622" s="9">
        <f>fact_kpi_weekly!I622</f>
        <v>0.0356</v>
      </c>
      <c r="J622" s="22">
        <f>fact_kpi_weekly!J622</f>
        <v>0.0356</v>
      </c>
      <c r="K622" s="20" t="str">
        <f t="array" ref="K622">IFERROR(INDEX(dim_date!H:H,MATCH(A622,dim_date!A:A,0)),"")</f>
        <v>Dec</v>
      </c>
      <c r="L622" s="20" t="str">
        <f t="array" ref="L622">IFERROR(INDEX(dim_date!G:G,MATCH(A622,dim_date!A:A,0)),"")</f>
        <v>12</v>
      </c>
      <c r="M622" s="9" t="str">
        <f t="array" ref="M622">IFERROR(INDEX(dim_date!I:I,MATCH(A622,dim_date!A:A,0)),"")</f>
        <v>Q4</v>
      </c>
      <c r="N622" s="20" t="str">
        <f t="array" ref="N622">IFERROR(INDEX(dim_date!K:K,MATCH(A622,dim_date!A:A,0)),"")</f>
        <v>52</v>
      </c>
      <c r="O622" s="9" t="str">
        <f t="array" ref="O622">IFERROR(INDEX(dim_date!F:F,MATCH(A622,dim_date!A:A,0)),"")</f>
        <v>12/20-12/26</v>
      </c>
      <c r="P622" s="9" t="str">
        <f t="array" ref="P622">IFERROR(INDEX(dim_kpi!E:E,MATCH(D622,dim_kpi!C:C,0)),"")</f>
        <v>%</v>
      </c>
      <c r="Q622" s="9" t="str">
        <f t="array" ref="Q622">IFERROR(INDEX(dim_kpi!F:F,MATCH(D622,dim_kpi!C:C,0)),"")</f>
        <v>N</v>
      </c>
    </row>
    <row r="623" ht="12.75" customHeight="1">
      <c r="A623" s="20" t="str">
        <f>fact_kpi_weekly!A623</f>
        <v>261227</v>
      </c>
      <c r="B623" s="21">
        <f>fact_kpi_weekly!B623</f>
        <v>46383</v>
      </c>
      <c r="C623" s="9" t="str">
        <f>fact_kpi_weekly!C623</f>
        <v>Growth</v>
      </c>
      <c r="D623" s="9" t="str">
        <f>fact_kpi_weekly!D623</f>
        <v>Retention Rate</v>
      </c>
      <c r="E623" s="9" t="str">
        <f>fact_kpi_weekly!E623</f>
        <v>Goal</v>
      </c>
      <c r="F623" s="9" t="str">
        <f>IF(fact_kpi_weekly!F623="","",fact_kpi_weekly!F623)</f>
        <v/>
      </c>
      <c r="G623" s="9" t="str">
        <f>fact_kpi_weekly!G623</f>
        <v>N/A</v>
      </c>
      <c r="H623" s="9" t="str">
        <f>fact_kpi_weekly!H623</f>
        <v>Kit</v>
      </c>
      <c r="I623" s="9">
        <f>fact_kpi_weekly!I623</f>
        <v>0.0345</v>
      </c>
      <c r="J623" s="22">
        <f>fact_kpi_weekly!J623</f>
        <v>0.0345</v>
      </c>
      <c r="K623" s="20" t="str">
        <f t="array" ref="K623">IFERROR(INDEX(dim_date!H:H,MATCH(A623,dim_date!A:A,0)),"")</f>
        <v>Dec</v>
      </c>
      <c r="L623" s="20" t="str">
        <f t="array" ref="L623">IFERROR(INDEX(dim_date!G:G,MATCH(A623,dim_date!A:A,0)),"")</f>
        <v>12</v>
      </c>
      <c r="M623" s="9" t="str">
        <f t="array" ref="M623">IFERROR(INDEX(dim_date!I:I,MATCH(A623,dim_date!A:A,0)),"")</f>
        <v>Q4</v>
      </c>
      <c r="N623" s="20" t="str">
        <f t="array" ref="N623">IFERROR(INDEX(dim_date!K:K,MATCH(A623,dim_date!A:A,0)),"")</f>
        <v>53</v>
      </c>
      <c r="O623" s="9" t="str">
        <f t="array" ref="O623">IFERROR(INDEX(dim_date!F:F,MATCH(A623,dim_date!A:A,0)),"")</f>
        <v>12/27-1/2</v>
      </c>
      <c r="P623" s="9" t="str">
        <f t="array" ref="P623">IFERROR(INDEX(dim_kpi!E:E,MATCH(D623,dim_kpi!C:C,0)),"")</f>
        <v>%</v>
      </c>
      <c r="Q623" s="9" t="str">
        <f t="array" ref="Q623">IFERROR(INDEX(dim_kpi!F:F,MATCH(D623,dim_kpi!C:C,0)),"")</f>
        <v>N</v>
      </c>
    </row>
    <row r="624" ht="12.75" customHeight="1">
      <c r="A624" s="20" t="str">
        <f>fact_kpi_weekly!A624</f>
        <v>260301</v>
      </c>
      <c r="B624" s="21">
        <f>fact_kpi_weekly!B624</f>
        <v>46082</v>
      </c>
      <c r="C624" s="9" t="str">
        <f>fact_kpi_weekly!C624</f>
        <v>Growth</v>
      </c>
      <c r="D624" s="9" t="str">
        <f>fact_kpi_weekly!D624</f>
        <v>Agent Resource Cost Mix (FTE/NS/OS)</v>
      </c>
      <c r="E624" s="9" t="str">
        <f>fact_kpi_weekly!E624</f>
        <v>Goal</v>
      </c>
      <c r="F624" s="9" t="str">
        <f>IF(fact_kpi_weekly!F624="","",fact_kpi_weekly!F624)</f>
        <v/>
      </c>
      <c r="G624" s="9" t="str">
        <f>fact_kpi_weekly!G624</f>
        <v>N/A</v>
      </c>
      <c r="H624" s="9" t="str">
        <f>fact_kpi_weekly!H624</f>
        <v>Luke</v>
      </c>
      <c r="I624" s="9" t="str">
        <f>fact_kpi_weekly!I624</f>
        <v>33/67/0%</v>
      </c>
      <c r="J624" s="22" t="str">
        <f>fact_kpi_weekly!J624</f>
        <v/>
      </c>
      <c r="K624" s="20" t="str">
        <f t="array" ref="K624">IFERROR(INDEX(dim_date!H:H,MATCH(A624,dim_date!A:A,0)),"")</f>
        <v>Mar</v>
      </c>
      <c r="L624" s="20" t="str">
        <f t="array" ref="L624">IFERROR(INDEX(dim_date!G:G,MATCH(A624,dim_date!A:A,0)),"")</f>
        <v>03</v>
      </c>
      <c r="M624" s="9" t="str">
        <f t="array" ref="M624">IFERROR(INDEX(dim_date!I:I,MATCH(A624,dim_date!A:A,0)),"")</f>
        <v>Q1</v>
      </c>
      <c r="N624" s="20" t="str">
        <f t="array" ref="N624">IFERROR(INDEX(dim_date!K:K,MATCH(A624,dim_date!A:A,0)),"")</f>
        <v>10</v>
      </c>
      <c r="O624" s="9" t="str">
        <f t="array" ref="O624">IFERROR(INDEX(dim_date!F:F,MATCH(A624,dim_date!A:A,0)),"")</f>
        <v>3/1-3/7</v>
      </c>
      <c r="P624" s="9" t="str">
        <f t="array" ref="P624">IFERROR(INDEX(dim_kpi!E:E,MATCH(D624,dim_kpi!C:C,0)),"")</f>
        <v>text/%</v>
      </c>
      <c r="Q624" s="9" t="str">
        <f t="array" ref="Q624">IFERROR(INDEX(dim_kpi!F:F,MATCH(D624,dim_kpi!C:C,0)),"")</f>
        <v>N</v>
      </c>
    </row>
    <row r="625" ht="12.75" customHeight="1">
      <c r="A625" s="20" t="str">
        <f>fact_kpi_weekly!A625</f>
        <v>260308</v>
      </c>
      <c r="B625" s="21">
        <f>fact_kpi_weekly!B625</f>
        <v>46089</v>
      </c>
      <c r="C625" s="9" t="str">
        <f>fact_kpi_weekly!C625</f>
        <v>Growth</v>
      </c>
      <c r="D625" s="9" t="str">
        <f>fact_kpi_weekly!D625</f>
        <v>Agent Resource Cost Mix (FTE/NS/OS)</v>
      </c>
      <c r="E625" s="9" t="str">
        <f>fact_kpi_weekly!E625</f>
        <v>Goal</v>
      </c>
      <c r="F625" s="9" t="str">
        <f>IF(fact_kpi_weekly!F625="","",fact_kpi_weekly!F625)</f>
        <v/>
      </c>
      <c r="G625" s="9" t="str">
        <f>fact_kpi_weekly!G625</f>
        <v>N/A</v>
      </c>
      <c r="H625" s="9" t="str">
        <f>fact_kpi_weekly!H625</f>
        <v>Luke</v>
      </c>
      <c r="I625" s="9" t="str">
        <f>fact_kpi_weekly!I625</f>
        <v>33/67/0%</v>
      </c>
      <c r="J625" s="22" t="str">
        <f>fact_kpi_weekly!J625</f>
        <v/>
      </c>
      <c r="K625" s="20" t="str">
        <f t="array" ref="K625">IFERROR(INDEX(dim_date!H:H,MATCH(A625,dim_date!A:A,0)),"")</f>
        <v>Mar</v>
      </c>
      <c r="L625" s="20" t="str">
        <f t="array" ref="L625">IFERROR(INDEX(dim_date!G:G,MATCH(A625,dim_date!A:A,0)),"")</f>
        <v>03</v>
      </c>
      <c r="M625" s="9" t="str">
        <f t="array" ref="M625">IFERROR(INDEX(dim_date!I:I,MATCH(A625,dim_date!A:A,0)),"")</f>
        <v>Q1</v>
      </c>
      <c r="N625" s="20" t="str">
        <f t="array" ref="N625">IFERROR(INDEX(dim_date!K:K,MATCH(A625,dim_date!A:A,0)),"")</f>
        <v>11</v>
      </c>
      <c r="O625" s="9" t="str">
        <f t="array" ref="O625">IFERROR(INDEX(dim_date!F:F,MATCH(A625,dim_date!A:A,0)),"")</f>
        <v>3/8-3/14</v>
      </c>
      <c r="P625" s="9" t="str">
        <f t="array" ref="P625">IFERROR(INDEX(dim_kpi!E:E,MATCH(D625,dim_kpi!C:C,0)),"")</f>
        <v>text/%</v>
      </c>
      <c r="Q625" s="9" t="str">
        <f t="array" ref="Q625">IFERROR(INDEX(dim_kpi!F:F,MATCH(D625,dim_kpi!C:C,0)),"")</f>
        <v>N</v>
      </c>
    </row>
    <row r="626" ht="12.75" customHeight="1">
      <c r="A626" s="20" t="str">
        <f>fact_kpi_weekly!A626</f>
        <v>260315</v>
      </c>
      <c r="B626" s="21">
        <f>fact_kpi_weekly!B626</f>
        <v>46096</v>
      </c>
      <c r="C626" s="9" t="str">
        <f>fact_kpi_weekly!C626</f>
        <v>Growth</v>
      </c>
      <c r="D626" s="9" t="str">
        <f>fact_kpi_weekly!D626</f>
        <v>Agent Resource Cost Mix (FTE/NS/OS)</v>
      </c>
      <c r="E626" s="9" t="str">
        <f>fact_kpi_weekly!E626</f>
        <v>Goal</v>
      </c>
      <c r="F626" s="9" t="str">
        <f>IF(fact_kpi_weekly!F626="","",fact_kpi_weekly!F626)</f>
        <v/>
      </c>
      <c r="G626" s="9" t="str">
        <f>fact_kpi_weekly!G626</f>
        <v>N/A</v>
      </c>
      <c r="H626" s="9" t="str">
        <f>fact_kpi_weekly!H626</f>
        <v>Luke</v>
      </c>
      <c r="I626" s="9" t="str">
        <f>fact_kpi_weekly!I626</f>
        <v>33/67/0%</v>
      </c>
      <c r="J626" s="22" t="str">
        <f>fact_kpi_weekly!J626</f>
        <v/>
      </c>
      <c r="K626" s="20" t="str">
        <f t="array" ref="K626">IFERROR(INDEX(dim_date!H:H,MATCH(A626,dim_date!A:A,0)),"")</f>
        <v>Mar</v>
      </c>
      <c r="L626" s="20" t="str">
        <f t="array" ref="L626">IFERROR(INDEX(dim_date!G:G,MATCH(A626,dim_date!A:A,0)),"")</f>
        <v>03</v>
      </c>
      <c r="M626" s="9" t="str">
        <f t="array" ref="M626">IFERROR(INDEX(dim_date!I:I,MATCH(A626,dim_date!A:A,0)),"")</f>
        <v>Q1</v>
      </c>
      <c r="N626" s="20" t="str">
        <f t="array" ref="N626">IFERROR(INDEX(dim_date!K:K,MATCH(A626,dim_date!A:A,0)),"")</f>
        <v>12</v>
      </c>
      <c r="O626" s="9" t="str">
        <f t="array" ref="O626">IFERROR(INDEX(dim_date!F:F,MATCH(A626,dim_date!A:A,0)),"")</f>
        <v>3/15-3/21</v>
      </c>
      <c r="P626" s="9" t="str">
        <f t="array" ref="P626">IFERROR(INDEX(dim_kpi!E:E,MATCH(D626,dim_kpi!C:C,0)),"")</f>
        <v>text/%</v>
      </c>
      <c r="Q626" s="9" t="str">
        <f t="array" ref="Q626">IFERROR(INDEX(dim_kpi!F:F,MATCH(D626,dim_kpi!C:C,0)),"")</f>
        <v>N</v>
      </c>
    </row>
    <row r="627" ht="12.75" customHeight="1">
      <c r="A627" s="20" t="str">
        <f>fact_kpi_weekly!A627</f>
        <v>260322</v>
      </c>
      <c r="B627" s="21">
        <f>fact_kpi_weekly!B627</f>
        <v>46103</v>
      </c>
      <c r="C627" s="9" t="str">
        <f>fact_kpi_weekly!C627</f>
        <v>Growth</v>
      </c>
      <c r="D627" s="9" t="str">
        <f>fact_kpi_weekly!D627</f>
        <v>Agent Resource Cost Mix (FTE/NS/OS)</v>
      </c>
      <c r="E627" s="9" t="str">
        <f>fact_kpi_weekly!E627</f>
        <v>Goal</v>
      </c>
      <c r="F627" s="9" t="str">
        <f>IF(fact_kpi_weekly!F627="","",fact_kpi_weekly!F627)</f>
        <v/>
      </c>
      <c r="G627" s="9" t="str">
        <f>fact_kpi_weekly!G627</f>
        <v>N/A</v>
      </c>
      <c r="H627" s="9" t="str">
        <f>fact_kpi_weekly!H627</f>
        <v>Luke</v>
      </c>
      <c r="I627" s="9" t="str">
        <f>fact_kpi_weekly!I627</f>
        <v>33/67/0%</v>
      </c>
      <c r="J627" s="22" t="str">
        <f>fact_kpi_weekly!J627</f>
        <v/>
      </c>
      <c r="K627" s="20" t="str">
        <f t="array" ref="K627">IFERROR(INDEX(dim_date!H:H,MATCH(A627,dim_date!A:A,0)),"")</f>
        <v>Mar</v>
      </c>
      <c r="L627" s="20" t="str">
        <f t="array" ref="L627">IFERROR(INDEX(dim_date!G:G,MATCH(A627,dim_date!A:A,0)),"")</f>
        <v>03</v>
      </c>
      <c r="M627" s="9" t="str">
        <f t="array" ref="M627">IFERROR(INDEX(dim_date!I:I,MATCH(A627,dim_date!A:A,0)),"")</f>
        <v>Q1</v>
      </c>
      <c r="N627" s="20" t="str">
        <f t="array" ref="N627">IFERROR(INDEX(dim_date!K:K,MATCH(A627,dim_date!A:A,0)),"")</f>
        <v>13</v>
      </c>
      <c r="O627" s="9" t="str">
        <f t="array" ref="O627">IFERROR(INDEX(dim_date!F:F,MATCH(A627,dim_date!A:A,0)),"")</f>
        <v>3/22-3/28</v>
      </c>
      <c r="P627" s="9" t="str">
        <f t="array" ref="P627">IFERROR(INDEX(dim_kpi!E:E,MATCH(D627,dim_kpi!C:C,0)),"")</f>
        <v>text/%</v>
      </c>
      <c r="Q627" s="9" t="str">
        <f t="array" ref="Q627">IFERROR(INDEX(dim_kpi!F:F,MATCH(D627,dim_kpi!C:C,0)),"")</f>
        <v>N</v>
      </c>
    </row>
    <row r="628" ht="12.75" customHeight="1">
      <c r="A628" s="20" t="str">
        <f>fact_kpi_weekly!A628</f>
        <v>260329</v>
      </c>
      <c r="B628" s="21">
        <f>fact_kpi_weekly!B628</f>
        <v>46110</v>
      </c>
      <c r="C628" s="9" t="str">
        <f>fact_kpi_weekly!C628</f>
        <v>Growth</v>
      </c>
      <c r="D628" s="9" t="str">
        <f>fact_kpi_weekly!D628</f>
        <v>Agent Resource Cost Mix (FTE/NS/OS)</v>
      </c>
      <c r="E628" s="9" t="str">
        <f>fact_kpi_weekly!E628</f>
        <v>Goal</v>
      </c>
      <c r="F628" s="9" t="str">
        <f>IF(fact_kpi_weekly!F628="","",fact_kpi_weekly!F628)</f>
        <v/>
      </c>
      <c r="G628" s="9" t="str">
        <f>fact_kpi_weekly!G628</f>
        <v>N/A</v>
      </c>
      <c r="H628" s="9" t="str">
        <f>fact_kpi_weekly!H628</f>
        <v>Luke</v>
      </c>
      <c r="I628" s="9" t="str">
        <f>fact_kpi_weekly!I628</f>
        <v>33/67/0%</v>
      </c>
      <c r="J628" s="22" t="str">
        <f>fact_kpi_weekly!J628</f>
        <v/>
      </c>
      <c r="K628" s="20" t="str">
        <f t="array" ref="K628">IFERROR(INDEX(dim_date!H:H,MATCH(A628,dim_date!A:A,0)),"")</f>
        <v>Mar</v>
      </c>
      <c r="L628" s="20" t="str">
        <f t="array" ref="L628">IFERROR(INDEX(dim_date!G:G,MATCH(A628,dim_date!A:A,0)),"")</f>
        <v>03</v>
      </c>
      <c r="M628" s="9" t="str">
        <f t="array" ref="M628">IFERROR(INDEX(dim_date!I:I,MATCH(A628,dim_date!A:A,0)),"")</f>
        <v>Q1</v>
      </c>
      <c r="N628" s="20" t="str">
        <f t="array" ref="N628">IFERROR(INDEX(dim_date!K:K,MATCH(A628,dim_date!A:A,0)),"")</f>
        <v>14</v>
      </c>
      <c r="O628" s="9" t="str">
        <f t="array" ref="O628">IFERROR(INDEX(dim_date!F:F,MATCH(A628,dim_date!A:A,0)),"")</f>
        <v>3/29-4/4</v>
      </c>
      <c r="P628" s="9" t="str">
        <f t="array" ref="P628">IFERROR(INDEX(dim_kpi!E:E,MATCH(D628,dim_kpi!C:C,0)),"")</f>
        <v>text/%</v>
      </c>
      <c r="Q628" s="9" t="str">
        <f t="array" ref="Q628">IFERROR(INDEX(dim_kpi!F:F,MATCH(D628,dim_kpi!C:C,0)),"")</f>
        <v>N</v>
      </c>
    </row>
    <row r="629" ht="12.75" customHeight="1">
      <c r="A629" s="20" t="str">
        <f>fact_kpi_weekly!A629</f>
        <v>260405</v>
      </c>
      <c r="B629" s="21">
        <f>fact_kpi_weekly!B629</f>
        <v>46117</v>
      </c>
      <c r="C629" s="9" t="str">
        <f>fact_kpi_weekly!C629</f>
        <v>Growth</v>
      </c>
      <c r="D629" s="9" t="str">
        <f>fact_kpi_weekly!D629</f>
        <v>Agent Resource Cost Mix (FTE/NS/OS)</v>
      </c>
      <c r="E629" s="9" t="str">
        <f>fact_kpi_weekly!E629</f>
        <v>Goal</v>
      </c>
      <c r="F629" s="9" t="str">
        <f>IF(fact_kpi_weekly!F629="","",fact_kpi_weekly!F629)</f>
        <v/>
      </c>
      <c r="G629" s="9" t="str">
        <f>fact_kpi_weekly!G629</f>
        <v>N/A</v>
      </c>
      <c r="H629" s="9" t="str">
        <f>fact_kpi_weekly!H629</f>
        <v>Luke</v>
      </c>
      <c r="I629" s="9" t="str">
        <f>fact_kpi_weekly!I629</f>
        <v>18/82/0%</v>
      </c>
      <c r="J629" s="22" t="str">
        <f>fact_kpi_weekly!J629</f>
        <v/>
      </c>
      <c r="K629" s="20" t="str">
        <f t="array" ref="K629">IFERROR(INDEX(dim_date!H:H,MATCH(A629,dim_date!A:A,0)),"")</f>
        <v>Apr</v>
      </c>
      <c r="L629" s="20" t="str">
        <f t="array" ref="L629">IFERROR(INDEX(dim_date!G:G,MATCH(A629,dim_date!A:A,0)),"")</f>
        <v>04</v>
      </c>
      <c r="M629" s="9" t="str">
        <f t="array" ref="M629">IFERROR(INDEX(dim_date!I:I,MATCH(A629,dim_date!A:A,0)),"")</f>
        <v>Q2</v>
      </c>
      <c r="N629" s="20" t="str">
        <f t="array" ref="N629">IFERROR(INDEX(dim_date!K:K,MATCH(A629,dim_date!A:A,0)),"")</f>
        <v>15</v>
      </c>
      <c r="O629" s="9" t="str">
        <f t="array" ref="O629">IFERROR(INDEX(dim_date!F:F,MATCH(A629,dim_date!A:A,0)),"")</f>
        <v>4/5-4/11</v>
      </c>
      <c r="P629" s="9" t="str">
        <f t="array" ref="P629">IFERROR(INDEX(dim_kpi!E:E,MATCH(D629,dim_kpi!C:C,0)),"")</f>
        <v>text/%</v>
      </c>
      <c r="Q629" s="9" t="str">
        <f t="array" ref="Q629">IFERROR(INDEX(dim_kpi!F:F,MATCH(D629,dim_kpi!C:C,0)),"")</f>
        <v>N</v>
      </c>
    </row>
    <row r="630" ht="12.75" customHeight="1">
      <c r="A630" s="20" t="str">
        <f>fact_kpi_weekly!A630</f>
        <v>260412</v>
      </c>
      <c r="B630" s="21">
        <f>fact_kpi_weekly!B630</f>
        <v>46124</v>
      </c>
      <c r="C630" s="9" t="str">
        <f>fact_kpi_weekly!C630</f>
        <v>Growth</v>
      </c>
      <c r="D630" s="9" t="str">
        <f>fact_kpi_weekly!D630</f>
        <v>Agent Resource Cost Mix (FTE/NS/OS)</v>
      </c>
      <c r="E630" s="9" t="str">
        <f>fact_kpi_weekly!E630</f>
        <v>Goal</v>
      </c>
      <c r="F630" s="9" t="str">
        <f>IF(fact_kpi_weekly!F630="","",fact_kpi_weekly!F630)</f>
        <v/>
      </c>
      <c r="G630" s="9" t="str">
        <f>fact_kpi_weekly!G630</f>
        <v>N/A</v>
      </c>
      <c r="H630" s="9" t="str">
        <f>fact_kpi_weekly!H630</f>
        <v>Luke</v>
      </c>
      <c r="I630" s="9" t="str">
        <f>fact_kpi_weekly!I630</f>
        <v>18/82/0%</v>
      </c>
      <c r="J630" s="22" t="str">
        <f>fact_kpi_weekly!J630</f>
        <v/>
      </c>
      <c r="K630" s="20" t="str">
        <f t="array" ref="K630">IFERROR(INDEX(dim_date!H:H,MATCH(A630,dim_date!A:A,0)),"")</f>
        <v>Apr</v>
      </c>
      <c r="L630" s="20" t="str">
        <f t="array" ref="L630">IFERROR(INDEX(dim_date!G:G,MATCH(A630,dim_date!A:A,0)),"")</f>
        <v>04</v>
      </c>
      <c r="M630" s="9" t="str">
        <f t="array" ref="M630">IFERROR(INDEX(dim_date!I:I,MATCH(A630,dim_date!A:A,0)),"")</f>
        <v>Q2</v>
      </c>
      <c r="N630" s="20" t="str">
        <f t="array" ref="N630">IFERROR(INDEX(dim_date!K:K,MATCH(A630,dim_date!A:A,0)),"")</f>
        <v>16</v>
      </c>
      <c r="O630" s="9" t="str">
        <f t="array" ref="O630">IFERROR(INDEX(dim_date!F:F,MATCH(A630,dim_date!A:A,0)),"")</f>
        <v>4/12-4/18</v>
      </c>
      <c r="P630" s="9" t="str">
        <f t="array" ref="P630">IFERROR(INDEX(dim_kpi!E:E,MATCH(D630,dim_kpi!C:C,0)),"")</f>
        <v>text/%</v>
      </c>
      <c r="Q630" s="9" t="str">
        <f t="array" ref="Q630">IFERROR(INDEX(dim_kpi!F:F,MATCH(D630,dim_kpi!C:C,0)),"")</f>
        <v>N</v>
      </c>
    </row>
    <row r="631" ht="12.75" customHeight="1">
      <c r="A631" s="20" t="str">
        <f>fact_kpi_weekly!A631</f>
        <v>260419</v>
      </c>
      <c r="B631" s="21">
        <f>fact_kpi_weekly!B631</f>
        <v>46131</v>
      </c>
      <c r="C631" s="9" t="str">
        <f>fact_kpi_weekly!C631</f>
        <v>Growth</v>
      </c>
      <c r="D631" s="9" t="str">
        <f>fact_kpi_weekly!D631</f>
        <v>Agent Resource Cost Mix (FTE/NS/OS)</v>
      </c>
      <c r="E631" s="9" t="str">
        <f>fact_kpi_weekly!E631</f>
        <v>Goal</v>
      </c>
      <c r="F631" s="9" t="str">
        <f>IF(fact_kpi_weekly!F631="","",fact_kpi_weekly!F631)</f>
        <v/>
      </c>
      <c r="G631" s="9" t="str">
        <f>fact_kpi_weekly!G631</f>
        <v>N/A</v>
      </c>
      <c r="H631" s="9" t="str">
        <f>fact_kpi_weekly!H631</f>
        <v>Luke</v>
      </c>
      <c r="I631" s="9" t="str">
        <f>fact_kpi_weekly!I631</f>
        <v>18/82/0%</v>
      </c>
      <c r="J631" s="22" t="str">
        <f>fact_kpi_weekly!J631</f>
        <v/>
      </c>
      <c r="K631" s="20" t="str">
        <f t="array" ref="K631">IFERROR(INDEX(dim_date!H:H,MATCH(A631,dim_date!A:A,0)),"")</f>
        <v>Apr</v>
      </c>
      <c r="L631" s="20" t="str">
        <f t="array" ref="L631">IFERROR(INDEX(dim_date!G:G,MATCH(A631,dim_date!A:A,0)),"")</f>
        <v>04</v>
      </c>
      <c r="M631" s="9" t="str">
        <f t="array" ref="M631">IFERROR(INDEX(dim_date!I:I,MATCH(A631,dim_date!A:A,0)),"")</f>
        <v>Q2</v>
      </c>
      <c r="N631" s="20" t="str">
        <f t="array" ref="N631">IFERROR(INDEX(dim_date!K:K,MATCH(A631,dim_date!A:A,0)),"")</f>
        <v>17</v>
      </c>
      <c r="O631" s="9" t="str">
        <f t="array" ref="O631">IFERROR(INDEX(dim_date!F:F,MATCH(A631,dim_date!A:A,0)),"")</f>
        <v>4/19-4/25</v>
      </c>
      <c r="P631" s="9" t="str">
        <f t="array" ref="P631">IFERROR(INDEX(dim_kpi!E:E,MATCH(D631,dim_kpi!C:C,0)),"")</f>
        <v>text/%</v>
      </c>
      <c r="Q631" s="9" t="str">
        <f t="array" ref="Q631">IFERROR(INDEX(dim_kpi!F:F,MATCH(D631,dim_kpi!C:C,0)),"")</f>
        <v>N</v>
      </c>
    </row>
    <row r="632" ht="12.75" customHeight="1">
      <c r="A632" s="20" t="str">
        <f>fact_kpi_weekly!A632</f>
        <v>260426</v>
      </c>
      <c r="B632" s="21">
        <f>fact_kpi_weekly!B632</f>
        <v>46138</v>
      </c>
      <c r="C632" s="9" t="str">
        <f>fact_kpi_weekly!C632</f>
        <v>Growth</v>
      </c>
      <c r="D632" s="9" t="str">
        <f>fact_kpi_weekly!D632</f>
        <v>Agent Resource Cost Mix (FTE/NS/OS)</v>
      </c>
      <c r="E632" s="9" t="str">
        <f>fact_kpi_weekly!E632</f>
        <v>Goal</v>
      </c>
      <c r="F632" s="9" t="str">
        <f>IF(fact_kpi_weekly!F632="","",fact_kpi_weekly!F632)</f>
        <v/>
      </c>
      <c r="G632" s="9" t="str">
        <f>fact_kpi_weekly!G632</f>
        <v>N/A</v>
      </c>
      <c r="H632" s="9" t="str">
        <f>fact_kpi_weekly!H632</f>
        <v>Luke</v>
      </c>
      <c r="I632" s="9" t="str">
        <f>fact_kpi_weekly!I632</f>
        <v>18/82/0%</v>
      </c>
      <c r="J632" s="22" t="str">
        <f>fact_kpi_weekly!J632</f>
        <v/>
      </c>
      <c r="K632" s="20" t="str">
        <f t="array" ref="K632">IFERROR(INDEX(dim_date!H:H,MATCH(A632,dim_date!A:A,0)),"")</f>
        <v>Apr</v>
      </c>
      <c r="L632" s="20" t="str">
        <f t="array" ref="L632">IFERROR(INDEX(dim_date!G:G,MATCH(A632,dim_date!A:A,0)),"")</f>
        <v>04</v>
      </c>
      <c r="M632" s="9" t="str">
        <f t="array" ref="M632">IFERROR(INDEX(dim_date!I:I,MATCH(A632,dim_date!A:A,0)),"")</f>
        <v>Q2</v>
      </c>
      <c r="N632" s="20" t="str">
        <f t="array" ref="N632">IFERROR(INDEX(dim_date!K:K,MATCH(A632,dim_date!A:A,0)),"")</f>
        <v>18</v>
      </c>
      <c r="O632" s="9" t="str">
        <f t="array" ref="O632">IFERROR(INDEX(dim_date!F:F,MATCH(A632,dim_date!A:A,0)),"")</f>
        <v>4/26-5/2</v>
      </c>
      <c r="P632" s="9" t="str">
        <f t="array" ref="P632">IFERROR(INDEX(dim_kpi!E:E,MATCH(D632,dim_kpi!C:C,0)),"")</f>
        <v>text/%</v>
      </c>
      <c r="Q632" s="9" t="str">
        <f t="array" ref="Q632">IFERROR(INDEX(dim_kpi!F:F,MATCH(D632,dim_kpi!C:C,0)),"")</f>
        <v>N</v>
      </c>
    </row>
    <row r="633" ht="12.75" customHeight="1">
      <c r="A633" s="20" t="str">
        <f>fact_kpi_weekly!A633</f>
        <v>260503</v>
      </c>
      <c r="B633" s="21">
        <f>fact_kpi_weekly!B633</f>
        <v>46145</v>
      </c>
      <c r="C633" s="9" t="str">
        <f>fact_kpi_weekly!C633</f>
        <v>Growth</v>
      </c>
      <c r="D633" s="9" t="str">
        <f>fact_kpi_weekly!D633</f>
        <v>Agent Resource Cost Mix (FTE/NS/OS)</v>
      </c>
      <c r="E633" s="9" t="str">
        <f>fact_kpi_weekly!E633</f>
        <v>Goal</v>
      </c>
      <c r="F633" s="9" t="str">
        <f>IF(fact_kpi_weekly!F633="","",fact_kpi_weekly!F633)</f>
        <v/>
      </c>
      <c r="G633" s="9" t="str">
        <f>fact_kpi_weekly!G633</f>
        <v>N/A</v>
      </c>
      <c r="H633" s="9" t="str">
        <f>fact_kpi_weekly!H633</f>
        <v>Luke</v>
      </c>
      <c r="I633" s="9" t="str">
        <f>fact_kpi_weekly!I633</f>
        <v>14/67/19%</v>
      </c>
      <c r="J633" s="22" t="str">
        <f>fact_kpi_weekly!J633</f>
        <v/>
      </c>
      <c r="K633" s="20" t="str">
        <f t="array" ref="K633">IFERROR(INDEX(dim_date!H:H,MATCH(A633,dim_date!A:A,0)),"")</f>
        <v>May</v>
      </c>
      <c r="L633" s="20" t="str">
        <f t="array" ref="L633">IFERROR(INDEX(dim_date!G:G,MATCH(A633,dim_date!A:A,0)),"")</f>
        <v>05</v>
      </c>
      <c r="M633" s="9" t="str">
        <f t="array" ref="M633">IFERROR(INDEX(dim_date!I:I,MATCH(A633,dim_date!A:A,0)),"")</f>
        <v>Q2</v>
      </c>
      <c r="N633" s="20" t="str">
        <f t="array" ref="N633">IFERROR(INDEX(dim_date!K:K,MATCH(A633,dim_date!A:A,0)),"")</f>
        <v>19</v>
      </c>
      <c r="O633" s="9" t="str">
        <f t="array" ref="O633">IFERROR(INDEX(dim_date!F:F,MATCH(A633,dim_date!A:A,0)),"")</f>
        <v>5/3-5/9</v>
      </c>
      <c r="P633" s="9" t="str">
        <f t="array" ref="P633">IFERROR(INDEX(dim_kpi!E:E,MATCH(D633,dim_kpi!C:C,0)),"")</f>
        <v>text/%</v>
      </c>
      <c r="Q633" s="9" t="str">
        <f t="array" ref="Q633">IFERROR(INDEX(dim_kpi!F:F,MATCH(D633,dim_kpi!C:C,0)),"")</f>
        <v>N</v>
      </c>
    </row>
    <row r="634" ht="12.75" customHeight="1">
      <c r="A634" s="20" t="str">
        <f>fact_kpi_weekly!A634</f>
        <v>260510</v>
      </c>
      <c r="B634" s="21">
        <f>fact_kpi_weekly!B634</f>
        <v>46152</v>
      </c>
      <c r="C634" s="9" t="str">
        <f>fact_kpi_weekly!C634</f>
        <v>Growth</v>
      </c>
      <c r="D634" s="9" t="str">
        <f>fact_kpi_weekly!D634</f>
        <v>Agent Resource Cost Mix (FTE/NS/OS)</v>
      </c>
      <c r="E634" s="9" t="str">
        <f>fact_kpi_weekly!E634</f>
        <v>Goal</v>
      </c>
      <c r="F634" s="9" t="str">
        <f>IF(fact_kpi_weekly!F634="","",fact_kpi_weekly!F634)</f>
        <v/>
      </c>
      <c r="G634" s="9" t="str">
        <f>fact_kpi_weekly!G634</f>
        <v>N/A</v>
      </c>
      <c r="H634" s="9" t="str">
        <f>fact_kpi_weekly!H634</f>
        <v>Luke</v>
      </c>
      <c r="I634" s="9" t="str">
        <f>fact_kpi_weekly!I634</f>
        <v>14/67/19%</v>
      </c>
      <c r="J634" s="22" t="str">
        <f>fact_kpi_weekly!J634</f>
        <v/>
      </c>
      <c r="K634" s="20" t="str">
        <f t="array" ref="K634">IFERROR(INDEX(dim_date!H:H,MATCH(A634,dim_date!A:A,0)),"")</f>
        <v>May</v>
      </c>
      <c r="L634" s="20" t="str">
        <f t="array" ref="L634">IFERROR(INDEX(dim_date!G:G,MATCH(A634,dim_date!A:A,0)),"")</f>
        <v>05</v>
      </c>
      <c r="M634" s="9" t="str">
        <f t="array" ref="M634">IFERROR(INDEX(dim_date!I:I,MATCH(A634,dim_date!A:A,0)),"")</f>
        <v>Q2</v>
      </c>
      <c r="N634" s="20" t="str">
        <f t="array" ref="N634">IFERROR(INDEX(dim_date!K:K,MATCH(A634,dim_date!A:A,0)),"")</f>
        <v>20</v>
      </c>
      <c r="O634" s="9" t="str">
        <f t="array" ref="O634">IFERROR(INDEX(dim_date!F:F,MATCH(A634,dim_date!A:A,0)),"")</f>
        <v>5/10-5/16</v>
      </c>
      <c r="P634" s="9" t="str">
        <f t="array" ref="P634">IFERROR(INDEX(dim_kpi!E:E,MATCH(D634,dim_kpi!C:C,0)),"")</f>
        <v>text/%</v>
      </c>
      <c r="Q634" s="9" t="str">
        <f t="array" ref="Q634">IFERROR(INDEX(dim_kpi!F:F,MATCH(D634,dim_kpi!C:C,0)),"")</f>
        <v>N</v>
      </c>
    </row>
    <row r="635" ht="12.75" customHeight="1">
      <c r="A635" s="20" t="str">
        <f>fact_kpi_weekly!A635</f>
        <v>260517</v>
      </c>
      <c r="B635" s="21">
        <f>fact_kpi_weekly!B635</f>
        <v>46159</v>
      </c>
      <c r="C635" s="9" t="str">
        <f>fact_kpi_weekly!C635</f>
        <v>Growth</v>
      </c>
      <c r="D635" s="9" t="str">
        <f>fact_kpi_weekly!D635</f>
        <v>Agent Resource Cost Mix (FTE/NS/OS)</v>
      </c>
      <c r="E635" s="9" t="str">
        <f>fact_kpi_weekly!E635</f>
        <v>Goal</v>
      </c>
      <c r="F635" s="9" t="str">
        <f>IF(fact_kpi_weekly!F635="","",fact_kpi_weekly!F635)</f>
        <v/>
      </c>
      <c r="G635" s="9" t="str">
        <f>fact_kpi_weekly!G635</f>
        <v>N/A</v>
      </c>
      <c r="H635" s="9" t="str">
        <f>fact_kpi_weekly!H635</f>
        <v>Luke</v>
      </c>
      <c r="I635" s="9" t="str">
        <f>fact_kpi_weekly!I635</f>
        <v>14/67/19%</v>
      </c>
      <c r="J635" s="22" t="str">
        <f>fact_kpi_weekly!J635</f>
        <v/>
      </c>
      <c r="K635" s="20" t="str">
        <f t="array" ref="K635">IFERROR(INDEX(dim_date!H:H,MATCH(A635,dim_date!A:A,0)),"")</f>
        <v>May</v>
      </c>
      <c r="L635" s="20" t="str">
        <f t="array" ref="L635">IFERROR(INDEX(dim_date!G:G,MATCH(A635,dim_date!A:A,0)),"")</f>
        <v>05</v>
      </c>
      <c r="M635" s="9" t="str">
        <f t="array" ref="M635">IFERROR(INDEX(dim_date!I:I,MATCH(A635,dim_date!A:A,0)),"")</f>
        <v>Q2</v>
      </c>
      <c r="N635" s="20" t="str">
        <f t="array" ref="N635">IFERROR(INDEX(dim_date!K:K,MATCH(A635,dim_date!A:A,0)),"")</f>
        <v>21</v>
      </c>
      <c r="O635" s="9" t="str">
        <f t="array" ref="O635">IFERROR(INDEX(dim_date!F:F,MATCH(A635,dim_date!A:A,0)),"")</f>
        <v>5/17-5/23</v>
      </c>
      <c r="P635" s="9" t="str">
        <f t="array" ref="P635">IFERROR(INDEX(dim_kpi!E:E,MATCH(D635,dim_kpi!C:C,0)),"")</f>
        <v>text/%</v>
      </c>
      <c r="Q635" s="9" t="str">
        <f t="array" ref="Q635">IFERROR(INDEX(dim_kpi!F:F,MATCH(D635,dim_kpi!C:C,0)),"")</f>
        <v>N</v>
      </c>
    </row>
    <row r="636" ht="12.75" customHeight="1">
      <c r="A636" s="20" t="str">
        <f>fact_kpi_weekly!A636</f>
        <v>260524</v>
      </c>
      <c r="B636" s="21">
        <f>fact_kpi_weekly!B636</f>
        <v>46166</v>
      </c>
      <c r="C636" s="9" t="str">
        <f>fact_kpi_weekly!C636</f>
        <v>Growth</v>
      </c>
      <c r="D636" s="9" t="str">
        <f>fact_kpi_weekly!D636</f>
        <v>Agent Resource Cost Mix (FTE/NS/OS)</v>
      </c>
      <c r="E636" s="9" t="str">
        <f>fact_kpi_weekly!E636</f>
        <v>Goal</v>
      </c>
      <c r="F636" s="9" t="str">
        <f>IF(fact_kpi_weekly!F636="","",fact_kpi_weekly!F636)</f>
        <v/>
      </c>
      <c r="G636" s="9" t="str">
        <f>fact_kpi_weekly!G636</f>
        <v>N/A</v>
      </c>
      <c r="H636" s="9" t="str">
        <f>fact_kpi_weekly!H636</f>
        <v>Luke</v>
      </c>
      <c r="I636" s="9" t="str">
        <f>fact_kpi_weekly!I636</f>
        <v>14/67/19%</v>
      </c>
      <c r="J636" s="22" t="str">
        <f>fact_kpi_weekly!J636</f>
        <v/>
      </c>
      <c r="K636" s="20" t="str">
        <f t="array" ref="K636">IFERROR(INDEX(dim_date!H:H,MATCH(A636,dim_date!A:A,0)),"")</f>
        <v>May</v>
      </c>
      <c r="L636" s="20" t="str">
        <f t="array" ref="L636">IFERROR(INDEX(dim_date!G:G,MATCH(A636,dim_date!A:A,0)),"")</f>
        <v>05</v>
      </c>
      <c r="M636" s="9" t="str">
        <f t="array" ref="M636">IFERROR(INDEX(dim_date!I:I,MATCH(A636,dim_date!A:A,0)),"")</f>
        <v>Q2</v>
      </c>
      <c r="N636" s="20" t="str">
        <f t="array" ref="N636">IFERROR(INDEX(dim_date!K:K,MATCH(A636,dim_date!A:A,0)),"")</f>
        <v>22</v>
      </c>
      <c r="O636" s="9" t="str">
        <f t="array" ref="O636">IFERROR(INDEX(dim_date!F:F,MATCH(A636,dim_date!A:A,0)),"")</f>
        <v>5/24-5/30</v>
      </c>
      <c r="P636" s="9" t="str">
        <f t="array" ref="P636">IFERROR(INDEX(dim_kpi!E:E,MATCH(D636,dim_kpi!C:C,0)),"")</f>
        <v>text/%</v>
      </c>
      <c r="Q636" s="9" t="str">
        <f t="array" ref="Q636">IFERROR(INDEX(dim_kpi!F:F,MATCH(D636,dim_kpi!C:C,0)),"")</f>
        <v>N</v>
      </c>
    </row>
    <row r="637" ht="12.75" customHeight="1">
      <c r="A637" s="20" t="str">
        <f>fact_kpi_weekly!A637</f>
        <v>260601</v>
      </c>
      <c r="B637" s="21">
        <f>fact_kpi_weekly!B637</f>
        <v>46174</v>
      </c>
      <c r="C637" s="9" t="str">
        <f>fact_kpi_weekly!C637</f>
        <v>Growth</v>
      </c>
      <c r="D637" s="9" t="str">
        <f>fact_kpi_weekly!D637</f>
        <v>Agent Resource Cost Mix (FTE/NS/OS)</v>
      </c>
      <c r="E637" s="9" t="str">
        <f>fact_kpi_weekly!E637</f>
        <v>Goal</v>
      </c>
      <c r="F637" s="9" t="str">
        <f>IF(fact_kpi_weekly!F637="","",fact_kpi_weekly!F637)</f>
        <v/>
      </c>
      <c r="G637" s="9" t="str">
        <f>fact_kpi_weekly!G637</f>
        <v>N/A</v>
      </c>
      <c r="H637" s="9" t="str">
        <f>fact_kpi_weekly!H637</f>
        <v>Luke</v>
      </c>
      <c r="I637" s="9" t="str">
        <f>fact_kpi_weekly!I637</f>
        <v>13/61/26%</v>
      </c>
      <c r="J637" s="22" t="str">
        <f>fact_kpi_weekly!J637</f>
        <v/>
      </c>
      <c r="K637" s="20" t="str">
        <f t="array" ref="K637">IFERROR(INDEX(dim_date!H:H,MATCH(A637,dim_date!A:A,0)),"")</f>
        <v>Jun</v>
      </c>
      <c r="L637" s="20" t="str">
        <f t="array" ref="L637">IFERROR(INDEX(dim_date!G:G,MATCH(A637,dim_date!A:A,0)),"")</f>
        <v>06</v>
      </c>
      <c r="M637" s="9" t="str">
        <f t="array" ref="M637">IFERROR(INDEX(dim_date!I:I,MATCH(A637,dim_date!A:A,0)),"")</f>
        <v>Q2</v>
      </c>
      <c r="N637" s="20" t="str">
        <f t="array" ref="N637">IFERROR(INDEX(dim_date!K:K,MATCH(A637,dim_date!A:A,0)),"")</f>
        <v>23</v>
      </c>
      <c r="O637" s="9" t="str">
        <f t="array" ref="O637">IFERROR(INDEX(dim_date!F:F,MATCH(A637,dim_date!A:A,0)),"")</f>
        <v>5/31-6/6</v>
      </c>
      <c r="P637" s="9" t="str">
        <f t="array" ref="P637">IFERROR(INDEX(dim_kpi!E:E,MATCH(D637,dim_kpi!C:C,0)),"")</f>
        <v>text/%</v>
      </c>
      <c r="Q637" s="9" t="str">
        <f t="array" ref="Q637">IFERROR(INDEX(dim_kpi!F:F,MATCH(D637,dim_kpi!C:C,0)),"")</f>
        <v>N</v>
      </c>
    </row>
    <row r="638" ht="12.75" customHeight="1">
      <c r="A638" s="20" t="str">
        <f>fact_kpi_weekly!A638</f>
        <v>260607</v>
      </c>
      <c r="B638" s="21">
        <f>fact_kpi_weekly!B638</f>
        <v>46180</v>
      </c>
      <c r="C638" s="9" t="str">
        <f>fact_kpi_weekly!C638</f>
        <v>Growth</v>
      </c>
      <c r="D638" s="9" t="str">
        <f>fact_kpi_weekly!D638</f>
        <v>Agent Resource Cost Mix (FTE/NS/OS)</v>
      </c>
      <c r="E638" s="9" t="str">
        <f>fact_kpi_weekly!E638</f>
        <v>Goal</v>
      </c>
      <c r="F638" s="9" t="str">
        <f>IF(fact_kpi_weekly!F638="","",fact_kpi_weekly!F638)</f>
        <v/>
      </c>
      <c r="G638" s="9" t="str">
        <f>fact_kpi_weekly!G638</f>
        <v>N/A</v>
      </c>
      <c r="H638" s="9" t="str">
        <f>fact_kpi_weekly!H638</f>
        <v>Luke</v>
      </c>
      <c r="I638" s="9" t="str">
        <f>fact_kpi_weekly!I638</f>
        <v>13/61/26%</v>
      </c>
      <c r="J638" s="22" t="str">
        <f>fact_kpi_weekly!J638</f>
        <v/>
      </c>
      <c r="K638" s="20" t="str">
        <f t="array" ref="K638">IFERROR(INDEX(dim_date!H:H,MATCH(A638,dim_date!A:A,0)),"")</f>
        <v>Jun</v>
      </c>
      <c r="L638" s="20" t="str">
        <f t="array" ref="L638">IFERROR(INDEX(dim_date!G:G,MATCH(A638,dim_date!A:A,0)),"")</f>
        <v>06</v>
      </c>
      <c r="M638" s="9" t="str">
        <f t="array" ref="M638">IFERROR(INDEX(dim_date!I:I,MATCH(A638,dim_date!A:A,0)),"")</f>
        <v>Q2</v>
      </c>
      <c r="N638" s="20" t="str">
        <f t="array" ref="N638">IFERROR(INDEX(dim_date!K:K,MATCH(A638,dim_date!A:A,0)),"")</f>
        <v>24</v>
      </c>
      <c r="O638" s="9" t="str">
        <f t="array" ref="O638">IFERROR(INDEX(dim_date!F:F,MATCH(A638,dim_date!A:A,0)),"")</f>
        <v>6/7-6/13</v>
      </c>
      <c r="P638" s="9" t="str">
        <f t="array" ref="P638">IFERROR(INDEX(dim_kpi!E:E,MATCH(D638,dim_kpi!C:C,0)),"")</f>
        <v>text/%</v>
      </c>
      <c r="Q638" s="9" t="str">
        <f t="array" ref="Q638">IFERROR(INDEX(dim_kpi!F:F,MATCH(D638,dim_kpi!C:C,0)),"")</f>
        <v>N</v>
      </c>
    </row>
    <row r="639" ht="12.75" customHeight="1">
      <c r="A639" s="20" t="str">
        <f>fact_kpi_weekly!A639</f>
        <v>260614</v>
      </c>
      <c r="B639" s="21">
        <f>fact_kpi_weekly!B639</f>
        <v>46187</v>
      </c>
      <c r="C639" s="9" t="str">
        <f>fact_kpi_weekly!C639</f>
        <v>Growth</v>
      </c>
      <c r="D639" s="9" t="str">
        <f>fact_kpi_weekly!D639</f>
        <v>Agent Resource Cost Mix (FTE/NS/OS)</v>
      </c>
      <c r="E639" s="9" t="str">
        <f>fact_kpi_weekly!E639</f>
        <v>Goal</v>
      </c>
      <c r="F639" s="9" t="str">
        <f>IF(fact_kpi_weekly!F639="","",fact_kpi_weekly!F639)</f>
        <v/>
      </c>
      <c r="G639" s="9" t="str">
        <f>fact_kpi_weekly!G639</f>
        <v>N/A</v>
      </c>
      <c r="H639" s="9" t="str">
        <f>fact_kpi_weekly!H639</f>
        <v>Luke</v>
      </c>
      <c r="I639" s="9" t="str">
        <f>fact_kpi_weekly!I639</f>
        <v>13/61/26%</v>
      </c>
      <c r="J639" s="22" t="str">
        <f>fact_kpi_weekly!J639</f>
        <v/>
      </c>
      <c r="K639" s="20" t="str">
        <f t="array" ref="K639">IFERROR(INDEX(dim_date!H:H,MATCH(A639,dim_date!A:A,0)),"")</f>
        <v>Jun</v>
      </c>
      <c r="L639" s="20" t="str">
        <f t="array" ref="L639">IFERROR(INDEX(dim_date!G:G,MATCH(A639,dim_date!A:A,0)),"")</f>
        <v>06</v>
      </c>
      <c r="M639" s="9" t="str">
        <f t="array" ref="M639">IFERROR(INDEX(dim_date!I:I,MATCH(A639,dim_date!A:A,0)),"")</f>
        <v>Q2</v>
      </c>
      <c r="N639" s="20" t="str">
        <f t="array" ref="N639">IFERROR(INDEX(dim_date!K:K,MATCH(A639,dim_date!A:A,0)),"")</f>
        <v>25</v>
      </c>
      <c r="O639" s="9" t="str">
        <f t="array" ref="O639">IFERROR(INDEX(dim_date!F:F,MATCH(A639,dim_date!A:A,0)),"")</f>
        <v>6/14-6/20</v>
      </c>
      <c r="P639" s="9" t="str">
        <f t="array" ref="P639">IFERROR(INDEX(dim_kpi!E:E,MATCH(D639,dim_kpi!C:C,0)),"")</f>
        <v>text/%</v>
      </c>
      <c r="Q639" s="9" t="str">
        <f t="array" ref="Q639">IFERROR(INDEX(dim_kpi!F:F,MATCH(D639,dim_kpi!C:C,0)),"")</f>
        <v>N</v>
      </c>
    </row>
    <row r="640" ht="12.75" customHeight="1">
      <c r="A640" s="20" t="str">
        <f>fact_kpi_weekly!A640</f>
        <v>260621</v>
      </c>
      <c r="B640" s="21">
        <f>fact_kpi_weekly!B640</f>
        <v>46194</v>
      </c>
      <c r="C640" s="9" t="str">
        <f>fact_kpi_weekly!C640</f>
        <v>Growth</v>
      </c>
      <c r="D640" s="9" t="str">
        <f>fact_kpi_weekly!D640</f>
        <v>Agent Resource Cost Mix (FTE/NS/OS)</v>
      </c>
      <c r="E640" s="9" t="str">
        <f>fact_kpi_weekly!E640</f>
        <v>Goal</v>
      </c>
      <c r="F640" s="9" t="str">
        <f>IF(fact_kpi_weekly!F640="","",fact_kpi_weekly!F640)</f>
        <v/>
      </c>
      <c r="G640" s="9" t="str">
        <f>fact_kpi_weekly!G640</f>
        <v>N/A</v>
      </c>
      <c r="H640" s="9" t="str">
        <f>fact_kpi_weekly!H640</f>
        <v>Luke</v>
      </c>
      <c r="I640" s="9" t="str">
        <f>fact_kpi_weekly!I640</f>
        <v>13/61/26%</v>
      </c>
      <c r="J640" s="22" t="str">
        <f>fact_kpi_weekly!J640</f>
        <v/>
      </c>
      <c r="K640" s="20" t="str">
        <f t="array" ref="K640">IFERROR(INDEX(dim_date!H:H,MATCH(A640,dim_date!A:A,0)),"")</f>
        <v>Jun</v>
      </c>
      <c r="L640" s="20" t="str">
        <f t="array" ref="L640">IFERROR(INDEX(dim_date!G:G,MATCH(A640,dim_date!A:A,0)),"")</f>
        <v>06</v>
      </c>
      <c r="M640" s="9" t="str">
        <f t="array" ref="M640">IFERROR(INDEX(dim_date!I:I,MATCH(A640,dim_date!A:A,0)),"")</f>
        <v>Q2</v>
      </c>
      <c r="N640" s="20" t="str">
        <f t="array" ref="N640">IFERROR(INDEX(dim_date!K:K,MATCH(A640,dim_date!A:A,0)),"")</f>
        <v>26</v>
      </c>
      <c r="O640" s="9" t="str">
        <f t="array" ref="O640">IFERROR(INDEX(dim_date!F:F,MATCH(A640,dim_date!A:A,0)),"")</f>
        <v>6/21-6/27</v>
      </c>
      <c r="P640" s="9" t="str">
        <f t="array" ref="P640">IFERROR(INDEX(dim_kpi!E:E,MATCH(D640,dim_kpi!C:C,0)),"")</f>
        <v>text/%</v>
      </c>
      <c r="Q640" s="9" t="str">
        <f t="array" ref="Q640">IFERROR(INDEX(dim_kpi!F:F,MATCH(D640,dim_kpi!C:C,0)),"")</f>
        <v>N</v>
      </c>
    </row>
    <row r="641" ht="12.75" customHeight="1">
      <c r="A641" s="20" t="str">
        <f>fact_kpi_weekly!A641</f>
        <v>260628</v>
      </c>
      <c r="B641" s="21">
        <f>fact_kpi_weekly!B641</f>
        <v>46201</v>
      </c>
      <c r="C641" s="9" t="str">
        <f>fact_kpi_weekly!C641</f>
        <v>Growth</v>
      </c>
      <c r="D641" s="9" t="str">
        <f>fact_kpi_weekly!D641</f>
        <v>Agent Resource Cost Mix (FTE/NS/OS)</v>
      </c>
      <c r="E641" s="9" t="str">
        <f>fact_kpi_weekly!E641</f>
        <v>Goal</v>
      </c>
      <c r="F641" s="9" t="str">
        <f>IF(fact_kpi_weekly!F641="","",fact_kpi_weekly!F641)</f>
        <v/>
      </c>
      <c r="G641" s="9" t="str">
        <f>fact_kpi_weekly!G641</f>
        <v>N/A</v>
      </c>
      <c r="H641" s="9" t="str">
        <f>fact_kpi_weekly!H641</f>
        <v>Luke</v>
      </c>
      <c r="I641" s="9" t="str">
        <f>fact_kpi_weekly!I641</f>
        <v>13/62/26%</v>
      </c>
      <c r="J641" s="22" t="str">
        <f>fact_kpi_weekly!J641</f>
        <v/>
      </c>
      <c r="K641" s="20" t="str">
        <f t="array" ref="K641">IFERROR(INDEX(dim_date!H:H,MATCH(A641,dim_date!A:A,0)),"")</f>
        <v>Jun</v>
      </c>
      <c r="L641" s="20" t="str">
        <f t="array" ref="L641">IFERROR(INDEX(dim_date!G:G,MATCH(A641,dim_date!A:A,0)),"")</f>
        <v>06</v>
      </c>
      <c r="M641" s="9" t="str">
        <f t="array" ref="M641">IFERROR(INDEX(dim_date!I:I,MATCH(A641,dim_date!A:A,0)),"")</f>
        <v>Q2</v>
      </c>
      <c r="N641" s="20" t="str">
        <f t="array" ref="N641">IFERROR(INDEX(dim_date!K:K,MATCH(A641,dim_date!A:A,0)),"")</f>
        <v>27</v>
      </c>
      <c r="O641" s="9" t="str">
        <f t="array" ref="O641">IFERROR(INDEX(dim_date!F:F,MATCH(A641,dim_date!A:A,0)),"")</f>
        <v>6/28-7/4</v>
      </c>
      <c r="P641" s="9" t="str">
        <f t="array" ref="P641">IFERROR(INDEX(dim_kpi!E:E,MATCH(D641,dim_kpi!C:C,0)),"")</f>
        <v>text/%</v>
      </c>
      <c r="Q641" s="9" t="str">
        <f t="array" ref="Q641">IFERROR(INDEX(dim_kpi!F:F,MATCH(D641,dim_kpi!C:C,0)),"")</f>
        <v>N</v>
      </c>
    </row>
    <row r="642" ht="12.75" customHeight="1">
      <c r="A642" s="20" t="str">
        <f>fact_kpi_weekly!A642</f>
        <v>260705</v>
      </c>
      <c r="B642" s="21">
        <f>fact_kpi_weekly!B642</f>
        <v>46208</v>
      </c>
      <c r="C642" s="9" t="str">
        <f>fact_kpi_weekly!C642</f>
        <v>Growth</v>
      </c>
      <c r="D642" s="9" t="str">
        <f>fact_kpi_weekly!D642</f>
        <v>Agent Resource Cost Mix (FTE/NS/OS)</v>
      </c>
      <c r="E642" s="9" t="str">
        <f>fact_kpi_weekly!E642</f>
        <v>Goal</v>
      </c>
      <c r="F642" s="9" t="str">
        <f>IF(fact_kpi_weekly!F642="","",fact_kpi_weekly!F642)</f>
        <v/>
      </c>
      <c r="G642" s="9" t="str">
        <f>fact_kpi_weekly!G642</f>
        <v>N/A</v>
      </c>
      <c r="H642" s="9" t="str">
        <f>fact_kpi_weekly!H642</f>
        <v>Luke</v>
      </c>
      <c r="I642" s="9" t="str">
        <f>fact_kpi_weekly!I642</f>
        <v>0/26/74%</v>
      </c>
      <c r="J642" s="22" t="str">
        <f>fact_kpi_weekly!J642</f>
        <v/>
      </c>
      <c r="K642" s="20" t="str">
        <f t="array" ref="K642">IFERROR(INDEX(dim_date!H:H,MATCH(A642,dim_date!A:A,0)),"")</f>
        <v>Jul</v>
      </c>
      <c r="L642" s="20" t="str">
        <f t="array" ref="L642">IFERROR(INDEX(dim_date!G:G,MATCH(A642,dim_date!A:A,0)),"")</f>
        <v>07</v>
      </c>
      <c r="M642" s="9" t="str">
        <f t="array" ref="M642">IFERROR(INDEX(dim_date!I:I,MATCH(A642,dim_date!A:A,0)),"")</f>
        <v>Q3</v>
      </c>
      <c r="N642" s="20" t="str">
        <f t="array" ref="N642">IFERROR(INDEX(dim_date!K:K,MATCH(A642,dim_date!A:A,0)),"")</f>
        <v>28</v>
      </c>
      <c r="O642" s="9" t="str">
        <f t="array" ref="O642">IFERROR(INDEX(dim_date!F:F,MATCH(A642,dim_date!A:A,0)),"")</f>
        <v>7/5-7/11</v>
      </c>
      <c r="P642" s="9" t="str">
        <f t="array" ref="P642">IFERROR(INDEX(dim_kpi!E:E,MATCH(D642,dim_kpi!C:C,0)),"")</f>
        <v>text/%</v>
      </c>
      <c r="Q642" s="9" t="str">
        <f t="array" ref="Q642">IFERROR(INDEX(dim_kpi!F:F,MATCH(D642,dim_kpi!C:C,0)),"")</f>
        <v>N</v>
      </c>
    </row>
    <row r="643" ht="12.75" customHeight="1">
      <c r="A643" s="20" t="str">
        <f>fact_kpi_weekly!A643</f>
        <v>260712</v>
      </c>
      <c r="B643" s="21">
        <f>fact_kpi_weekly!B643</f>
        <v>46215</v>
      </c>
      <c r="C643" s="9" t="str">
        <f>fact_kpi_weekly!C643</f>
        <v>Growth</v>
      </c>
      <c r="D643" s="9" t="str">
        <f>fact_kpi_weekly!D643</f>
        <v>Agent Resource Cost Mix (FTE/NS/OS)</v>
      </c>
      <c r="E643" s="9" t="str">
        <f>fact_kpi_weekly!E643</f>
        <v>Goal</v>
      </c>
      <c r="F643" s="9" t="str">
        <f>IF(fact_kpi_weekly!F643="","",fact_kpi_weekly!F643)</f>
        <v/>
      </c>
      <c r="G643" s="9" t="str">
        <f>fact_kpi_weekly!G643</f>
        <v>N/A</v>
      </c>
      <c r="H643" s="9" t="str">
        <f>fact_kpi_weekly!H643</f>
        <v>Luke</v>
      </c>
      <c r="I643" s="9" t="str">
        <f>fact_kpi_weekly!I643</f>
        <v>0/26/74%</v>
      </c>
      <c r="J643" s="22" t="str">
        <f>fact_kpi_weekly!J643</f>
        <v/>
      </c>
      <c r="K643" s="20" t="str">
        <f t="array" ref="K643">IFERROR(INDEX(dim_date!H:H,MATCH(A643,dim_date!A:A,0)),"")</f>
        <v>Jul</v>
      </c>
      <c r="L643" s="20" t="str">
        <f t="array" ref="L643">IFERROR(INDEX(dim_date!G:G,MATCH(A643,dim_date!A:A,0)),"")</f>
        <v>07</v>
      </c>
      <c r="M643" s="9" t="str">
        <f t="array" ref="M643">IFERROR(INDEX(dim_date!I:I,MATCH(A643,dim_date!A:A,0)),"")</f>
        <v>Q3</v>
      </c>
      <c r="N643" s="20" t="str">
        <f t="array" ref="N643">IFERROR(INDEX(dim_date!K:K,MATCH(A643,dim_date!A:A,0)),"")</f>
        <v>29</v>
      </c>
      <c r="O643" s="9" t="str">
        <f t="array" ref="O643">IFERROR(INDEX(dim_date!F:F,MATCH(A643,dim_date!A:A,0)),"")</f>
        <v>7/12-7/18</v>
      </c>
      <c r="P643" s="9" t="str">
        <f t="array" ref="P643">IFERROR(INDEX(dim_kpi!E:E,MATCH(D643,dim_kpi!C:C,0)),"")</f>
        <v>text/%</v>
      </c>
      <c r="Q643" s="9" t="str">
        <f t="array" ref="Q643">IFERROR(INDEX(dim_kpi!F:F,MATCH(D643,dim_kpi!C:C,0)),"")</f>
        <v>N</v>
      </c>
    </row>
    <row r="644" ht="12.75" customHeight="1">
      <c r="A644" s="20" t="str">
        <f>fact_kpi_weekly!A644</f>
        <v>260719</v>
      </c>
      <c r="B644" s="21">
        <f>fact_kpi_weekly!B644</f>
        <v>46222</v>
      </c>
      <c r="C644" s="9" t="str">
        <f>fact_kpi_weekly!C644</f>
        <v>Growth</v>
      </c>
      <c r="D644" s="9" t="str">
        <f>fact_kpi_weekly!D644</f>
        <v>Agent Resource Cost Mix (FTE/NS/OS)</v>
      </c>
      <c r="E644" s="9" t="str">
        <f>fact_kpi_weekly!E644</f>
        <v>Goal</v>
      </c>
      <c r="F644" s="9" t="str">
        <f>IF(fact_kpi_weekly!F644="","",fact_kpi_weekly!F644)</f>
        <v/>
      </c>
      <c r="G644" s="9" t="str">
        <f>fact_kpi_weekly!G644</f>
        <v>N/A</v>
      </c>
      <c r="H644" s="9" t="str">
        <f>fact_kpi_weekly!H644</f>
        <v>Luke</v>
      </c>
      <c r="I644" s="9" t="str">
        <f>fact_kpi_weekly!I644</f>
        <v>0/26/74%</v>
      </c>
      <c r="J644" s="22" t="str">
        <f>fact_kpi_weekly!J644</f>
        <v/>
      </c>
      <c r="K644" s="20" t="str">
        <f t="array" ref="K644">IFERROR(INDEX(dim_date!H:H,MATCH(A644,dim_date!A:A,0)),"")</f>
        <v>Jul</v>
      </c>
      <c r="L644" s="20" t="str">
        <f t="array" ref="L644">IFERROR(INDEX(dim_date!G:G,MATCH(A644,dim_date!A:A,0)),"")</f>
        <v>07</v>
      </c>
      <c r="M644" s="9" t="str">
        <f t="array" ref="M644">IFERROR(INDEX(dim_date!I:I,MATCH(A644,dim_date!A:A,0)),"")</f>
        <v>Q3</v>
      </c>
      <c r="N644" s="20" t="str">
        <f t="array" ref="N644">IFERROR(INDEX(dim_date!K:K,MATCH(A644,dim_date!A:A,0)),"")</f>
        <v>30</v>
      </c>
      <c r="O644" s="9" t="str">
        <f t="array" ref="O644">IFERROR(INDEX(dim_date!F:F,MATCH(A644,dim_date!A:A,0)),"")</f>
        <v>7/19-7/25</v>
      </c>
      <c r="P644" s="9" t="str">
        <f t="array" ref="P644">IFERROR(INDEX(dim_kpi!E:E,MATCH(D644,dim_kpi!C:C,0)),"")</f>
        <v>text/%</v>
      </c>
      <c r="Q644" s="9" t="str">
        <f t="array" ref="Q644">IFERROR(INDEX(dim_kpi!F:F,MATCH(D644,dim_kpi!C:C,0)),"")</f>
        <v>N</v>
      </c>
    </row>
    <row r="645" ht="12.75" customHeight="1">
      <c r="A645" s="20" t="str">
        <f>fact_kpi_weekly!A645</f>
        <v>260726</v>
      </c>
      <c r="B645" s="21">
        <f>fact_kpi_weekly!B645</f>
        <v>46229</v>
      </c>
      <c r="C645" s="9" t="str">
        <f>fact_kpi_weekly!C645</f>
        <v>Growth</v>
      </c>
      <c r="D645" s="9" t="str">
        <f>fact_kpi_weekly!D645</f>
        <v>Agent Resource Cost Mix (FTE/NS/OS)</v>
      </c>
      <c r="E645" s="9" t="str">
        <f>fact_kpi_weekly!E645</f>
        <v>Goal</v>
      </c>
      <c r="F645" s="9" t="str">
        <f>IF(fact_kpi_weekly!F645="","",fact_kpi_weekly!F645)</f>
        <v/>
      </c>
      <c r="G645" s="9" t="str">
        <f>fact_kpi_weekly!G645</f>
        <v>N/A</v>
      </c>
      <c r="H645" s="9" t="str">
        <f>fact_kpi_weekly!H645</f>
        <v>Luke</v>
      </c>
      <c r="I645" s="9" t="str">
        <f>fact_kpi_weekly!I645</f>
        <v>0/26/74%</v>
      </c>
      <c r="J645" s="22" t="str">
        <f>fact_kpi_weekly!J645</f>
        <v/>
      </c>
      <c r="K645" s="20" t="str">
        <f t="array" ref="K645">IFERROR(INDEX(dim_date!H:H,MATCH(A645,dim_date!A:A,0)),"")</f>
        <v>Jul</v>
      </c>
      <c r="L645" s="20" t="str">
        <f t="array" ref="L645">IFERROR(INDEX(dim_date!G:G,MATCH(A645,dim_date!A:A,0)),"")</f>
        <v>07</v>
      </c>
      <c r="M645" s="9" t="str">
        <f t="array" ref="M645">IFERROR(INDEX(dim_date!I:I,MATCH(A645,dim_date!A:A,0)),"")</f>
        <v>Q3</v>
      </c>
      <c r="N645" s="20" t="str">
        <f t="array" ref="N645">IFERROR(INDEX(dim_date!K:K,MATCH(A645,dim_date!A:A,0)),"")</f>
        <v>31</v>
      </c>
      <c r="O645" s="9" t="str">
        <f t="array" ref="O645">IFERROR(INDEX(dim_date!F:F,MATCH(A645,dim_date!A:A,0)),"")</f>
        <v>7/26-8/1</v>
      </c>
      <c r="P645" s="9" t="str">
        <f t="array" ref="P645">IFERROR(INDEX(dim_kpi!E:E,MATCH(D645,dim_kpi!C:C,0)),"")</f>
        <v>text/%</v>
      </c>
      <c r="Q645" s="9" t="str">
        <f t="array" ref="Q645">IFERROR(INDEX(dim_kpi!F:F,MATCH(D645,dim_kpi!C:C,0)),"")</f>
        <v>N</v>
      </c>
    </row>
    <row r="646" ht="12.75" customHeight="1">
      <c r="A646" s="20" t="str">
        <f>fact_kpi_weekly!A646</f>
        <v>260802</v>
      </c>
      <c r="B646" s="21">
        <f>fact_kpi_weekly!B646</f>
        <v>46236</v>
      </c>
      <c r="C646" s="9" t="str">
        <f>fact_kpi_weekly!C646</f>
        <v>Growth</v>
      </c>
      <c r="D646" s="9" t="str">
        <f>fact_kpi_weekly!D646</f>
        <v>Agent Resource Cost Mix (FTE/NS/OS)</v>
      </c>
      <c r="E646" s="9" t="str">
        <f>fact_kpi_weekly!E646</f>
        <v>Goal</v>
      </c>
      <c r="F646" s="9" t="str">
        <f>IF(fact_kpi_weekly!F646="","",fact_kpi_weekly!F646)</f>
        <v/>
      </c>
      <c r="G646" s="9" t="str">
        <f>fact_kpi_weekly!G646</f>
        <v>N/A</v>
      </c>
      <c r="H646" s="9" t="str">
        <f>fact_kpi_weekly!H646</f>
        <v>Luke</v>
      </c>
      <c r="I646" s="9" t="str">
        <f>fact_kpi_weekly!I646</f>
        <v>0/23/77%</v>
      </c>
      <c r="J646" s="22" t="str">
        <f>fact_kpi_weekly!J646</f>
        <v/>
      </c>
      <c r="K646" s="20" t="str">
        <f t="array" ref="K646">IFERROR(INDEX(dim_date!H:H,MATCH(A646,dim_date!A:A,0)),"")</f>
        <v>Aug</v>
      </c>
      <c r="L646" s="20" t="str">
        <f t="array" ref="L646">IFERROR(INDEX(dim_date!G:G,MATCH(A646,dim_date!A:A,0)),"")</f>
        <v>08</v>
      </c>
      <c r="M646" s="9" t="str">
        <f t="array" ref="M646">IFERROR(INDEX(dim_date!I:I,MATCH(A646,dim_date!A:A,0)),"")</f>
        <v>Q3</v>
      </c>
      <c r="N646" s="20" t="str">
        <f t="array" ref="N646">IFERROR(INDEX(dim_date!K:K,MATCH(A646,dim_date!A:A,0)),"")</f>
        <v>32</v>
      </c>
      <c r="O646" s="9" t="str">
        <f t="array" ref="O646">IFERROR(INDEX(dim_date!F:F,MATCH(A646,dim_date!A:A,0)),"")</f>
        <v>8/2-8/8</v>
      </c>
      <c r="P646" s="9" t="str">
        <f t="array" ref="P646">IFERROR(INDEX(dim_kpi!E:E,MATCH(D646,dim_kpi!C:C,0)),"")</f>
        <v>text/%</v>
      </c>
      <c r="Q646" s="9" t="str">
        <f t="array" ref="Q646">IFERROR(INDEX(dim_kpi!F:F,MATCH(D646,dim_kpi!C:C,0)),"")</f>
        <v>N</v>
      </c>
    </row>
    <row r="647" ht="12.75" customHeight="1">
      <c r="A647" s="20" t="str">
        <f>fact_kpi_weekly!A647</f>
        <v>260809</v>
      </c>
      <c r="B647" s="21">
        <f>fact_kpi_weekly!B647</f>
        <v>46243</v>
      </c>
      <c r="C647" s="9" t="str">
        <f>fact_kpi_weekly!C647</f>
        <v>Growth</v>
      </c>
      <c r="D647" s="9" t="str">
        <f>fact_kpi_weekly!D647</f>
        <v>Agent Resource Cost Mix (FTE/NS/OS)</v>
      </c>
      <c r="E647" s="9" t="str">
        <f>fact_kpi_weekly!E647</f>
        <v>Goal</v>
      </c>
      <c r="F647" s="9" t="str">
        <f>IF(fact_kpi_weekly!F647="","",fact_kpi_weekly!F647)</f>
        <v/>
      </c>
      <c r="G647" s="9" t="str">
        <f>fact_kpi_weekly!G647</f>
        <v>N/A</v>
      </c>
      <c r="H647" s="9" t="str">
        <f>fact_kpi_weekly!H647</f>
        <v>Luke</v>
      </c>
      <c r="I647" s="9" t="str">
        <f>fact_kpi_weekly!I647</f>
        <v>0/23/77%</v>
      </c>
      <c r="J647" s="22" t="str">
        <f>fact_kpi_weekly!J647</f>
        <v/>
      </c>
      <c r="K647" s="20" t="str">
        <f t="array" ref="K647">IFERROR(INDEX(dim_date!H:H,MATCH(A647,dim_date!A:A,0)),"")</f>
        <v>Aug</v>
      </c>
      <c r="L647" s="20" t="str">
        <f t="array" ref="L647">IFERROR(INDEX(dim_date!G:G,MATCH(A647,dim_date!A:A,0)),"")</f>
        <v>08</v>
      </c>
      <c r="M647" s="9" t="str">
        <f t="array" ref="M647">IFERROR(INDEX(dim_date!I:I,MATCH(A647,dim_date!A:A,0)),"")</f>
        <v>Q3</v>
      </c>
      <c r="N647" s="20" t="str">
        <f t="array" ref="N647">IFERROR(INDEX(dim_date!K:K,MATCH(A647,dim_date!A:A,0)),"")</f>
        <v>33</v>
      </c>
      <c r="O647" s="9" t="str">
        <f t="array" ref="O647">IFERROR(INDEX(dim_date!F:F,MATCH(A647,dim_date!A:A,0)),"")</f>
        <v>8/9-8/15</v>
      </c>
      <c r="P647" s="9" t="str">
        <f t="array" ref="P647">IFERROR(INDEX(dim_kpi!E:E,MATCH(D647,dim_kpi!C:C,0)),"")</f>
        <v>text/%</v>
      </c>
      <c r="Q647" s="9" t="str">
        <f t="array" ref="Q647">IFERROR(INDEX(dim_kpi!F:F,MATCH(D647,dim_kpi!C:C,0)),"")</f>
        <v>N</v>
      </c>
    </row>
    <row r="648" ht="12.75" customHeight="1">
      <c r="A648" s="20" t="str">
        <f>fact_kpi_weekly!A648</f>
        <v>260816</v>
      </c>
      <c r="B648" s="21">
        <f>fact_kpi_weekly!B648</f>
        <v>46250</v>
      </c>
      <c r="C648" s="9" t="str">
        <f>fact_kpi_weekly!C648</f>
        <v>Growth</v>
      </c>
      <c r="D648" s="9" t="str">
        <f>fact_kpi_weekly!D648</f>
        <v>Agent Resource Cost Mix (FTE/NS/OS)</v>
      </c>
      <c r="E648" s="9" t="str">
        <f>fact_kpi_weekly!E648</f>
        <v>Goal</v>
      </c>
      <c r="F648" s="9" t="str">
        <f>IF(fact_kpi_weekly!F648="","",fact_kpi_weekly!F648)</f>
        <v/>
      </c>
      <c r="G648" s="9" t="str">
        <f>fact_kpi_weekly!G648</f>
        <v>N/A</v>
      </c>
      <c r="H648" s="9" t="str">
        <f>fact_kpi_weekly!H648</f>
        <v>Luke</v>
      </c>
      <c r="I648" s="9" t="str">
        <f>fact_kpi_weekly!I648</f>
        <v>0/23/77%</v>
      </c>
      <c r="J648" s="22" t="str">
        <f>fact_kpi_weekly!J648</f>
        <v/>
      </c>
      <c r="K648" s="20" t="str">
        <f t="array" ref="K648">IFERROR(INDEX(dim_date!H:H,MATCH(A648,dim_date!A:A,0)),"")</f>
        <v>Aug</v>
      </c>
      <c r="L648" s="20" t="str">
        <f t="array" ref="L648">IFERROR(INDEX(dim_date!G:G,MATCH(A648,dim_date!A:A,0)),"")</f>
        <v>08</v>
      </c>
      <c r="M648" s="9" t="str">
        <f t="array" ref="M648">IFERROR(INDEX(dim_date!I:I,MATCH(A648,dim_date!A:A,0)),"")</f>
        <v>Q3</v>
      </c>
      <c r="N648" s="20" t="str">
        <f t="array" ref="N648">IFERROR(INDEX(dim_date!K:K,MATCH(A648,dim_date!A:A,0)),"")</f>
        <v>34</v>
      </c>
      <c r="O648" s="9" t="str">
        <f t="array" ref="O648">IFERROR(INDEX(dim_date!F:F,MATCH(A648,dim_date!A:A,0)),"")</f>
        <v>8/16-8/22</v>
      </c>
      <c r="P648" s="9" t="str">
        <f t="array" ref="P648">IFERROR(INDEX(dim_kpi!E:E,MATCH(D648,dim_kpi!C:C,0)),"")</f>
        <v>text/%</v>
      </c>
      <c r="Q648" s="9" t="str">
        <f t="array" ref="Q648">IFERROR(INDEX(dim_kpi!F:F,MATCH(D648,dim_kpi!C:C,0)),"")</f>
        <v>N</v>
      </c>
    </row>
    <row r="649" ht="12.75" customHeight="1">
      <c r="A649" s="20" t="str">
        <f>fact_kpi_weekly!A649</f>
        <v>260823</v>
      </c>
      <c r="B649" s="21">
        <f>fact_kpi_weekly!B649</f>
        <v>46257</v>
      </c>
      <c r="C649" s="9" t="str">
        <f>fact_kpi_weekly!C649</f>
        <v>Growth</v>
      </c>
      <c r="D649" s="9" t="str">
        <f>fact_kpi_weekly!D649</f>
        <v>Agent Resource Cost Mix (FTE/NS/OS)</v>
      </c>
      <c r="E649" s="9" t="str">
        <f>fact_kpi_weekly!E649</f>
        <v>Goal</v>
      </c>
      <c r="F649" s="9" t="str">
        <f>IF(fact_kpi_weekly!F649="","",fact_kpi_weekly!F649)</f>
        <v/>
      </c>
      <c r="G649" s="9" t="str">
        <f>fact_kpi_weekly!G649</f>
        <v>N/A</v>
      </c>
      <c r="H649" s="9" t="str">
        <f>fact_kpi_weekly!H649</f>
        <v>Luke</v>
      </c>
      <c r="I649" s="9" t="str">
        <f>fact_kpi_weekly!I649</f>
        <v>0/23/77%</v>
      </c>
      <c r="J649" s="22" t="str">
        <f>fact_kpi_weekly!J649</f>
        <v/>
      </c>
      <c r="K649" s="20" t="str">
        <f t="array" ref="K649">IFERROR(INDEX(dim_date!H:H,MATCH(A649,dim_date!A:A,0)),"")</f>
        <v>Aug</v>
      </c>
      <c r="L649" s="20" t="str">
        <f t="array" ref="L649">IFERROR(INDEX(dim_date!G:G,MATCH(A649,dim_date!A:A,0)),"")</f>
        <v>08</v>
      </c>
      <c r="M649" s="9" t="str">
        <f t="array" ref="M649">IFERROR(INDEX(dim_date!I:I,MATCH(A649,dim_date!A:A,0)),"")</f>
        <v>Q3</v>
      </c>
      <c r="N649" s="20" t="str">
        <f t="array" ref="N649">IFERROR(INDEX(dim_date!K:K,MATCH(A649,dim_date!A:A,0)),"")</f>
        <v>35</v>
      </c>
      <c r="O649" s="9" t="str">
        <f t="array" ref="O649">IFERROR(INDEX(dim_date!F:F,MATCH(A649,dim_date!A:A,0)),"")</f>
        <v>8/23-8/29</v>
      </c>
      <c r="P649" s="9" t="str">
        <f t="array" ref="P649">IFERROR(INDEX(dim_kpi!E:E,MATCH(D649,dim_kpi!C:C,0)),"")</f>
        <v>text/%</v>
      </c>
      <c r="Q649" s="9" t="str">
        <f t="array" ref="Q649">IFERROR(INDEX(dim_kpi!F:F,MATCH(D649,dim_kpi!C:C,0)),"")</f>
        <v>N</v>
      </c>
    </row>
    <row r="650" ht="12.75" customHeight="1">
      <c r="A650" s="20" t="str">
        <f>fact_kpi_weekly!A650</f>
        <v>260830</v>
      </c>
      <c r="B650" s="21">
        <f>fact_kpi_weekly!B650</f>
        <v>46264</v>
      </c>
      <c r="C650" s="9" t="str">
        <f>fact_kpi_weekly!C650</f>
        <v>Growth</v>
      </c>
      <c r="D650" s="9" t="str">
        <f>fact_kpi_weekly!D650</f>
        <v>Agent Resource Cost Mix (FTE/NS/OS)</v>
      </c>
      <c r="E650" s="9" t="str">
        <f>fact_kpi_weekly!E650</f>
        <v>Goal</v>
      </c>
      <c r="F650" s="9" t="str">
        <f>IF(fact_kpi_weekly!F650="","",fact_kpi_weekly!F650)</f>
        <v/>
      </c>
      <c r="G650" s="9" t="str">
        <f>fact_kpi_weekly!G650</f>
        <v>N/A</v>
      </c>
      <c r="H650" s="9" t="str">
        <f>fact_kpi_weekly!H650</f>
        <v>Luke</v>
      </c>
      <c r="I650" s="9" t="str">
        <f>fact_kpi_weekly!I650</f>
        <v>0/22/78%</v>
      </c>
      <c r="J650" s="22" t="str">
        <f>fact_kpi_weekly!J650</f>
        <v/>
      </c>
      <c r="K650" s="20" t="str">
        <f t="array" ref="K650">IFERROR(INDEX(dim_date!H:H,MATCH(A650,dim_date!A:A,0)),"")</f>
        <v>Aug</v>
      </c>
      <c r="L650" s="20" t="str">
        <f t="array" ref="L650">IFERROR(INDEX(dim_date!G:G,MATCH(A650,dim_date!A:A,0)),"")</f>
        <v>08</v>
      </c>
      <c r="M650" s="9" t="str">
        <f t="array" ref="M650">IFERROR(INDEX(dim_date!I:I,MATCH(A650,dim_date!A:A,0)),"")</f>
        <v>Q3</v>
      </c>
      <c r="N650" s="20" t="str">
        <f t="array" ref="N650">IFERROR(INDEX(dim_date!K:K,MATCH(A650,dim_date!A:A,0)),"")</f>
        <v>36</v>
      </c>
      <c r="O650" s="9" t="str">
        <f t="array" ref="O650">IFERROR(INDEX(dim_date!F:F,MATCH(A650,dim_date!A:A,0)),"")</f>
        <v>8/30-9/5</v>
      </c>
      <c r="P650" s="9" t="str">
        <f t="array" ref="P650">IFERROR(INDEX(dim_kpi!E:E,MATCH(D650,dim_kpi!C:C,0)),"")</f>
        <v>text/%</v>
      </c>
      <c r="Q650" s="9" t="str">
        <f t="array" ref="Q650">IFERROR(INDEX(dim_kpi!F:F,MATCH(D650,dim_kpi!C:C,0)),"")</f>
        <v>N</v>
      </c>
    </row>
    <row r="651" ht="12.75" customHeight="1">
      <c r="A651" s="20" t="str">
        <f>fact_kpi_weekly!A651</f>
        <v>260906</v>
      </c>
      <c r="B651" s="21">
        <f>fact_kpi_weekly!B651</f>
        <v>46271</v>
      </c>
      <c r="C651" s="9" t="str">
        <f>fact_kpi_weekly!C651</f>
        <v>Growth</v>
      </c>
      <c r="D651" s="9" t="str">
        <f>fact_kpi_weekly!D651</f>
        <v>Agent Resource Cost Mix (FTE/NS/OS)</v>
      </c>
      <c r="E651" s="9" t="str">
        <f>fact_kpi_weekly!E651</f>
        <v>Goal</v>
      </c>
      <c r="F651" s="9" t="str">
        <f>IF(fact_kpi_weekly!F651="","",fact_kpi_weekly!F651)</f>
        <v/>
      </c>
      <c r="G651" s="9" t="str">
        <f>fact_kpi_weekly!G651</f>
        <v>N/A</v>
      </c>
      <c r="H651" s="9" t="str">
        <f>fact_kpi_weekly!H651</f>
        <v>Luke</v>
      </c>
      <c r="I651" s="9" t="str">
        <f>fact_kpi_weekly!I651</f>
        <v>0/22/78%</v>
      </c>
      <c r="J651" s="22" t="str">
        <f>fact_kpi_weekly!J651</f>
        <v/>
      </c>
      <c r="K651" s="20" t="str">
        <f t="array" ref="K651">IFERROR(INDEX(dim_date!H:H,MATCH(A651,dim_date!A:A,0)),"")</f>
        <v>Sep</v>
      </c>
      <c r="L651" s="20" t="str">
        <f t="array" ref="L651">IFERROR(INDEX(dim_date!G:G,MATCH(A651,dim_date!A:A,0)),"")</f>
        <v>09</v>
      </c>
      <c r="M651" s="9" t="str">
        <f t="array" ref="M651">IFERROR(INDEX(dim_date!I:I,MATCH(A651,dim_date!A:A,0)),"")</f>
        <v>Q3</v>
      </c>
      <c r="N651" s="20" t="str">
        <f t="array" ref="N651">IFERROR(INDEX(dim_date!K:K,MATCH(A651,dim_date!A:A,0)),"")</f>
        <v>37</v>
      </c>
      <c r="O651" s="9" t="str">
        <f t="array" ref="O651">IFERROR(INDEX(dim_date!F:F,MATCH(A651,dim_date!A:A,0)),"")</f>
        <v>9/6-9/12</v>
      </c>
      <c r="P651" s="9" t="str">
        <f t="array" ref="P651">IFERROR(INDEX(dim_kpi!E:E,MATCH(D651,dim_kpi!C:C,0)),"")</f>
        <v>text/%</v>
      </c>
      <c r="Q651" s="9" t="str">
        <f t="array" ref="Q651">IFERROR(INDEX(dim_kpi!F:F,MATCH(D651,dim_kpi!C:C,0)),"")</f>
        <v>N</v>
      </c>
    </row>
    <row r="652" ht="12.75" customHeight="1">
      <c r="A652" s="20" t="str">
        <f>fact_kpi_weekly!A652</f>
        <v>260913</v>
      </c>
      <c r="B652" s="21">
        <f>fact_kpi_weekly!B652</f>
        <v>46278</v>
      </c>
      <c r="C652" s="9" t="str">
        <f>fact_kpi_weekly!C652</f>
        <v>Growth</v>
      </c>
      <c r="D652" s="9" t="str">
        <f>fact_kpi_weekly!D652</f>
        <v>Agent Resource Cost Mix (FTE/NS/OS)</v>
      </c>
      <c r="E652" s="9" t="str">
        <f>fact_kpi_weekly!E652</f>
        <v>Goal</v>
      </c>
      <c r="F652" s="9" t="str">
        <f>IF(fact_kpi_weekly!F652="","",fact_kpi_weekly!F652)</f>
        <v/>
      </c>
      <c r="G652" s="9" t="str">
        <f>fact_kpi_weekly!G652</f>
        <v>N/A</v>
      </c>
      <c r="H652" s="9" t="str">
        <f>fact_kpi_weekly!H652</f>
        <v>Luke</v>
      </c>
      <c r="I652" s="9" t="str">
        <f>fact_kpi_weekly!I652</f>
        <v>0/22/78%</v>
      </c>
      <c r="J652" s="22" t="str">
        <f>fact_kpi_weekly!J652</f>
        <v/>
      </c>
      <c r="K652" s="20" t="str">
        <f t="array" ref="K652">IFERROR(INDEX(dim_date!H:H,MATCH(A652,dim_date!A:A,0)),"")</f>
        <v>Sep</v>
      </c>
      <c r="L652" s="20" t="str">
        <f t="array" ref="L652">IFERROR(INDEX(dim_date!G:G,MATCH(A652,dim_date!A:A,0)),"")</f>
        <v>09</v>
      </c>
      <c r="M652" s="9" t="str">
        <f t="array" ref="M652">IFERROR(INDEX(dim_date!I:I,MATCH(A652,dim_date!A:A,0)),"")</f>
        <v>Q3</v>
      </c>
      <c r="N652" s="20" t="str">
        <f t="array" ref="N652">IFERROR(INDEX(dim_date!K:K,MATCH(A652,dim_date!A:A,0)),"")</f>
        <v>38</v>
      </c>
      <c r="O652" s="9" t="str">
        <f t="array" ref="O652">IFERROR(INDEX(dim_date!F:F,MATCH(A652,dim_date!A:A,0)),"")</f>
        <v>9/13-9/19</v>
      </c>
      <c r="P652" s="9" t="str">
        <f t="array" ref="P652">IFERROR(INDEX(dim_kpi!E:E,MATCH(D652,dim_kpi!C:C,0)),"")</f>
        <v>text/%</v>
      </c>
      <c r="Q652" s="9" t="str">
        <f t="array" ref="Q652">IFERROR(INDEX(dim_kpi!F:F,MATCH(D652,dim_kpi!C:C,0)),"")</f>
        <v>N</v>
      </c>
    </row>
    <row r="653" ht="12.75" customHeight="1">
      <c r="A653" s="20" t="str">
        <f>fact_kpi_weekly!A653</f>
        <v>260920</v>
      </c>
      <c r="B653" s="21">
        <f>fact_kpi_weekly!B653</f>
        <v>46285</v>
      </c>
      <c r="C653" s="9" t="str">
        <f>fact_kpi_weekly!C653</f>
        <v>Growth</v>
      </c>
      <c r="D653" s="9" t="str">
        <f>fact_kpi_weekly!D653</f>
        <v>Agent Resource Cost Mix (FTE/NS/OS)</v>
      </c>
      <c r="E653" s="9" t="str">
        <f>fact_kpi_weekly!E653</f>
        <v>Goal</v>
      </c>
      <c r="F653" s="9" t="str">
        <f>IF(fact_kpi_weekly!F653="","",fact_kpi_weekly!F653)</f>
        <v/>
      </c>
      <c r="G653" s="9" t="str">
        <f>fact_kpi_weekly!G653</f>
        <v>N/A</v>
      </c>
      <c r="H653" s="9" t="str">
        <f>fact_kpi_weekly!H653</f>
        <v>Luke</v>
      </c>
      <c r="I653" s="9" t="str">
        <f>fact_kpi_weekly!I653</f>
        <v>0/22/78%</v>
      </c>
      <c r="J653" s="22" t="str">
        <f>fact_kpi_weekly!J653</f>
        <v/>
      </c>
      <c r="K653" s="20" t="str">
        <f t="array" ref="K653">IFERROR(INDEX(dim_date!H:H,MATCH(A653,dim_date!A:A,0)),"")</f>
        <v>Sep</v>
      </c>
      <c r="L653" s="20" t="str">
        <f t="array" ref="L653">IFERROR(INDEX(dim_date!G:G,MATCH(A653,dim_date!A:A,0)),"")</f>
        <v>09</v>
      </c>
      <c r="M653" s="9" t="str">
        <f t="array" ref="M653">IFERROR(INDEX(dim_date!I:I,MATCH(A653,dim_date!A:A,0)),"")</f>
        <v>Q3</v>
      </c>
      <c r="N653" s="20" t="str">
        <f t="array" ref="N653">IFERROR(INDEX(dim_date!K:K,MATCH(A653,dim_date!A:A,0)),"")</f>
        <v>39</v>
      </c>
      <c r="O653" s="9" t="str">
        <f t="array" ref="O653">IFERROR(INDEX(dim_date!F:F,MATCH(A653,dim_date!A:A,0)),"")</f>
        <v>9/20-9/26</v>
      </c>
      <c r="P653" s="9" t="str">
        <f t="array" ref="P653">IFERROR(INDEX(dim_kpi!E:E,MATCH(D653,dim_kpi!C:C,0)),"")</f>
        <v>text/%</v>
      </c>
      <c r="Q653" s="9" t="str">
        <f t="array" ref="Q653">IFERROR(INDEX(dim_kpi!F:F,MATCH(D653,dim_kpi!C:C,0)),"")</f>
        <v>N</v>
      </c>
    </row>
    <row r="654" ht="12.75" customHeight="1">
      <c r="A654" s="20" t="str">
        <f>fact_kpi_weekly!A654</f>
        <v>260927</v>
      </c>
      <c r="B654" s="21">
        <f>fact_kpi_weekly!B654</f>
        <v>46292</v>
      </c>
      <c r="C654" s="9" t="str">
        <f>fact_kpi_weekly!C654</f>
        <v>Growth</v>
      </c>
      <c r="D654" s="9" t="str">
        <f>fact_kpi_weekly!D654</f>
        <v>Agent Resource Cost Mix (FTE/NS/OS)</v>
      </c>
      <c r="E654" s="9" t="str">
        <f>fact_kpi_weekly!E654</f>
        <v>Goal</v>
      </c>
      <c r="F654" s="9" t="str">
        <f>IF(fact_kpi_weekly!F654="","",fact_kpi_weekly!F654)</f>
        <v/>
      </c>
      <c r="G654" s="9" t="str">
        <f>fact_kpi_weekly!G654</f>
        <v>N/A</v>
      </c>
      <c r="H654" s="9" t="str">
        <f>fact_kpi_weekly!H654</f>
        <v>Luke</v>
      </c>
      <c r="I654" s="9" t="str">
        <f>fact_kpi_weekly!I654</f>
        <v>0/22/78%</v>
      </c>
      <c r="J654" s="22" t="str">
        <f>fact_kpi_weekly!J654</f>
        <v/>
      </c>
      <c r="K654" s="20" t="str">
        <f t="array" ref="K654">IFERROR(INDEX(dim_date!H:H,MATCH(A654,dim_date!A:A,0)),"")</f>
        <v>Sep</v>
      </c>
      <c r="L654" s="20" t="str">
        <f t="array" ref="L654">IFERROR(INDEX(dim_date!G:G,MATCH(A654,dim_date!A:A,0)),"")</f>
        <v>09</v>
      </c>
      <c r="M654" s="9" t="str">
        <f t="array" ref="M654">IFERROR(INDEX(dim_date!I:I,MATCH(A654,dim_date!A:A,0)),"")</f>
        <v>Q3</v>
      </c>
      <c r="N654" s="20" t="str">
        <f t="array" ref="N654">IFERROR(INDEX(dim_date!K:K,MATCH(A654,dim_date!A:A,0)),"")</f>
        <v>40</v>
      </c>
      <c r="O654" s="9" t="str">
        <f t="array" ref="O654">IFERROR(INDEX(dim_date!F:F,MATCH(A654,dim_date!A:A,0)),"")</f>
        <v>9/27-10/3</v>
      </c>
      <c r="P654" s="9" t="str">
        <f t="array" ref="P654">IFERROR(INDEX(dim_kpi!E:E,MATCH(D654,dim_kpi!C:C,0)),"")</f>
        <v>text/%</v>
      </c>
      <c r="Q654" s="9" t="str">
        <f t="array" ref="Q654">IFERROR(INDEX(dim_kpi!F:F,MATCH(D654,dim_kpi!C:C,0)),"")</f>
        <v>N</v>
      </c>
    </row>
    <row r="655" ht="12.75" customHeight="1">
      <c r="A655" s="20" t="str">
        <f>fact_kpi_weekly!A655</f>
        <v>261004</v>
      </c>
      <c r="B655" s="21">
        <f>fact_kpi_weekly!B655</f>
        <v>46299</v>
      </c>
      <c r="C655" s="9" t="str">
        <f>fact_kpi_weekly!C655</f>
        <v>Growth</v>
      </c>
      <c r="D655" s="9" t="str">
        <f>fact_kpi_weekly!D655</f>
        <v>Agent Resource Cost Mix (FTE/NS/OS)</v>
      </c>
      <c r="E655" s="9" t="str">
        <f>fact_kpi_weekly!E655</f>
        <v>Goal</v>
      </c>
      <c r="F655" s="9" t="str">
        <f>IF(fact_kpi_weekly!F655="","",fact_kpi_weekly!F655)</f>
        <v/>
      </c>
      <c r="G655" s="9" t="str">
        <f>fact_kpi_weekly!G655</f>
        <v>N/A</v>
      </c>
      <c r="H655" s="9" t="str">
        <f>fact_kpi_weekly!H655</f>
        <v>Luke</v>
      </c>
      <c r="I655" s="9" t="str">
        <f>fact_kpi_weekly!I655</f>
        <v>0/20/80%</v>
      </c>
      <c r="J655" s="22" t="str">
        <f>fact_kpi_weekly!J655</f>
        <v/>
      </c>
      <c r="K655" s="20" t="str">
        <f t="array" ref="K655">IFERROR(INDEX(dim_date!H:H,MATCH(A655,dim_date!A:A,0)),"")</f>
        <v>Oct</v>
      </c>
      <c r="L655" s="20" t="str">
        <f t="array" ref="L655">IFERROR(INDEX(dim_date!G:G,MATCH(A655,dim_date!A:A,0)),"")</f>
        <v>10</v>
      </c>
      <c r="M655" s="9" t="str">
        <f t="array" ref="M655">IFERROR(INDEX(dim_date!I:I,MATCH(A655,dim_date!A:A,0)),"")</f>
        <v>Q4</v>
      </c>
      <c r="N655" s="20" t="str">
        <f t="array" ref="N655">IFERROR(INDEX(dim_date!K:K,MATCH(A655,dim_date!A:A,0)),"")</f>
        <v>41</v>
      </c>
      <c r="O655" s="9" t="str">
        <f t="array" ref="O655">IFERROR(INDEX(dim_date!F:F,MATCH(A655,dim_date!A:A,0)),"")</f>
        <v>10/4-10/10</v>
      </c>
      <c r="P655" s="9" t="str">
        <f t="array" ref="P655">IFERROR(INDEX(dim_kpi!E:E,MATCH(D655,dim_kpi!C:C,0)),"")</f>
        <v>text/%</v>
      </c>
      <c r="Q655" s="9" t="str">
        <f t="array" ref="Q655">IFERROR(INDEX(dim_kpi!F:F,MATCH(D655,dim_kpi!C:C,0)),"")</f>
        <v>N</v>
      </c>
    </row>
    <row r="656" ht="12.75" customHeight="1">
      <c r="A656" s="20" t="str">
        <f>fact_kpi_weekly!A656</f>
        <v>261011</v>
      </c>
      <c r="B656" s="21">
        <f>fact_kpi_weekly!B656</f>
        <v>46306</v>
      </c>
      <c r="C656" s="9" t="str">
        <f>fact_kpi_weekly!C656</f>
        <v>Growth</v>
      </c>
      <c r="D656" s="9" t="str">
        <f>fact_kpi_weekly!D656</f>
        <v>Agent Resource Cost Mix (FTE/NS/OS)</v>
      </c>
      <c r="E656" s="9" t="str">
        <f>fact_kpi_weekly!E656</f>
        <v>Goal</v>
      </c>
      <c r="F656" s="9" t="str">
        <f>IF(fact_kpi_weekly!F656="","",fact_kpi_weekly!F656)</f>
        <v/>
      </c>
      <c r="G656" s="9" t="str">
        <f>fact_kpi_weekly!G656</f>
        <v>N/A</v>
      </c>
      <c r="H656" s="9" t="str">
        <f>fact_kpi_weekly!H656</f>
        <v>Luke</v>
      </c>
      <c r="I656" s="9" t="str">
        <f>fact_kpi_weekly!I656</f>
        <v>0/20/80%</v>
      </c>
      <c r="J656" s="22" t="str">
        <f>fact_kpi_weekly!J656</f>
        <v/>
      </c>
      <c r="K656" s="20" t="str">
        <f t="array" ref="K656">IFERROR(INDEX(dim_date!H:H,MATCH(A656,dim_date!A:A,0)),"")</f>
        <v>Oct</v>
      </c>
      <c r="L656" s="20" t="str">
        <f t="array" ref="L656">IFERROR(INDEX(dim_date!G:G,MATCH(A656,dim_date!A:A,0)),"")</f>
        <v>10</v>
      </c>
      <c r="M656" s="9" t="str">
        <f t="array" ref="M656">IFERROR(INDEX(dim_date!I:I,MATCH(A656,dim_date!A:A,0)),"")</f>
        <v>Q4</v>
      </c>
      <c r="N656" s="20" t="str">
        <f t="array" ref="N656">IFERROR(INDEX(dim_date!K:K,MATCH(A656,dim_date!A:A,0)),"")</f>
        <v>42</v>
      </c>
      <c r="O656" s="9" t="str">
        <f t="array" ref="O656">IFERROR(INDEX(dim_date!F:F,MATCH(A656,dim_date!A:A,0)),"")</f>
        <v>10/11-10/17</v>
      </c>
      <c r="P656" s="9" t="str">
        <f t="array" ref="P656">IFERROR(INDEX(dim_kpi!E:E,MATCH(D656,dim_kpi!C:C,0)),"")</f>
        <v>text/%</v>
      </c>
      <c r="Q656" s="9" t="str">
        <f t="array" ref="Q656">IFERROR(INDEX(dim_kpi!F:F,MATCH(D656,dim_kpi!C:C,0)),"")</f>
        <v>N</v>
      </c>
    </row>
    <row r="657" ht="12.75" customHeight="1">
      <c r="A657" s="20" t="str">
        <f>fact_kpi_weekly!A657</f>
        <v>261018</v>
      </c>
      <c r="B657" s="21">
        <f>fact_kpi_weekly!B657</f>
        <v>46313</v>
      </c>
      <c r="C657" s="9" t="str">
        <f>fact_kpi_weekly!C657</f>
        <v>Growth</v>
      </c>
      <c r="D657" s="9" t="str">
        <f>fact_kpi_weekly!D657</f>
        <v>Agent Resource Cost Mix (FTE/NS/OS)</v>
      </c>
      <c r="E657" s="9" t="str">
        <f>fact_kpi_weekly!E657</f>
        <v>Goal</v>
      </c>
      <c r="F657" s="9" t="str">
        <f>IF(fact_kpi_weekly!F657="","",fact_kpi_weekly!F657)</f>
        <v/>
      </c>
      <c r="G657" s="9" t="str">
        <f>fact_kpi_weekly!G657</f>
        <v>N/A</v>
      </c>
      <c r="H657" s="9" t="str">
        <f>fact_kpi_weekly!H657</f>
        <v>Luke</v>
      </c>
      <c r="I657" s="9" t="str">
        <f>fact_kpi_weekly!I657</f>
        <v>0/20/80%</v>
      </c>
      <c r="J657" s="22" t="str">
        <f>fact_kpi_weekly!J657</f>
        <v/>
      </c>
      <c r="K657" s="20" t="str">
        <f t="array" ref="K657">IFERROR(INDEX(dim_date!H:H,MATCH(A657,dim_date!A:A,0)),"")</f>
        <v>Oct</v>
      </c>
      <c r="L657" s="20" t="str">
        <f t="array" ref="L657">IFERROR(INDEX(dim_date!G:G,MATCH(A657,dim_date!A:A,0)),"")</f>
        <v>10</v>
      </c>
      <c r="M657" s="9" t="str">
        <f t="array" ref="M657">IFERROR(INDEX(dim_date!I:I,MATCH(A657,dim_date!A:A,0)),"")</f>
        <v>Q4</v>
      </c>
      <c r="N657" s="20" t="str">
        <f t="array" ref="N657">IFERROR(INDEX(dim_date!K:K,MATCH(A657,dim_date!A:A,0)),"")</f>
        <v>43</v>
      </c>
      <c r="O657" s="9" t="str">
        <f t="array" ref="O657">IFERROR(INDEX(dim_date!F:F,MATCH(A657,dim_date!A:A,0)),"")</f>
        <v>10/18-10/24</v>
      </c>
      <c r="P657" s="9" t="str">
        <f t="array" ref="P657">IFERROR(INDEX(dim_kpi!E:E,MATCH(D657,dim_kpi!C:C,0)),"")</f>
        <v>text/%</v>
      </c>
      <c r="Q657" s="9" t="str">
        <f t="array" ref="Q657">IFERROR(INDEX(dim_kpi!F:F,MATCH(D657,dim_kpi!C:C,0)),"")</f>
        <v>N</v>
      </c>
    </row>
    <row r="658" ht="12.75" customHeight="1">
      <c r="A658" s="20" t="str">
        <f>fact_kpi_weekly!A658</f>
        <v>261025</v>
      </c>
      <c r="B658" s="21">
        <f>fact_kpi_weekly!B658</f>
        <v>46320</v>
      </c>
      <c r="C658" s="9" t="str">
        <f>fact_kpi_weekly!C658</f>
        <v>Growth</v>
      </c>
      <c r="D658" s="9" t="str">
        <f>fact_kpi_weekly!D658</f>
        <v>Agent Resource Cost Mix (FTE/NS/OS)</v>
      </c>
      <c r="E658" s="9" t="str">
        <f>fact_kpi_weekly!E658</f>
        <v>Goal</v>
      </c>
      <c r="F658" s="9" t="str">
        <f>IF(fact_kpi_weekly!F658="","",fact_kpi_weekly!F658)</f>
        <v/>
      </c>
      <c r="G658" s="9" t="str">
        <f>fact_kpi_weekly!G658</f>
        <v>N/A</v>
      </c>
      <c r="H658" s="9" t="str">
        <f>fact_kpi_weekly!H658</f>
        <v>Luke</v>
      </c>
      <c r="I658" s="9" t="str">
        <f>fact_kpi_weekly!I658</f>
        <v>0/20/80%</v>
      </c>
      <c r="J658" s="22" t="str">
        <f>fact_kpi_weekly!J658</f>
        <v/>
      </c>
      <c r="K658" s="20" t="str">
        <f t="array" ref="K658">IFERROR(INDEX(dim_date!H:H,MATCH(A658,dim_date!A:A,0)),"")</f>
        <v>Oct</v>
      </c>
      <c r="L658" s="20" t="str">
        <f t="array" ref="L658">IFERROR(INDEX(dim_date!G:G,MATCH(A658,dim_date!A:A,0)),"")</f>
        <v>10</v>
      </c>
      <c r="M658" s="9" t="str">
        <f t="array" ref="M658">IFERROR(INDEX(dim_date!I:I,MATCH(A658,dim_date!A:A,0)),"")</f>
        <v>Q4</v>
      </c>
      <c r="N658" s="20" t="str">
        <f t="array" ref="N658">IFERROR(INDEX(dim_date!K:K,MATCH(A658,dim_date!A:A,0)),"")</f>
        <v>44</v>
      </c>
      <c r="O658" s="9" t="str">
        <f t="array" ref="O658">IFERROR(INDEX(dim_date!F:F,MATCH(A658,dim_date!A:A,0)),"")</f>
        <v>10/25-10/31</v>
      </c>
      <c r="P658" s="9" t="str">
        <f t="array" ref="P658">IFERROR(INDEX(dim_kpi!E:E,MATCH(D658,dim_kpi!C:C,0)),"")</f>
        <v>text/%</v>
      </c>
      <c r="Q658" s="9" t="str">
        <f t="array" ref="Q658">IFERROR(INDEX(dim_kpi!F:F,MATCH(D658,dim_kpi!C:C,0)),"")</f>
        <v>N</v>
      </c>
    </row>
    <row r="659" ht="12.75" customHeight="1">
      <c r="A659" s="20" t="str">
        <f>fact_kpi_weekly!A659</f>
        <v>261101</v>
      </c>
      <c r="B659" s="21">
        <f>fact_kpi_weekly!B659</f>
        <v>46327</v>
      </c>
      <c r="C659" s="9" t="str">
        <f>fact_kpi_weekly!C659</f>
        <v>Growth</v>
      </c>
      <c r="D659" s="9" t="str">
        <f>fact_kpi_weekly!D659</f>
        <v>Agent Resource Cost Mix (FTE/NS/OS)</v>
      </c>
      <c r="E659" s="9" t="str">
        <f>fact_kpi_weekly!E659</f>
        <v>Goal</v>
      </c>
      <c r="F659" s="9" t="str">
        <f>IF(fact_kpi_weekly!F659="","",fact_kpi_weekly!F659)</f>
        <v/>
      </c>
      <c r="G659" s="9" t="str">
        <f>fact_kpi_weekly!G659</f>
        <v>N/A</v>
      </c>
      <c r="H659" s="9" t="str">
        <f>fact_kpi_weekly!H659</f>
        <v>Luke</v>
      </c>
      <c r="I659" s="9" t="str">
        <f>fact_kpi_weekly!I659</f>
        <v>0/23/77%</v>
      </c>
      <c r="J659" s="22" t="str">
        <f>fact_kpi_weekly!J659</f>
        <v/>
      </c>
      <c r="K659" s="20" t="str">
        <f t="array" ref="K659">IFERROR(INDEX(dim_date!H:H,MATCH(A659,dim_date!A:A,0)),"")</f>
        <v>Nov</v>
      </c>
      <c r="L659" s="20" t="str">
        <f t="array" ref="L659">IFERROR(INDEX(dim_date!G:G,MATCH(A659,dim_date!A:A,0)),"")</f>
        <v>11</v>
      </c>
      <c r="M659" s="9" t="str">
        <f t="array" ref="M659">IFERROR(INDEX(dim_date!I:I,MATCH(A659,dim_date!A:A,0)),"")</f>
        <v>Q4</v>
      </c>
      <c r="N659" s="20" t="str">
        <f t="array" ref="N659">IFERROR(INDEX(dim_date!K:K,MATCH(A659,dim_date!A:A,0)),"")</f>
        <v>45</v>
      </c>
      <c r="O659" s="9" t="str">
        <f t="array" ref="O659">IFERROR(INDEX(dim_date!F:F,MATCH(A659,dim_date!A:A,0)),"")</f>
        <v>11/1-11/7</v>
      </c>
      <c r="P659" s="9" t="str">
        <f t="array" ref="P659">IFERROR(INDEX(dim_kpi!E:E,MATCH(D659,dim_kpi!C:C,0)),"")</f>
        <v>text/%</v>
      </c>
      <c r="Q659" s="9" t="str">
        <f t="array" ref="Q659">IFERROR(INDEX(dim_kpi!F:F,MATCH(D659,dim_kpi!C:C,0)),"")</f>
        <v>N</v>
      </c>
    </row>
    <row r="660" ht="12.75" customHeight="1">
      <c r="A660" s="20" t="str">
        <f>fact_kpi_weekly!A660</f>
        <v>261108</v>
      </c>
      <c r="B660" s="21">
        <f>fact_kpi_weekly!B660</f>
        <v>46334</v>
      </c>
      <c r="C660" s="9" t="str">
        <f>fact_kpi_weekly!C660</f>
        <v>Growth</v>
      </c>
      <c r="D660" s="9" t="str">
        <f>fact_kpi_weekly!D660</f>
        <v>Agent Resource Cost Mix (FTE/NS/OS)</v>
      </c>
      <c r="E660" s="9" t="str">
        <f>fact_kpi_weekly!E660</f>
        <v>Goal</v>
      </c>
      <c r="F660" s="9" t="str">
        <f>IF(fact_kpi_weekly!F660="","",fact_kpi_weekly!F660)</f>
        <v/>
      </c>
      <c r="G660" s="9" t="str">
        <f>fact_kpi_weekly!G660</f>
        <v>N/A</v>
      </c>
      <c r="H660" s="9" t="str">
        <f>fact_kpi_weekly!H660</f>
        <v>Luke</v>
      </c>
      <c r="I660" s="9" t="str">
        <f>fact_kpi_weekly!I660</f>
        <v>0/23/77%</v>
      </c>
      <c r="J660" s="22" t="str">
        <f>fact_kpi_weekly!J660</f>
        <v/>
      </c>
      <c r="K660" s="20" t="str">
        <f t="array" ref="K660">IFERROR(INDEX(dim_date!H:H,MATCH(A660,dim_date!A:A,0)),"")</f>
        <v>Nov</v>
      </c>
      <c r="L660" s="20" t="str">
        <f t="array" ref="L660">IFERROR(INDEX(dim_date!G:G,MATCH(A660,dim_date!A:A,0)),"")</f>
        <v>11</v>
      </c>
      <c r="M660" s="9" t="str">
        <f t="array" ref="M660">IFERROR(INDEX(dim_date!I:I,MATCH(A660,dim_date!A:A,0)),"")</f>
        <v>Q4</v>
      </c>
      <c r="N660" s="20" t="str">
        <f t="array" ref="N660">IFERROR(INDEX(dim_date!K:K,MATCH(A660,dim_date!A:A,0)),"")</f>
        <v>46</v>
      </c>
      <c r="O660" s="9" t="str">
        <f t="array" ref="O660">IFERROR(INDEX(dim_date!F:F,MATCH(A660,dim_date!A:A,0)),"")</f>
        <v>11/8-11/14</v>
      </c>
      <c r="P660" s="9" t="str">
        <f t="array" ref="P660">IFERROR(INDEX(dim_kpi!E:E,MATCH(D660,dim_kpi!C:C,0)),"")</f>
        <v>text/%</v>
      </c>
      <c r="Q660" s="9" t="str">
        <f t="array" ref="Q660">IFERROR(INDEX(dim_kpi!F:F,MATCH(D660,dim_kpi!C:C,0)),"")</f>
        <v>N</v>
      </c>
    </row>
    <row r="661" ht="12.75" customHeight="1">
      <c r="A661" s="20" t="str">
        <f>fact_kpi_weekly!A661</f>
        <v>261115</v>
      </c>
      <c r="B661" s="21">
        <f>fact_kpi_weekly!B661</f>
        <v>46341</v>
      </c>
      <c r="C661" s="9" t="str">
        <f>fact_kpi_weekly!C661</f>
        <v>Growth</v>
      </c>
      <c r="D661" s="9" t="str">
        <f>fact_kpi_weekly!D661</f>
        <v>Agent Resource Cost Mix (FTE/NS/OS)</v>
      </c>
      <c r="E661" s="9" t="str">
        <f>fact_kpi_weekly!E661</f>
        <v>Goal</v>
      </c>
      <c r="F661" s="9" t="str">
        <f>IF(fact_kpi_weekly!F661="","",fact_kpi_weekly!F661)</f>
        <v/>
      </c>
      <c r="G661" s="9" t="str">
        <f>fact_kpi_weekly!G661</f>
        <v>N/A</v>
      </c>
      <c r="H661" s="9" t="str">
        <f>fact_kpi_weekly!H661</f>
        <v>Luke</v>
      </c>
      <c r="I661" s="9" t="str">
        <f>fact_kpi_weekly!I661</f>
        <v>0/23/77%</v>
      </c>
      <c r="J661" s="22" t="str">
        <f>fact_kpi_weekly!J661</f>
        <v/>
      </c>
      <c r="K661" s="20" t="str">
        <f t="array" ref="K661">IFERROR(INDEX(dim_date!H:H,MATCH(A661,dim_date!A:A,0)),"")</f>
        <v>Nov</v>
      </c>
      <c r="L661" s="20" t="str">
        <f t="array" ref="L661">IFERROR(INDEX(dim_date!G:G,MATCH(A661,dim_date!A:A,0)),"")</f>
        <v>11</v>
      </c>
      <c r="M661" s="9" t="str">
        <f t="array" ref="M661">IFERROR(INDEX(dim_date!I:I,MATCH(A661,dim_date!A:A,0)),"")</f>
        <v>Q4</v>
      </c>
      <c r="N661" s="20" t="str">
        <f t="array" ref="N661">IFERROR(INDEX(dim_date!K:K,MATCH(A661,dim_date!A:A,0)),"")</f>
        <v>47</v>
      </c>
      <c r="O661" s="9" t="str">
        <f t="array" ref="O661">IFERROR(INDEX(dim_date!F:F,MATCH(A661,dim_date!A:A,0)),"")</f>
        <v>11/15-11/21</v>
      </c>
      <c r="P661" s="9" t="str">
        <f t="array" ref="P661">IFERROR(INDEX(dim_kpi!E:E,MATCH(D661,dim_kpi!C:C,0)),"")</f>
        <v>text/%</v>
      </c>
      <c r="Q661" s="9" t="str">
        <f t="array" ref="Q661">IFERROR(INDEX(dim_kpi!F:F,MATCH(D661,dim_kpi!C:C,0)),"")</f>
        <v>N</v>
      </c>
    </row>
    <row r="662" ht="12.75" customHeight="1">
      <c r="A662" s="20" t="str">
        <f>fact_kpi_weekly!A662</f>
        <v>261122</v>
      </c>
      <c r="B662" s="21">
        <f>fact_kpi_weekly!B662</f>
        <v>46348</v>
      </c>
      <c r="C662" s="9" t="str">
        <f>fact_kpi_weekly!C662</f>
        <v>Growth</v>
      </c>
      <c r="D662" s="9" t="str">
        <f>fact_kpi_weekly!D662</f>
        <v>Agent Resource Cost Mix (FTE/NS/OS)</v>
      </c>
      <c r="E662" s="9" t="str">
        <f>fact_kpi_weekly!E662</f>
        <v>Goal</v>
      </c>
      <c r="F662" s="9" t="str">
        <f>IF(fact_kpi_weekly!F662="","",fact_kpi_weekly!F662)</f>
        <v/>
      </c>
      <c r="G662" s="9" t="str">
        <f>fact_kpi_weekly!G662</f>
        <v>N/A</v>
      </c>
      <c r="H662" s="9" t="str">
        <f>fact_kpi_weekly!H662</f>
        <v>Luke</v>
      </c>
      <c r="I662" s="9" t="str">
        <f>fact_kpi_weekly!I662</f>
        <v>0/23/77%</v>
      </c>
      <c r="J662" s="22" t="str">
        <f>fact_kpi_weekly!J662</f>
        <v/>
      </c>
      <c r="K662" s="20" t="str">
        <f t="array" ref="K662">IFERROR(INDEX(dim_date!H:H,MATCH(A662,dim_date!A:A,0)),"")</f>
        <v>Nov</v>
      </c>
      <c r="L662" s="20" t="str">
        <f t="array" ref="L662">IFERROR(INDEX(dim_date!G:G,MATCH(A662,dim_date!A:A,0)),"")</f>
        <v>11</v>
      </c>
      <c r="M662" s="9" t="str">
        <f t="array" ref="M662">IFERROR(INDEX(dim_date!I:I,MATCH(A662,dim_date!A:A,0)),"")</f>
        <v>Q4</v>
      </c>
      <c r="N662" s="20" t="str">
        <f t="array" ref="N662">IFERROR(INDEX(dim_date!K:K,MATCH(A662,dim_date!A:A,0)),"")</f>
        <v>48</v>
      </c>
      <c r="O662" s="9" t="str">
        <f t="array" ref="O662">IFERROR(INDEX(dim_date!F:F,MATCH(A662,dim_date!A:A,0)),"")</f>
        <v>11/22-11/28</v>
      </c>
      <c r="P662" s="9" t="str">
        <f t="array" ref="P662">IFERROR(INDEX(dim_kpi!E:E,MATCH(D662,dim_kpi!C:C,0)),"")</f>
        <v>text/%</v>
      </c>
      <c r="Q662" s="9" t="str">
        <f t="array" ref="Q662">IFERROR(INDEX(dim_kpi!F:F,MATCH(D662,dim_kpi!C:C,0)),"")</f>
        <v>N</v>
      </c>
    </row>
    <row r="663" ht="12.75" customHeight="1">
      <c r="A663" s="20" t="str">
        <f>fact_kpi_weekly!A663</f>
        <v>261129</v>
      </c>
      <c r="B663" s="21">
        <f>fact_kpi_weekly!B663</f>
        <v>46355</v>
      </c>
      <c r="C663" s="9" t="str">
        <f>fact_kpi_weekly!C663</f>
        <v>Growth</v>
      </c>
      <c r="D663" s="9" t="str">
        <f>fact_kpi_weekly!D663</f>
        <v>Agent Resource Cost Mix (FTE/NS/OS)</v>
      </c>
      <c r="E663" s="9" t="str">
        <f>fact_kpi_weekly!E663</f>
        <v>Goal</v>
      </c>
      <c r="F663" s="9" t="str">
        <f>IF(fact_kpi_weekly!F663="","",fact_kpi_weekly!F663)</f>
        <v/>
      </c>
      <c r="G663" s="9" t="str">
        <f>fact_kpi_weekly!G663</f>
        <v>N/A</v>
      </c>
      <c r="H663" s="9" t="str">
        <f>fact_kpi_weekly!H663</f>
        <v>Luke</v>
      </c>
      <c r="I663" s="9" t="str">
        <f>fact_kpi_weekly!I663</f>
        <v>0/23/77%</v>
      </c>
      <c r="J663" s="22" t="str">
        <f>fact_kpi_weekly!J663</f>
        <v/>
      </c>
      <c r="K663" s="20" t="str">
        <f t="array" ref="K663">IFERROR(INDEX(dim_date!H:H,MATCH(A663,dim_date!A:A,0)),"")</f>
        <v>Nov</v>
      </c>
      <c r="L663" s="20" t="str">
        <f t="array" ref="L663">IFERROR(INDEX(dim_date!G:G,MATCH(A663,dim_date!A:A,0)),"")</f>
        <v>11</v>
      </c>
      <c r="M663" s="9" t="str">
        <f t="array" ref="M663">IFERROR(INDEX(dim_date!I:I,MATCH(A663,dim_date!A:A,0)),"")</f>
        <v>Q4</v>
      </c>
      <c r="N663" s="20" t="str">
        <f t="array" ref="N663">IFERROR(INDEX(dim_date!K:K,MATCH(A663,dim_date!A:A,0)),"")</f>
        <v>49</v>
      </c>
      <c r="O663" s="9" t="str">
        <f t="array" ref="O663">IFERROR(INDEX(dim_date!F:F,MATCH(A663,dim_date!A:A,0)),"")</f>
        <v>11/29-12/5</v>
      </c>
      <c r="P663" s="9" t="str">
        <f t="array" ref="P663">IFERROR(INDEX(dim_kpi!E:E,MATCH(D663,dim_kpi!C:C,0)),"")</f>
        <v>text/%</v>
      </c>
      <c r="Q663" s="9" t="str">
        <f t="array" ref="Q663">IFERROR(INDEX(dim_kpi!F:F,MATCH(D663,dim_kpi!C:C,0)),"")</f>
        <v>N</v>
      </c>
    </row>
    <row r="664" ht="12.75" customHeight="1">
      <c r="A664" s="20" t="str">
        <f>fact_kpi_weekly!A664</f>
        <v>261206</v>
      </c>
      <c r="B664" s="21">
        <f>fact_kpi_weekly!B664</f>
        <v>46362</v>
      </c>
      <c r="C664" s="9" t="str">
        <f>fact_kpi_weekly!C664</f>
        <v>Growth</v>
      </c>
      <c r="D664" s="9" t="str">
        <f>fact_kpi_weekly!D664</f>
        <v>Agent Resource Cost Mix (FTE/NS/OS)</v>
      </c>
      <c r="E664" s="9" t="str">
        <f>fact_kpi_weekly!E664</f>
        <v>Goal</v>
      </c>
      <c r="F664" s="9" t="str">
        <f>IF(fact_kpi_weekly!F664="","",fact_kpi_weekly!F664)</f>
        <v/>
      </c>
      <c r="G664" s="9" t="str">
        <f>fact_kpi_weekly!G664</f>
        <v>N/A</v>
      </c>
      <c r="H664" s="9" t="str">
        <f>fact_kpi_weekly!H664</f>
        <v>Luke</v>
      </c>
      <c r="I664" s="9" t="str">
        <f>fact_kpi_weekly!I664</f>
        <v>0/26/74%</v>
      </c>
      <c r="J664" s="22" t="str">
        <f>fact_kpi_weekly!J664</f>
        <v/>
      </c>
      <c r="K664" s="20" t="str">
        <f t="array" ref="K664">IFERROR(INDEX(dim_date!H:H,MATCH(A664,dim_date!A:A,0)),"")</f>
        <v>Dec</v>
      </c>
      <c r="L664" s="20" t="str">
        <f t="array" ref="L664">IFERROR(INDEX(dim_date!G:G,MATCH(A664,dim_date!A:A,0)),"")</f>
        <v>12</v>
      </c>
      <c r="M664" s="9" t="str">
        <f t="array" ref="M664">IFERROR(INDEX(dim_date!I:I,MATCH(A664,dim_date!A:A,0)),"")</f>
        <v>Q4</v>
      </c>
      <c r="N664" s="20" t="str">
        <f t="array" ref="N664">IFERROR(INDEX(dim_date!K:K,MATCH(A664,dim_date!A:A,0)),"")</f>
        <v>50</v>
      </c>
      <c r="O664" s="9" t="str">
        <f t="array" ref="O664">IFERROR(INDEX(dim_date!F:F,MATCH(A664,dim_date!A:A,0)),"")</f>
        <v>12/6-12/12</v>
      </c>
      <c r="P664" s="9" t="str">
        <f t="array" ref="P664">IFERROR(INDEX(dim_kpi!E:E,MATCH(D664,dim_kpi!C:C,0)),"")</f>
        <v>text/%</v>
      </c>
      <c r="Q664" s="9" t="str">
        <f t="array" ref="Q664">IFERROR(INDEX(dim_kpi!F:F,MATCH(D664,dim_kpi!C:C,0)),"")</f>
        <v>N</v>
      </c>
    </row>
    <row r="665" ht="12.75" customHeight="1">
      <c r="A665" s="20" t="str">
        <f>fact_kpi_weekly!A665</f>
        <v>261213</v>
      </c>
      <c r="B665" s="21">
        <f>fact_kpi_weekly!B665</f>
        <v>46369</v>
      </c>
      <c r="C665" s="9" t="str">
        <f>fact_kpi_weekly!C665</f>
        <v>Growth</v>
      </c>
      <c r="D665" s="9" t="str">
        <f>fact_kpi_weekly!D665</f>
        <v>Agent Resource Cost Mix (FTE/NS/OS)</v>
      </c>
      <c r="E665" s="9" t="str">
        <f>fact_kpi_weekly!E665</f>
        <v>Goal</v>
      </c>
      <c r="F665" s="9" t="str">
        <f>IF(fact_kpi_weekly!F665="","",fact_kpi_weekly!F665)</f>
        <v/>
      </c>
      <c r="G665" s="9" t="str">
        <f>fact_kpi_weekly!G665</f>
        <v>N/A</v>
      </c>
      <c r="H665" s="9" t="str">
        <f>fact_kpi_weekly!H665</f>
        <v>Luke</v>
      </c>
      <c r="I665" s="9" t="str">
        <f>fact_kpi_weekly!I665</f>
        <v>0/26/74%</v>
      </c>
      <c r="J665" s="22" t="str">
        <f>fact_kpi_weekly!J665</f>
        <v/>
      </c>
      <c r="K665" s="20" t="str">
        <f t="array" ref="K665">IFERROR(INDEX(dim_date!H:H,MATCH(A665,dim_date!A:A,0)),"")</f>
        <v>Dec</v>
      </c>
      <c r="L665" s="20" t="str">
        <f t="array" ref="L665">IFERROR(INDEX(dim_date!G:G,MATCH(A665,dim_date!A:A,0)),"")</f>
        <v>12</v>
      </c>
      <c r="M665" s="9" t="str">
        <f t="array" ref="M665">IFERROR(INDEX(dim_date!I:I,MATCH(A665,dim_date!A:A,0)),"")</f>
        <v>Q4</v>
      </c>
      <c r="N665" s="20" t="str">
        <f t="array" ref="N665">IFERROR(INDEX(dim_date!K:K,MATCH(A665,dim_date!A:A,0)),"")</f>
        <v>51</v>
      </c>
      <c r="O665" s="9" t="str">
        <f t="array" ref="O665">IFERROR(INDEX(dim_date!F:F,MATCH(A665,dim_date!A:A,0)),"")</f>
        <v>12/13-12/19</v>
      </c>
      <c r="P665" s="9" t="str">
        <f t="array" ref="P665">IFERROR(INDEX(dim_kpi!E:E,MATCH(D665,dim_kpi!C:C,0)),"")</f>
        <v>text/%</v>
      </c>
      <c r="Q665" s="9" t="str">
        <f t="array" ref="Q665">IFERROR(INDEX(dim_kpi!F:F,MATCH(D665,dim_kpi!C:C,0)),"")</f>
        <v>N</v>
      </c>
    </row>
    <row r="666" ht="12.75" customHeight="1">
      <c r="A666" s="20" t="str">
        <f>fact_kpi_weekly!A666</f>
        <v>261220</v>
      </c>
      <c r="B666" s="21">
        <f>fact_kpi_weekly!B666</f>
        <v>46376</v>
      </c>
      <c r="C666" s="9" t="str">
        <f>fact_kpi_weekly!C666</f>
        <v>Growth</v>
      </c>
      <c r="D666" s="9" t="str">
        <f>fact_kpi_weekly!D666</f>
        <v>Agent Resource Cost Mix (FTE/NS/OS)</v>
      </c>
      <c r="E666" s="9" t="str">
        <f>fact_kpi_weekly!E666</f>
        <v>Goal</v>
      </c>
      <c r="F666" s="9" t="str">
        <f>IF(fact_kpi_weekly!F666="","",fact_kpi_weekly!F666)</f>
        <v/>
      </c>
      <c r="G666" s="9" t="str">
        <f>fact_kpi_weekly!G666</f>
        <v>N/A</v>
      </c>
      <c r="H666" s="9" t="str">
        <f>fact_kpi_weekly!H666</f>
        <v>Luke</v>
      </c>
      <c r="I666" s="9" t="str">
        <f>fact_kpi_weekly!I666</f>
        <v>0/26/74%</v>
      </c>
      <c r="J666" s="22" t="str">
        <f>fact_kpi_weekly!J666</f>
        <v/>
      </c>
      <c r="K666" s="20" t="str">
        <f t="array" ref="K666">IFERROR(INDEX(dim_date!H:H,MATCH(A666,dim_date!A:A,0)),"")</f>
        <v>Dec</v>
      </c>
      <c r="L666" s="20" t="str">
        <f t="array" ref="L666">IFERROR(INDEX(dim_date!G:G,MATCH(A666,dim_date!A:A,0)),"")</f>
        <v>12</v>
      </c>
      <c r="M666" s="9" t="str">
        <f t="array" ref="M666">IFERROR(INDEX(dim_date!I:I,MATCH(A666,dim_date!A:A,0)),"")</f>
        <v>Q4</v>
      </c>
      <c r="N666" s="20" t="str">
        <f t="array" ref="N666">IFERROR(INDEX(dim_date!K:K,MATCH(A666,dim_date!A:A,0)),"")</f>
        <v>52</v>
      </c>
      <c r="O666" s="9" t="str">
        <f t="array" ref="O666">IFERROR(INDEX(dim_date!F:F,MATCH(A666,dim_date!A:A,0)),"")</f>
        <v>12/20-12/26</v>
      </c>
      <c r="P666" s="9" t="str">
        <f t="array" ref="P666">IFERROR(INDEX(dim_kpi!E:E,MATCH(D666,dim_kpi!C:C,0)),"")</f>
        <v>text/%</v>
      </c>
      <c r="Q666" s="9" t="str">
        <f t="array" ref="Q666">IFERROR(INDEX(dim_kpi!F:F,MATCH(D666,dim_kpi!C:C,0)),"")</f>
        <v>N</v>
      </c>
    </row>
    <row r="667" ht="12.75" customHeight="1">
      <c r="A667" s="20" t="str">
        <f>fact_kpi_weekly!A667</f>
        <v>261227</v>
      </c>
      <c r="B667" s="21">
        <f>fact_kpi_weekly!B667</f>
        <v>46383</v>
      </c>
      <c r="C667" s="9" t="str">
        <f>fact_kpi_weekly!C667</f>
        <v>Growth</v>
      </c>
      <c r="D667" s="9" t="str">
        <f>fact_kpi_weekly!D667</f>
        <v>Agent Resource Cost Mix (FTE/NS/OS)</v>
      </c>
      <c r="E667" s="9" t="str">
        <f>fact_kpi_weekly!E667</f>
        <v>Goal</v>
      </c>
      <c r="F667" s="9" t="str">
        <f>IF(fact_kpi_weekly!F667="","",fact_kpi_weekly!F667)</f>
        <v/>
      </c>
      <c r="G667" s="9" t="str">
        <f>fact_kpi_weekly!G667</f>
        <v>N/A</v>
      </c>
      <c r="H667" s="9" t="str">
        <f>fact_kpi_weekly!H667</f>
        <v>Luke</v>
      </c>
      <c r="I667" s="9" t="str">
        <f>fact_kpi_weekly!I667</f>
        <v>0/26/74%</v>
      </c>
      <c r="J667" s="22" t="str">
        <f>fact_kpi_weekly!J667</f>
        <v/>
      </c>
      <c r="K667" s="20" t="str">
        <f t="array" ref="K667">IFERROR(INDEX(dim_date!H:H,MATCH(A667,dim_date!A:A,0)),"")</f>
        <v>Dec</v>
      </c>
      <c r="L667" s="20" t="str">
        <f t="array" ref="L667">IFERROR(INDEX(dim_date!G:G,MATCH(A667,dim_date!A:A,0)),"")</f>
        <v>12</v>
      </c>
      <c r="M667" s="9" t="str">
        <f t="array" ref="M667">IFERROR(INDEX(dim_date!I:I,MATCH(A667,dim_date!A:A,0)),"")</f>
        <v>Q4</v>
      </c>
      <c r="N667" s="20" t="str">
        <f t="array" ref="N667">IFERROR(INDEX(dim_date!K:K,MATCH(A667,dim_date!A:A,0)),"")</f>
        <v>53</v>
      </c>
      <c r="O667" s="9" t="str">
        <f t="array" ref="O667">IFERROR(INDEX(dim_date!F:F,MATCH(A667,dim_date!A:A,0)),"")</f>
        <v>12/27-1/2</v>
      </c>
      <c r="P667" s="9" t="str">
        <f t="array" ref="P667">IFERROR(INDEX(dim_kpi!E:E,MATCH(D667,dim_kpi!C:C,0)),"")</f>
        <v>text/%</v>
      </c>
      <c r="Q667" s="9" t="str">
        <f t="array" ref="Q667">IFERROR(INDEX(dim_kpi!F:F,MATCH(D667,dim_kpi!C:C,0)),"")</f>
        <v>N</v>
      </c>
    </row>
    <row r="668" ht="12.75" customHeight="1">
      <c r="A668" s="20" t="str">
        <f>fact_kpi_weekly!A668</f>
        <v>260301</v>
      </c>
      <c r="B668" s="21">
        <f>fact_kpi_weekly!B668</f>
        <v>46082</v>
      </c>
      <c r="C668" s="9" t="str">
        <f>fact_kpi_weekly!C668</f>
        <v>Growth</v>
      </c>
      <c r="D668" s="9" t="str">
        <f>fact_kpi_weekly!D668</f>
        <v>Enrollment Call Conversions (per rep per hour)</v>
      </c>
      <c r="E668" s="9" t="str">
        <f>fact_kpi_weekly!E668</f>
        <v>Goal</v>
      </c>
      <c r="F668" s="9" t="str">
        <f>IF(fact_kpi_weekly!F668="","",fact_kpi_weekly!F668)</f>
        <v/>
      </c>
      <c r="G668" s="9" t="str">
        <f>fact_kpi_weekly!G668</f>
        <v>N/A</v>
      </c>
      <c r="H668" s="9" t="str">
        <f>fact_kpi_weekly!H668</f>
        <v>Luke</v>
      </c>
      <c r="I668" s="9">
        <f>fact_kpi_weekly!I668</f>
        <v>0.27</v>
      </c>
      <c r="J668" s="22">
        <f>fact_kpi_weekly!J668</f>
        <v>0.27</v>
      </c>
      <c r="K668" s="20" t="str">
        <f t="array" ref="K668">IFERROR(INDEX(dim_date!H:H,MATCH(A668,dim_date!A:A,0)),"")</f>
        <v>Mar</v>
      </c>
      <c r="L668" s="20" t="str">
        <f t="array" ref="L668">IFERROR(INDEX(dim_date!G:G,MATCH(A668,dim_date!A:A,0)),"")</f>
        <v>03</v>
      </c>
      <c r="M668" s="9" t="str">
        <f t="array" ref="M668">IFERROR(INDEX(dim_date!I:I,MATCH(A668,dim_date!A:A,0)),"")</f>
        <v>Q1</v>
      </c>
      <c r="N668" s="20" t="str">
        <f t="array" ref="N668">IFERROR(INDEX(dim_date!K:K,MATCH(A668,dim_date!A:A,0)),"")</f>
        <v>10</v>
      </c>
      <c r="O668" s="9" t="str">
        <f t="array" ref="O668">IFERROR(INDEX(dim_date!F:F,MATCH(A668,dim_date!A:A,0)),"")</f>
        <v>3/1-3/7</v>
      </c>
      <c r="P668" s="9" t="str">
        <f t="array" ref="P668">IFERROR(INDEX(dim_kpi!E:E,MATCH(D668,dim_kpi!C:C,0)),"")</f>
        <v>ratio</v>
      </c>
      <c r="Q668" s="9" t="str">
        <f t="array" ref="Q668">IFERROR(INDEX(dim_kpi!F:F,MATCH(D668,dim_kpi!C:C,0)),"")</f>
        <v>N</v>
      </c>
    </row>
    <row r="669" ht="12.75" customHeight="1">
      <c r="A669" s="20" t="str">
        <f>fact_kpi_weekly!A669</f>
        <v>260308</v>
      </c>
      <c r="B669" s="21">
        <f>fact_kpi_weekly!B669</f>
        <v>46089</v>
      </c>
      <c r="C669" s="9" t="str">
        <f>fact_kpi_weekly!C669</f>
        <v>Growth</v>
      </c>
      <c r="D669" s="9" t="str">
        <f>fact_kpi_weekly!D669</f>
        <v>Enrollment Call Conversions (per rep per hour)</v>
      </c>
      <c r="E669" s="9" t="str">
        <f>fact_kpi_weekly!E669</f>
        <v>Goal</v>
      </c>
      <c r="F669" s="9" t="str">
        <f>IF(fact_kpi_weekly!F669="","",fact_kpi_weekly!F669)</f>
        <v/>
      </c>
      <c r="G669" s="9" t="str">
        <f>fact_kpi_weekly!G669</f>
        <v>N/A</v>
      </c>
      <c r="H669" s="9" t="str">
        <f>fact_kpi_weekly!H669</f>
        <v>Luke</v>
      </c>
      <c r="I669" s="9">
        <f>fact_kpi_weekly!I669</f>
        <v>0.27</v>
      </c>
      <c r="J669" s="22">
        <f>fact_kpi_weekly!J669</f>
        <v>0.27</v>
      </c>
      <c r="K669" s="20" t="str">
        <f t="array" ref="K669">IFERROR(INDEX(dim_date!H:H,MATCH(A669,dim_date!A:A,0)),"")</f>
        <v>Mar</v>
      </c>
      <c r="L669" s="20" t="str">
        <f t="array" ref="L669">IFERROR(INDEX(dim_date!G:G,MATCH(A669,dim_date!A:A,0)),"")</f>
        <v>03</v>
      </c>
      <c r="M669" s="9" t="str">
        <f t="array" ref="M669">IFERROR(INDEX(dim_date!I:I,MATCH(A669,dim_date!A:A,0)),"")</f>
        <v>Q1</v>
      </c>
      <c r="N669" s="20" t="str">
        <f t="array" ref="N669">IFERROR(INDEX(dim_date!K:K,MATCH(A669,dim_date!A:A,0)),"")</f>
        <v>11</v>
      </c>
      <c r="O669" s="9" t="str">
        <f t="array" ref="O669">IFERROR(INDEX(dim_date!F:F,MATCH(A669,dim_date!A:A,0)),"")</f>
        <v>3/8-3/14</v>
      </c>
      <c r="P669" s="9" t="str">
        <f t="array" ref="P669">IFERROR(INDEX(dim_kpi!E:E,MATCH(D669,dim_kpi!C:C,0)),"")</f>
        <v>ratio</v>
      </c>
      <c r="Q669" s="9" t="str">
        <f t="array" ref="Q669">IFERROR(INDEX(dim_kpi!F:F,MATCH(D669,dim_kpi!C:C,0)),"")</f>
        <v>N</v>
      </c>
    </row>
    <row r="670" ht="12.75" customHeight="1">
      <c r="A670" s="20" t="str">
        <f>fact_kpi_weekly!A670</f>
        <v>260315</v>
      </c>
      <c r="B670" s="21">
        <f>fact_kpi_weekly!B670</f>
        <v>46096</v>
      </c>
      <c r="C670" s="9" t="str">
        <f>fact_kpi_weekly!C670</f>
        <v>Growth</v>
      </c>
      <c r="D670" s="9" t="str">
        <f>fact_kpi_weekly!D670</f>
        <v>Enrollment Call Conversions (per rep per hour)</v>
      </c>
      <c r="E670" s="9" t="str">
        <f>fact_kpi_weekly!E670</f>
        <v>Goal</v>
      </c>
      <c r="F670" s="9" t="str">
        <f>IF(fact_kpi_weekly!F670="","",fact_kpi_weekly!F670)</f>
        <v/>
      </c>
      <c r="G670" s="9" t="str">
        <f>fact_kpi_weekly!G670</f>
        <v>N/A</v>
      </c>
      <c r="H670" s="9" t="str">
        <f>fact_kpi_weekly!H670</f>
        <v>Luke</v>
      </c>
      <c r="I670" s="9">
        <f>fact_kpi_weekly!I670</f>
        <v>0.27</v>
      </c>
      <c r="J670" s="22">
        <f>fact_kpi_weekly!J670</f>
        <v>0.27</v>
      </c>
      <c r="K670" s="20" t="str">
        <f t="array" ref="K670">IFERROR(INDEX(dim_date!H:H,MATCH(A670,dim_date!A:A,0)),"")</f>
        <v>Mar</v>
      </c>
      <c r="L670" s="20" t="str">
        <f t="array" ref="L670">IFERROR(INDEX(dim_date!G:G,MATCH(A670,dim_date!A:A,0)),"")</f>
        <v>03</v>
      </c>
      <c r="M670" s="9" t="str">
        <f t="array" ref="M670">IFERROR(INDEX(dim_date!I:I,MATCH(A670,dim_date!A:A,0)),"")</f>
        <v>Q1</v>
      </c>
      <c r="N670" s="20" t="str">
        <f t="array" ref="N670">IFERROR(INDEX(dim_date!K:K,MATCH(A670,dim_date!A:A,0)),"")</f>
        <v>12</v>
      </c>
      <c r="O670" s="9" t="str">
        <f t="array" ref="O670">IFERROR(INDEX(dim_date!F:F,MATCH(A670,dim_date!A:A,0)),"")</f>
        <v>3/15-3/21</v>
      </c>
      <c r="P670" s="9" t="str">
        <f t="array" ref="P670">IFERROR(INDEX(dim_kpi!E:E,MATCH(D670,dim_kpi!C:C,0)),"")</f>
        <v>ratio</v>
      </c>
      <c r="Q670" s="9" t="str">
        <f t="array" ref="Q670">IFERROR(INDEX(dim_kpi!F:F,MATCH(D670,dim_kpi!C:C,0)),"")</f>
        <v>N</v>
      </c>
    </row>
    <row r="671" ht="12.75" customHeight="1">
      <c r="A671" s="20" t="str">
        <f>fact_kpi_weekly!A671</f>
        <v>260322</v>
      </c>
      <c r="B671" s="21">
        <f>fact_kpi_weekly!B671</f>
        <v>46103</v>
      </c>
      <c r="C671" s="9" t="str">
        <f>fact_kpi_weekly!C671</f>
        <v>Growth</v>
      </c>
      <c r="D671" s="9" t="str">
        <f>fact_kpi_weekly!D671</f>
        <v>Enrollment Call Conversions (per rep per hour)</v>
      </c>
      <c r="E671" s="9" t="str">
        <f>fact_kpi_weekly!E671</f>
        <v>Goal</v>
      </c>
      <c r="F671" s="9" t="str">
        <f>IF(fact_kpi_weekly!F671="","",fact_kpi_weekly!F671)</f>
        <v/>
      </c>
      <c r="G671" s="9" t="str">
        <f>fact_kpi_weekly!G671</f>
        <v>N/A</v>
      </c>
      <c r="H671" s="9" t="str">
        <f>fact_kpi_weekly!H671</f>
        <v>Luke</v>
      </c>
      <c r="I671" s="9">
        <f>fact_kpi_weekly!I671</f>
        <v>0.27</v>
      </c>
      <c r="J671" s="22">
        <f>fact_kpi_weekly!J671</f>
        <v>0.27</v>
      </c>
      <c r="K671" s="20" t="str">
        <f t="array" ref="K671">IFERROR(INDEX(dim_date!H:H,MATCH(A671,dim_date!A:A,0)),"")</f>
        <v>Mar</v>
      </c>
      <c r="L671" s="20" t="str">
        <f t="array" ref="L671">IFERROR(INDEX(dim_date!G:G,MATCH(A671,dim_date!A:A,0)),"")</f>
        <v>03</v>
      </c>
      <c r="M671" s="9" t="str">
        <f t="array" ref="M671">IFERROR(INDEX(dim_date!I:I,MATCH(A671,dim_date!A:A,0)),"")</f>
        <v>Q1</v>
      </c>
      <c r="N671" s="20" t="str">
        <f t="array" ref="N671">IFERROR(INDEX(dim_date!K:K,MATCH(A671,dim_date!A:A,0)),"")</f>
        <v>13</v>
      </c>
      <c r="O671" s="9" t="str">
        <f t="array" ref="O671">IFERROR(INDEX(dim_date!F:F,MATCH(A671,dim_date!A:A,0)),"")</f>
        <v>3/22-3/28</v>
      </c>
      <c r="P671" s="9" t="str">
        <f t="array" ref="P671">IFERROR(INDEX(dim_kpi!E:E,MATCH(D671,dim_kpi!C:C,0)),"")</f>
        <v>ratio</v>
      </c>
      <c r="Q671" s="9" t="str">
        <f t="array" ref="Q671">IFERROR(INDEX(dim_kpi!F:F,MATCH(D671,dim_kpi!C:C,0)),"")</f>
        <v>N</v>
      </c>
    </row>
    <row r="672" ht="12.75" customHeight="1">
      <c r="A672" s="20" t="str">
        <f>fact_kpi_weekly!A672</f>
        <v>260329</v>
      </c>
      <c r="B672" s="21">
        <f>fact_kpi_weekly!B672</f>
        <v>46110</v>
      </c>
      <c r="C672" s="9" t="str">
        <f>fact_kpi_weekly!C672</f>
        <v>Growth</v>
      </c>
      <c r="D672" s="9" t="str">
        <f>fact_kpi_weekly!D672</f>
        <v>Enrollment Call Conversions (per rep per hour)</v>
      </c>
      <c r="E672" s="9" t="str">
        <f>fact_kpi_weekly!E672</f>
        <v>Goal</v>
      </c>
      <c r="F672" s="9" t="str">
        <f>IF(fact_kpi_weekly!F672="","",fact_kpi_weekly!F672)</f>
        <v/>
      </c>
      <c r="G672" s="9" t="str">
        <f>fact_kpi_weekly!G672</f>
        <v>N/A</v>
      </c>
      <c r="H672" s="9" t="str">
        <f>fact_kpi_weekly!H672</f>
        <v>Luke</v>
      </c>
      <c r="I672" s="9">
        <f>fact_kpi_weekly!I672</f>
        <v>0.27</v>
      </c>
      <c r="J672" s="22">
        <f>fact_kpi_weekly!J672</f>
        <v>0.27</v>
      </c>
      <c r="K672" s="20" t="str">
        <f t="array" ref="K672">IFERROR(INDEX(dim_date!H:H,MATCH(A672,dim_date!A:A,0)),"")</f>
        <v>Mar</v>
      </c>
      <c r="L672" s="20" t="str">
        <f t="array" ref="L672">IFERROR(INDEX(dim_date!G:G,MATCH(A672,dim_date!A:A,0)),"")</f>
        <v>03</v>
      </c>
      <c r="M672" s="9" t="str">
        <f t="array" ref="M672">IFERROR(INDEX(dim_date!I:I,MATCH(A672,dim_date!A:A,0)),"")</f>
        <v>Q1</v>
      </c>
      <c r="N672" s="20" t="str">
        <f t="array" ref="N672">IFERROR(INDEX(dim_date!K:K,MATCH(A672,dim_date!A:A,0)),"")</f>
        <v>14</v>
      </c>
      <c r="O672" s="9" t="str">
        <f t="array" ref="O672">IFERROR(INDEX(dim_date!F:F,MATCH(A672,dim_date!A:A,0)),"")</f>
        <v>3/29-4/4</v>
      </c>
      <c r="P672" s="9" t="str">
        <f t="array" ref="P672">IFERROR(INDEX(dim_kpi!E:E,MATCH(D672,dim_kpi!C:C,0)),"")</f>
        <v>ratio</v>
      </c>
      <c r="Q672" s="9" t="str">
        <f t="array" ref="Q672">IFERROR(INDEX(dim_kpi!F:F,MATCH(D672,dim_kpi!C:C,0)),"")</f>
        <v>N</v>
      </c>
    </row>
    <row r="673" ht="12.75" customHeight="1">
      <c r="A673" s="20" t="str">
        <f>fact_kpi_weekly!A673</f>
        <v>260405</v>
      </c>
      <c r="B673" s="21">
        <f>fact_kpi_weekly!B673</f>
        <v>46117</v>
      </c>
      <c r="C673" s="9" t="str">
        <f>fact_kpi_weekly!C673</f>
        <v>Growth</v>
      </c>
      <c r="D673" s="9" t="str">
        <f>fact_kpi_weekly!D673</f>
        <v>Enrollment Call Conversions (per rep per hour)</v>
      </c>
      <c r="E673" s="9" t="str">
        <f>fact_kpi_weekly!E673</f>
        <v>Goal</v>
      </c>
      <c r="F673" s="9" t="str">
        <f>IF(fact_kpi_weekly!F673="","",fact_kpi_weekly!F673)</f>
        <v/>
      </c>
      <c r="G673" s="9" t="str">
        <f>fact_kpi_weekly!G673</f>
        <v>N/A</v>
      </c>
      <c r="H673" s="9" t="str">
        <f>fact_kpi_weekly!H673</f>
        <v>Luke</v>
      </c>
      <c r="I673" s="9">
        <f>fact_kpi_weekly!I673</f>
        <v>0.45</v>
      </c>
      <c r="J673" s="22">
        <f>fact_kpi_weekly!J673</f>
        <v>0.45</v>
      </c>
      <c r="K673" s="20" t="str">
        <f t="array" ref="K673">IFERROR(INDEX(dim_date!H:H,MATCH(A673,dim_date!A:A,0)),"")</f>
        <v>Apr</v>
      </c>
      <c r="L673" s="20" t="str">
        <f t="array" ref="L673">IFERROR(INDEX(dim_date!G:G,MATCH(A673,dim_date!A:A,0)),"")</f>
        <v>04</v>
      </c>
      <c r="M673" s="9" t="str">
        <f t="array" ref="M673">IFERROR(INDEX(dim_date!I:I,MATCH(A673,dim_date!A:A,0)),"")</f>
        <v>Q2</v>
      </c>
      <c r="N673" s="20" t="str">
        <f t="array" ref="N673">IFERROR(INDEX(dim_date!K:K,MATCH(A673,dim_date!A:A,0)),"")</f>
        <v>15</v>
      </c>
      <c r="O673" s="9" t="str">
        <f t="array" ref="O673">IFERROR(INDEX(dim_date!F:F,MATCH(A673,dim_date!A:A,0)),"")</f>
        <v>4/5-4/11</v>
      </c>
      <c r="P673" s="9" t="str">
        <f t="array" ref="P673">IFERROR(INDEX(dim_kpi!E:E,MATCH(D673,dim_kpi!C:C,0)),"")</f>
        <v>ratio</v>
      </c>
      <c r="Q673" s="9" t="str">
        <f t="array" ref="Q673">IFERROR(INDEX(dim_kpi!F:F,MATCH(D673,dim_kpi!C:C,0)),"")</f>
        <v>N</v>
      </c>
    </row>
    <row r="674" ht="12.75" customHeight="1">
      <c r="A674" s="20" t="str">
        <f>fact_kpi_weekly!A674</f>
        <v>260412</v>
      </c>
      <c r="B674" s="21">
        <f>fact_kpi_weekly!B674</f>
        <v>46124</v>
      </c>
      <c r="C674" s="9" t="str">
        <f>fact_kpi_weekly!C674</f>
        <v>Growth</v>
      </c>
      <c r="D674" s="9" t="str">
        <f>fact_kpi_weekly!D674</f>
        <v>Enrollment Call Conversions (per rep per hour)</v>
      </c>
      <c r="E674" s="9" t="str">
        <f>fact_kpi_weekly!E674</f>
        <v>Goal</v>
      </c>
      <c r="F674" s="9" t="str">
        <f>IF(fact_kpi_weekly!F674="","",fact_kpi_weekly!F674)</f>
        <v/>
      </c>
      <c r="G674" s="9" t="str">
        <f>fact_kpi_weekly!G674</f>
        <v>N/A</v>
      </c>
      <c r="H674" s="9" t="str">
        <f>fact_kpi_weekly!H674</f>
        <v>Luke</v>
      </c>
      <c r="I674" s="9">
        <f>fact_kpi_weekly!I674</f>
        <v>0.45</v>
      </c>
      <c r="J674" s="22">
        <f>fact_kpi_weekly!J674</f>
        <v>0.45</v>
      </c>
      <c r="K674" s="20" t="str">
        <f t="array" ref="K674">IFERROR(INDEX(dim_date!H:H,MATCH(A674,dim_date!A:A,0)),"")</f>
        <v>Apr</v>
      </c>
      <c r="L674" s="20" t="str">
        <f t="array" ref="L674">IFERROR(INDEX(dim_date!G:G,MATCH(A674,dim_date!A:A,0)),"")</f>
        <v>04</v>
      </c>
      <c r="M674" s="9" t="str">
        <f t="array" ref="M674">IFERROR(INDEX(dim_date!I:I,MATCH(A674,dim_date!A:A,0)),"")</f>
        <v>Q2</v>
      </c>
      <c r="N674" s="20" t="str">
        <f t="array" ref="N674">IFERROR(INDEX(dim_date!K:K,MATCH(A674,dim_date!A:A,0)),"")</f>
        <v>16</v>
      </c>
      <c r="O674" s="9" t="str">
        <f t="array" ref="O674">IFERROR(INDEX(dim_date!F:F,MATCH(A674,dim_date!A:A,0)),"")</f>
        <v>4/12-4/18</v>
      </c>
      <c r="P674" s="9" t="str">
        <f t="array" ref="P674">IFERROR(INDEX(dim_kpi!E:E,MATCH(D674,dim_kpi!C:C,0)),"")</f>
        <v>ratio</v>
      </c>
      <c r="Q674" s="9" t="str">
        <f t="array" ref="Q674">IFERROR(INDEX(dim_kpi!F:F,MATCH(D674,dim_kpi!C:C,0)),"")</f>
        <v>N</v>
      </c>
    </row>
    <row r="675" ht="12.75" customHeight="1">
      <c r="A675" s="20" t="str">
        <f>fact_kpi_weekly!A675</f>
        <v>260419</v>
      </c>
      <c r="B675" s="21">
        <f>fact_kpi_weekly!B675</f>
        <v>46131</v>
      </c>
      <c r="C675" s="9" t="str">
        <f>fact_kpi_weekly!C675</f>
        <v>Growth</v>
      </c>
      <c r="D675" s="9" t="str">
        <f>fact_kpi_weekly!D675</f>
        <v>Enrollment Call Conversions (per rep per hour)</v>
      </c>
      <c r="E675" s="9" t="str">
        <f>fact_kpi_weekly!E675</f>
        <v>Goal</v>
      </c>
      <c r="F675" s="9" t="str">
        <f>IF(fact_kpi_weekly!F675="","",fact_kpi_weekly!F675)</f>
        <v/>
      </c>
      <c r="G675" s="9" t="str">
        <f>fact_kpi_weekly!G675</f>
        <v>N/A</v>
      </c>
      <c r="H675" s="9" t="str">
        <f>fact_kpi_weekly!H675</f>
        <v>Luke</v>
      </c>
      <c r="I675" s="9">
        <f>fact_kpi_weekly!I675</f>
        <v>0.45</v>
      </c>
      <c r="J675" s="22">
        <f>fact_kpi_weekly!J675</f>
        <v>0.45</v>
      </c>
      <c r="K675" s="20" t="str">
        <f t="array" ref="K675">IFERROR(INDEX(dim_date!H:H,MATCH(A675,dim_date!A:A,0)),"")</f>
        <v>Apr</v>
      </c>
      <c r="L675" s="20" t="str">
        <f t="array" ref="L675">IFERROR(INDEX(dim_date!G:G,MATCH(A675,dim_date!A:A,0)),"")</f>
        <v>04</v>
      </c>
      <c r="M675" s="9" t="str">
        <f t="array" ref="M675">IFERROR(INDEX(dim_date!I:I,MATCH(A675,dim_date!A:A,0)),"")</f>
        <v>Q2</v>
      </c>
      <c r="N675" s="20" t="str">
        <f t="array" ref="N675">IFERROR(INDEX(dim_date!K:K,MATCH(A675,dim_date!A:A,0)),"")</f>
        <v>17</v>
      </c>
      <c r="O675" s="9" t="str">
        <f t="array" ref="O675">IFERROR(INDEX(dim_date!F:F,MATCH(A675,dim_date!A:A,0)),"")</f>
        <v>4/19-4/25</v>
      </c>
      <c r="P675" s="9" t="str">
        <f t="array" ref="P675">IFERROR(INDEX(dim_kpi!E:E,MATCH(D675,dim_kpi!C:C,0)),"")</f>
        <v>ratio</v>
      </c>
      <c r="Q675" s="9" t="str">
        <f t="array" ref="Q675">IFERROR(INDEX(dim_kpi!F:F,MATCH(D675,dim_kpi!C:C,0)),"")</f>
        <v>N</v>
      </c>
    </row>
    <row r="676" ht="12.75" customHeight="1">
      <c r="A676" s="20" t="str">
        <f>fact_kpi_weekly!A676</f>
        <v>260426</v>
      </c>
      <c r="B676" s="21">
        <f>fact_kpi_weekly!B676</f>
        <v>46138</v>
      </c>
      <c r="C676" s="9" t="str">
        <f>fact_kpi_weekly!C676</f>
        <v>Growth</v>
      </c>
      <c r="D676" s="9" t="str">
        <f>fact_kpi_weekly!D676</f>
        <v>Enrollment Call Conversions (per rep per hour)</v>
      </c>
      <c r="E676" s="9" t="str">
        <f>fact_kpi_weekly!E676</f>
        <v>Goal</v>
      </c>
      <c r="F676" s="9" t="str">
        <f>IF(fact_kpi_weekly!F676="","",fact_kpi_weekly!F676)</f>
        <v/>
      </c>
      <c r="G676" s="9" t="str">
        <f>fact_kpi_weekly!G676</f>
        <v>N/A</v>
      </c>
      <c r="H676" s="9" t="str">
        <f>fact_kpi_weekly!H676</f>
        <v>Luke</v>
      </c>
      <c r="I676" s="9">
        <f>fact_kpi_weekly!I676</f>
        <v>0.45</v>
      </c>
      <c r="J676" s="22">
        <f>fact_kpi_weekly!J676</f>
        <v>0.45</v>
      </c>
      <c r="K676" s="20" t="str">
        <f t="array" ref="K676">IFERROR(INDEX(dim_date!H:H,MATCH(A676,dim_date!A:A,0)),"")</f>
        <v>Apr</v>
      </c>
      <c r="L676" s="20" t="str">
        <f t="array" ref="L676">IFERROR(INDEX(dim_date!G:G,MATCH(A676,dim_date!A:A,0)),"")</f>
        <v>04</v>
      </c>
      <c r="M676" s="9" t="str">
        <f t="array" ref="M676">IFERROR(INDEX(dim_date!I:I,MATCH(A676,dim_date!A:A,0)),"")</f>
        <v>Q2</v>
      </c>
      <c r="N676" s="20" t="str">
        <f t="array" ref="N676">IFERROR(INDEX(dim_date!K:K,MATCH(A676,dim_date!A:A,0)),"")</f>
        <v>18</v>
      </c>
      <c r="O676" s="9" t="str">
        <f t="array" ref="O676">IFERROR(INDEX(dim_date!F:F,MATCH(A676,dim_date!A:A,0)),"")</f>
        <v>4/26-5/2</v>
      </c>
      <c r="P676" s="9" t="str">
        <f t="array" ref="P676">IFERROR(INDEX(dim_kpi!E:E,MATCH(D676,dim_kpi!C:C,0)),"")</f>
        <v>ratio</v>
      </c>
      <c r="Q676" s="9" t="str">
        <f t="array" ref="Q676">IFERROR(INDEX(dim_kpi!F:F,MATCH(D676,dim_kpi!C:C,0)),"")</f>
        <v>N</v>
      </c>
    </row>
    <row r="677" ht="12.75" customHeight="1">
      <c r="A677" s="20" t="str">
        <f>fact_kpi_weekly!A677</f>
        <v>260503</v>
      </c>
      <c r="B677" s="21">
        <f>fact_kpi_weekly!B677</f>
        <v>46145</v>
      </c>
      <c r="C677" s="9" t="str">
        <f>fact_kpi_weekly!C677</f>
        <v>Growth</v>
      </c>
      <c r="D677" s="9" t="str">
        <f>fact_kpi_weekly!D677</f>
        <v>Enrollment Call Conversions (per rep per hour)</v>
      </c>
      <c r="E677" s="9" t="str">
        <f>fact_kpi_weekly!E677</f>
        <v>Goal</v>
      </c>
      <c r="F677" s="9" t="str">
        <f>IF(fact_kpi_weekly!F677="","",fact_kpi_weekly!F677)</f>
        <v/>
      </c>
      <c r="G677" s="9" t="str">
        <f>fact_kpi_weekly!G677</f>
        <v>N/A</v>
      </c>
      <c r="H677" s="9" t="str">
        <f>fact_kpi_weekly!H677</f>
        <v>Luke</v>
      </c>
      <c r="I677" s="9">
        <f>fact_kpi_weekly!I677</f>
        <v>0.64</v>
      </c>
      <c r="J677" s="22">
        <f>fact_kpi_weekly!J677</f>
        <v>0.64</v>
      </c>
      <c r="K677" s="20" t="str">
        <f t="array" ref="K677">IFERROR(INDEX(dim_date!H:H,MATCH(A677,dim_date!A:A,0)),"")</f>
        <v>May</v>
      </c>
      <c r="L677" s="20" t="str">
        <f t="array" ref="L677">IFERROR(INDEX(dim_date!G:G,MATCH(A677,dim_date!A:A,0)),"")</f>
        <v>05</v>
      </c>
      <c r="M677" s="9" t="str">
        <f t="array" ref="M677">IFERROR(INDEX(dim_date!I:I,MATCH(A677,dim_date!A:A,0)),"")</f>
        <v>Q2</v>
      </c>
      <c r="N677" s="20" t="str">
        <f t="array" ref="N677">IFERROR(INDEX(dim_date!K:K,MATCH(A677,dim_date!A:A,0)),"")</f>
        <v>19</v>
      </c>
      <c r="O677" s="9" t="str">
        <f t="array" ref="O677">IFERROR(INDEX(dim_date!F:F,MATCH(A677,dim_date!A:A,0)),"")</f>
        <v>5/3-5/9</v>
      </c>
      <c r="P677" s="9" t="str">
        <f t="array" ref="P677">IFERROR(INDEX(dim_kpi!E:E,MATCH(D677,dim_kpi!C:C,0)),"")</f>
        <v>ratio</v>
      </c>
      <c r="Q677" s="9" t="str">
        <f t="array" ref="Q677">IFERROR(INDEX(dim_kpi!F:F,MATCH(D677,dim_kpi!C:C,0)),"")</f>
        <v>N</v>
      </c>
    </row>
    <row r="678" ht="12.75" customHeight="1">
      <c r="A678" s="20" t="str">
        <f>fact_kpi_weekly!A678</f>
        <v>260510</v>
      </c>
      <c r="B678" s="21">
        <f>fact_kpi_weekly!B678</f>
        <v>46152</v>
      </c>
      <c r="C678" s="9" t="str">
        <f>fact_kpi_weekly!C678</f>
        <v>Growth</v>
      </c>
      <c r="D678" s="9" t="str">
        <f>fact_kpi_weekly!D678</f>
        <v>Enrollment Call Conversions (per rep per hour)</v>
      </c>
      <c r="E678" s="9" t="str">
        <f>fact_kpi_weekly!E678</f>
        <v>Goal</v>
      </c>
      <c r="F678" s="9" t="str">
        <f>IF(fact_kpi_weekly!F678="","",fact_kpi_weekly!F678)</f>
        <v/>
      </c>
      <c r="G678" s="9" t="str">
        <f>fact_kpi_weekly!G678</f>
        <v>N/A</v>
      </c>
      <c r="H678" s="9" t="str">
        <f>fact_kpi_weekly!H678</f>
        <v>Luke</v>
      </c>
      <c r="I678" s="9">
        <f>fact_kpi_weekly!I678</f>
        <v>0.64</v>
      </c>
      <c r="J678" s="22">
        <f>fact_kpi_weekly!J678</f>
        <v>0.64</v>
      </c>
      <c r="K678" s="20" t="str">
        <f t="array" ref="K678">IFERROR(INDEX(dim_date!H:H,MATCH(A678,dim_date!A:A,0)),"")</f>
        <v>May</v>
      </c>
      <c r="L678" s="20" t="str">
        <f t="array" ref="L678">IFERROR(INDEX(dim_date!G:G,MATCH(A678,dim_date!A:A,0)),"")</f>
        <v>05</v>
      </c>
      <c r="M678" s="9" t="str">
        <f t="array" ref="M678">IFERROR(INDEX(dim_date!I:I,MATCH(A678,dim_date!A:A,0)),"")</f>
        <v>Q2</v>
      </c>
      <c r="N678" s="20" t="str">
        <f t="array" ref="N678">IFERROR(INDEX(dim_date!K:K,MATCH(A678,dim_date!A:A,0)),"")</f>
        <v>20</v>
      </c>
      <c r="O678" s="9" t="str">
        <f t="array" ref="O678">IFERROR(INDEX(dim_date!F:F,MATCH(A678,dim_date!A:A,0)),"")</f>
        <v>5/10-5/16</v>
      </c>
      <c r="P678" s="9" t="str">
        <f t="array" ref="P678">IFERROR(INDEX(dim_kpi!E:E,MATCH(D678,dim_kpi!C:C,0)),"")</f>
        <v>ratio</v>
      </c>
      <c r="Q678" s="9" t="str">
        <f t="array" ref="Q678">IFERROR(INDEX(dim_kpi!F:F,MATCH(D678,dim_kpi!C:C,0)),"")</f>
        <v>N</v>
      </c>
    </row>
    <row r="679" ht="12.75" customHeight="1">
      <c r="A679" s="20" t="str">
        <f>fact_kpi_weekly!A679</f>
        <v>260517</v>
      </c>
      <c r="B679" s="21">
        <f>fact_kpi_weekly!B679</f>
        <v>46159</v>
      </c>
      <c r="C679" s="9" t="str">
        <f>fact_kpi_weekly!C679</f>
        <v>Growth</v>
      </c>
      <c r="D679" s="9" t="str">
        <f>fact_kpi_weekly!D679</f>
        <v>Enrollment Call Conversions (per rep per hour)</v>
      </c>
      <c r="E679" s="9" t="str">
        <f>fact_kpi_weekly!E679</f>
        <v>Goal</v>
      </c>
      <c r="F679" s="9" t="str">
        <f>IF(fact_kpi_weekly!F679="","",fact_kpi_weekly!F679)</f>
        <v/>
      </c>
      <c r="G679" s="9" t="str">
        <f>fact_kpi_weekly!G679</f>
        <v>N/A</v>
      </c>
      <c r="H679" s="9" t="str">
        <f>fact_kpi_weekly!H679</f>
        <v>Luke</v>
      </c>
      <c r="I679" s="9">
        <f>fact_kpi_weekly!I679</f>
        <v>0.64</v>
      </c>
      <c r="J679" s="22">
        <f>fact_kpi_weekly!J679</f>
        <v>0.64</v>
      </c>
      <c r="K679" s="20" t="str">
        <f t="array" ref="K679">IFERROR(INDEX(dim_date!H:H,MATCH(A679,dim_date!A:A,0)),"")</f>
        <v>May</v>
      </c>
      <c r="L679" s="20" t="str">
        <f t="array" ref="L679">IFERROR(INDEX(dim_date!G:G,MATCH(A679,dim_date!A:A,0)),"")</f>
        <v>05</v>
      </c>
      <c r="M679" s="9" t="str">
        <f t="array" ref="M679">IFERROR(INDEX(dim_date!I:I,MATCH(A679,dim_date!A:A,0)),"")</f>
        <v>Q2</v>
      </c>
      <c r="N679" s="20" t="str">
        <f t="array" ref="N679">IFERROR(INDEX(dim_date!K:K,MATCH(A679,dim_date!A:A,0)),"")</f>
        <v>21</v>
      </c>
      <c r="O679" s="9" t="str">
        <f t="array" ref="O679">IFERROR(INDEX(dim_date!F:F,MATCH(A679,dim_date!A:A,0)),"")</f>
        <v>5/17-5/23</v>
      </c>
      <c r="P679" s="9" t="str">
        <f t="array" ref="P679">IFERROR(INDEX(dim_kpi!E:E,MATCH(D679,dim_kpi!C:C,0)),"")</f>
        <v>ratio</v>
      </c>
      <c r="Q679" s="9" t="str">
        <f t="array" ref="Q679">IFERROR(INDEX(dim_kpi!F:F,MATCH(D679,dim_kpi!C:C,0)),"")</f>
        <v>N</v>
      </c>
    </row>
    <row r="680" ht="12.75" customHeight="1">
      <c r="A680" s="20" t="str">
        <f>fact_kpi_weekly!A680</f>
        <v>260524</v>
      </c>
      <c r="B680" s="21">
        <f>fact_kpi_weekly!B680</f>
        <v>46166</v>
      </c>
      <c r="C680" s="9" t="str">
        <f>fact_kpi_weekly!C680</f>
        <v>Growth</v>
      </c>
      <c r="D680" s="9" t="str">
        <f>fact_kpi_weekly!D680</f>
        <v>Enrollment Call Conversions (per rep per hour)</v>
      </c>
      <c r="E680" s="9" t="str">
        <f>fact_kpi_weekly!E680</f>
        <v>Goal</v>
      </c>
      <c r="F680" s="9" t="str">
        <f>IF(fact_kpi_weekly!F680="","",fact_kpi_weekly!F680)</f>
        <v/>
      </c>
      <c r="G680" s="9" t="str">
        <f>fact_kpi_weekly!G680</f>
        <v>N/A</v>
      </c>
      <c r="H680" s="9" t="str">
        <f>fact_kpi_weekly!H680</f>
        <v>Luke</v>
      </c>
      <c r="I680" s="9">
        <f>fact_kpi_weekly!I680</f>
        <v>0.64</v>
      </c>
      <c r="J680" s="22">
        <f>fact_kpi_weekly!J680</f>
        <v>0.64</v>
      </c>
      <c r="K680" s="20" t="str">
        <f t="array" ref="K680">IFERROR(INDEX(dim_date!H:H,MATCH(A680,dim_date!A:A,0)),"")</f>
        <v>May</v>
      </c>
      <c r="L680" s="20" t="str">
        <f t="array" ref="L680">IFERROR(INDEX(dim_date!G:G,MATCH(A680,dim_date!A:A,0)),"")</f>
        <v>05</v>
      </c>
      <c r="M680" s="9" t="str">
        <f t="array" ref="M680">IFERROR(INDEX(dim_date!I:I,MATCH(A680,dim_date!A:A,0)),"")</f>
        <v>Q2</v>
      </c>
      <c r="N680" s="20" t="str">
        <f t="array" ref="N680">IFERROR(INDEX(dim_date!K:K,MATCH(A680,dim_date!A:A,0)),"")</f>
        <v>22</v>
      </c>
      <c r="O680" s="9" t="str">
        <f t="array" ref="O680">IFERROR(INDEX(dim_date!F:F,MATCH(A680,dim_date!A:A,0)),"")</f>
        <v>5/24-5/30</v>
      </c>
      <c r="P680" s="9" t="str">
        <f t="array" ref="P680">IFERROR(INDEX(dim_kpi!E:E,MATCH(D680,dim_kpi!C:C,0)),"")</f>
        <v>ratio</v>
      </c>
      <c r="Q680" s="9" t="str">
        <f t="array" ref="Q680">IFERROR(INDEX(dim_kpi!F:F,MATCH(D680,dim_kpi!C:C,0)),"")</f>
        <v>N</v>
      </c>
    </row>
    <row r="681" ht="12.75" customHeight="1">
      <c r="A681" s="20" t="str">
        <f>fact_kpi_weekly!A681</f>
        <v>260601</v>
      </c>
      <c r="B681" s="21">
        <f>fact_kpi_weekly!B681</f>
        <v>46174</v>
      </c>
      <c r="C681" s="9" t="str">
        <f>fact_kpi_weekly!C681</f>
        <v>Growth</v>
      </c>
      <c r="D681" s="9" t="str">
        <f>fact_kpi_weekly!D681</f>
        <v>Enrollment Call Conversions (per rep per hour)</v>
      </c>
      <c r="E681" s="9" t="str">
        <f>fact_kpi_weekly!E681</f>
        <v>Goal</v>
      </c>
      <c r="F681" s="9" t="str">
        <f>IF(fact_kpi_weekly!F681="","",fact_kpi_weekly!F681)</f>
        <v/>
      </c>
      <c r="G681" s="9" t="str">
        <f>fact_kpi_weekly!G681</f>
        <v>N/A</v>
      </c>
      <c r="H681" s="9" t="str">
        <f>fact_kpi_weekly!H681</f>
        <v>Luke</v>
      </c>
      <c r="I681" s="9">
        <f>fact_kpi_weekly!I681</f>
        <v>0.61</v>
      </c>
      <c r="J681" s="22">
        <f>fact_kpi_weekly!J681</f>
        <v>0.61</v>
      </c>
      <c r="K681" s="20" t="str">
        <f t="array" ref="K681">IFERROR(INDEX(dim_date!H:H,MATCH(A681,dim_date!A:A,0)),"")</f>
        <v>Jun</v>
      </c>
      <c r="L681" s="20" t="str">
        <f t="array" ref="L681">IFERROR(INDEX(dim_date!G:G,MATCH(A681,dim_date!A:A,0)),"")</f>
        <v>06</v>
      </c>
      <c r="M681" s="9" t="str">
        <f t="array" ref="M681">IFERROR(INDEX(dim_date!I:I,MATCH(A681,dim_date!A:A,0)),"")</f>
        <v>Q2</v>
      </c>
      <c r="N681" s="20" t="str">
        <f t="array" ref="N681">IFERROR(INDEX(dim_date!K:K,MATCH(A681,dim_date!A:A,0)),"")</f>
        <v>23</v>
      </c>
      <c r="O681" s="9" t="str">
        <f t="array" ref="O681">IFERROR(INDEX(dim_date!F:F,MATCH(A681,dim_date!A:A,0)),"")</f>
        <v>5/31-6/6</v>
      </c>
      <c r="P681" s="9" t="str">
        <f t="array" ref="P681">IFERROR(INDEX(dim_kpi!E:E,MATCH(D681,dim_kpi!C:C,0)),"")</f>
        <v>ratio</v>
      </c>
      <c r="Q681" s="9" t="str">
        <f t="array" ref="Q681">IFERROR(INDEX(dim_kpi!F:F,MATCH(D681,dim_kpi!C:C,0)),"")</f>
        <v>N</v>
      </c>
    </row>
    <row r="682" ht="12.75" customHeight="1">
      <c r="A682" s="20" t="str">
        <f>fact_kpi_weekly!A682</f>
        <v>260607</v>
      </c>
      <c r="B682" s="21">
        <f>fact_kpi_weekly!B682</f>
        <v>46180</v>
      </c>
      <c r="C682" s="9" t="str">
        <f>fact_kpi_weekly!C682</f>
        <v>Growth</v>
      </c>
      <c r="D682" s="9" t="str">
        <f>fact_kpi_weekly!D682</f>
        <v>Enrollment Call Conversions (per rep per hour)</v>
      </c>
      <c r="E682" s="9" t="str">
        <f>fact_kpi_weekly!E682</f>
        <v>Goal</v>
      </c>
      <c r="F682" s="9" t="str">
        <f>IF(fact_kpi_weekly!F682="","",fact_kpi_weekly!F682)</f>
        <v/>
      </c>
      <c r="G682" s="9" t="str">
        <f>fact_kpi_weekly!G682</f>
        <v>N/A</v>
      </c>
      <c r="H682" s="9" t="str">
        <f>fact_kpi_weekly!H682</f>
        <v>Luke</v>
      </c>
      <c r="I682" s="9">
        <f>fact_kpi_weekly!I682</f>
        <v>0.61</v>
      </c>
      <c r="J682" s="22">
        <f>fact_kpi_weekly!J682</f>
        <v>0.61</v>
      </c>
      <c r="K682" s="20" t="str">
        <f t="array" ref="K682">IFERROR(INDEX(dim_date!H:H,MATCH(A682,dim_date!A:A,0)),"")</f>
        <v>Jun</v>
      </c>
      <c r="L682" s="20" t="str">
        <f t="array" ref="L682">IFERROR(INDEX(dim_date!G:G,MATCH(A682,dim_date!A:A,0)),"")</f>
        <v>06</v>
      </c>
      <c r="M682" s="9" t="str">
        <f t="array" ref="M682">IFERROR(INDEX(dim_date!I:I,MATCH(A682,dim_date!A:A,0)),"")</f>
        <v>Q2</v>
      </c>
      <c r="N682" s="20" t="str">
        <f t="array" ref="N682">IFERROR(INDEX(dim_date!K:K,MATCH(A682,dim_date!A:A,0)),"")</f>
        <v>24</v>
      </c>
      <c r="O682" s="9" t="str">
        <f t="array" ref="O682">IFERROR(INDEX(dim_date!F:F,MATCH(A682,dim_date!A:A,0)),"")</f>
        <v>6/7-6/13</v>
      </c>
      <c r="P682" s="9" t="str">
        <f t="array" ref="P682">IFERROR(INDEX(dim_kpi!E:E,MATCH(D682,dim_kpi!C:C,0)),"")</f>
        <v>ratio</v>
      </c>
      <c r="Q682" s="9" t="str">
        <f t="array" ref="Q682">IFERROR(INDEX(dim_kpi!F:F,MATCH(D682,dim_kpi!C:C,0)),"")</f>
        <v>N</v>
      </c>
    </row>
    <row r="683" ht="12.75" customHeight="1">
      <c r="A683" s="20" t="str">
        <f>fact_kpi_weekly!A683</f>
        <v>260614</v>
      </c>
      <c r="B683" s="21">
        <f>fact_kpi_weekly!B683</f>
        <v>46187</v>
      </c>
      <c r="C683" s="9" t="str">
        <f>fact_kpi_weekly!C683</f>
        <v>Growth</v>
      </c>
      <c r="D683" s="9" t="str">
        <f>fact_kpi_weekly!D683</f>
        <v>Enrollment Call Conversions (per rep per hour)</v>
      </c>
      <c r="E683" s="9" t="str">
        <f>fact_kpi_weekly!E683</f>
        <v>Goal</v>
      </c>
      <c r="F683" s="9" t="str">
        <f>IF(fact_kpi_weekly!F683="","",fact_kpi_weekly!F683)</f>
        <v/>
      </c>
      <c r="G683" s="9" t="str">
        <f>fact_kpi_weekly!G683</f>
        <v>N/A</v>
      </c>
      <c r="H683" s="9" t="str">
        <f>fact_kpi_weekly!H683</f>
        <v>Luke</v>
      </c>
      <c r="I683" s="9">
        <f>fact_kpi_weekly!I683</f>
        <v>0.61</v>
      </c>
      <c r="J683" s="22">
        <f>fact_kpi_weekly!J683</f>
        <v>0.61</v>
      </c>
      <c r="K683" s="20" t="str">
        <f t="array" ref="K683">IFERROR(INDEX(dim_date!H:H,MATCH(A683,dim_date!A:A,0)),"")</f>
        <v>Jun</v>
      </c>
      <c r="L683" s="20" t="str">
        <f t="array" ref="L683">IFERROR(INDEX(dim_date!G:G,MATCH(A683,dim_date!A:A,0)),"")</f>
        <v>06</v>
      </c>
      <c r="M683" s="9" t="str">
        <f t="array" ref="M683">IFERROR(INDEX(dim_date!I:I,MATCH(A683,dim_date!A:A,0)),"")</f>
        <v>Q2</v>
      </c>
      <c r="N683" s="20" t="str">
        <f t="array" ref="N683">IFERROR(INDEX(dim_date!K:K,MATCH(A683,dim_date!A:A,0)),"")</f>
        <v>25</v>
      </c>
      <c r="O683" s="9" t="str">
        <f t="array" ref="O683">IFERROR(INDEX(dim_date!F:F,MATCH(A683,dim_date!A:A,0)),"")</f>
        <v>6/14-6/20</v>
      </c>
      <c r="P683" s="9" t="str">
        <f t="array" ref="P683">IFERROR(INDEX(dim_kpi!E:E,MATCH(D683,dim_kpi!C:C,0)),"")</f>
        <v>ratio</v>
      </c>
      <c r="Q683" s="9" t="str">
        <f t="array" ref="Q683">IFERROR(INDEX(dim_kpi!F:F,MATCH(D683,dim_kpi!C:C,0)),"")</f>
        <v>N</v>
      </c>
    </row>
    <row r="684" ht="12.75" customHeight="1">
      <c r="A684" s="20" t="str">
        <f>fact_kpi_weekly!A684</f>
        <v>260621</v>
      </c>
      <c r="B684" s="21">
        <f>fact_kpi_weekly!B684</f>
        <v>46194</v>
      </c>
      <c r="C684" s="9" t="str">
        <f>fact_kpi_weekly!C684</f>
        <v>Growth</v>
      </c>
      <c r="D684" s="9" t="str">
        <f>fact_kpi_weekly!D684</f>
        <v>Enrollment Call Conversions (per rep per hour)</v>
      </c>
      <c r="E684" s="9" t="str">
        <f>fact_kpi_weekly!E684</f>
        <v>Goal</v>
      </c>
      <c r="F684" s="9" t="str">
        <f>IF(fact_kpi_weekly!F684="","",fact_kpi_weekly!F684)</f>
        <v/>
      </c>
      <c r="G684" s="9" t="str">
        <f>fact_kpi_weekly!G684</f>
        <v>N/A</v>
      </c>
      <c r="H684" s="9" t="str">
        <f>fact_kpi_weekly!H684</f>
        <v>Luke</v>
      </c>
      <c r="I684" s="9">
        <f>fact_kpi_weekly!I684</f>
        <v>0.61</v>
      </c>
      <c r="J684" s="22">
        <f>fact_kpi_weekly!J684</f>
        <v>0.61</v>
      </c>
      <c r="K684" s="20" t="str">
        <f t="array" ref="K684">IFERROR(INDEX(dim_date!H:H,MATCH(A684,dim_date!A:A,0)),"")</f>
        <v>Jun</v>
      </c>
      <c r="L684" s="20" t="str">
        <f t="array" ref="L684">IFERROR(INDEX(dim_date!G:G,MATCH(A684,dim_date!A:A,0)),"")</f>
        <v>06</v>
      </c>
      <c r="M684" s="9" t="str">
        <f t="array" ref="M684">IFERROR(INDEX(dim_date!I:I,MATCH(A684,dim_date!A:A,0)),"")</f>
        <v>Q2</v>
      </c>
      <c r="N684" s="20" t="str">
        <f t="array" ref="N684">IFERROR(INDEX(dim_date!K:K,MATCH(A684,dim_date!A:A,0)),"")</f>
        <v>26</v>
      </c>
      <c r="O684" s="9" t="str">
        <f t="array" ref="O684">IFERROR(INDEX(dim_date!F:F,MATCH(A684,dim_date!A:A,0)),"")</f>
        <v>6/21-6/27</v>
      </c>
      <c r="P684" s="9" t="str">
        <f t="array" ref="P684">IFERROR(INDEX(dim_kpi!E:E,MATCH(D684,dim_kpi!C:C,0)),"")</f>
        <v>ratio</v>
      </c>
      <c r="Q684" s="9" t="str">
        <f t="array" ref="Q684">IFERROR(INDEX(dim_kpi!F:F,MATCH(D684,dim_kpi!C:C,0)),"")</f>
        <v>N</v>
      </c>
    </row>
    <row r="685" ht="12.75" customHeight="1">
      <c r="A685" s="20" t="str">
        <f>fact_kpi_weekly!A685</f>
        <v>260628</v>
      </c>
      <c r="B685" s="21">
        <f>fact_kpi_weekly!B685</f>
        <v>46201</v>
      </c>
      <c r="C685" s="9" t="str">
        <f>fact_kpi_weekly!C685</f>
        <v>Growth</v>
      </c>
      <c r="D685" s="9" t="str">
        <f>fact_kpi_weekly!D685</f>
        <v>Enrollment Call Conversions (per rep per hour)</v>
      </c>
      <c r="E685" s="9" t="str">
        <f>fact_kpi_weekly!E685</f>
        <v>Goal</v>
      </c>
      <c r="F685" s="9" t="str">
        <f>IF(fact_kpi_weekly!F685="","",fact_kpi_weekly!F685)</f>
        <v/>
      </c>
      <c r="G685" s="9" t="str">
        <f>fact_kpi_weekly!G685</f>
        <v>N/A</v>
      </c>
      <c r="H685" s="9" t="str">
        <f>fact_kpi_weekly!H685</f>
        <v>Luke</v>
      </c>
      <c r="I685" s="9">
        <f>fact_kpi_weekly!I685</f>
        <v>0.61</v>
      </c>
      <c r="J685" s="22">
        <f>fact_kpi_weekly!J685</f>
        <v>0.61</v>
      </c>
      <c r="K685" s="20" t="str">
        <f t="array" ref="K685">IFERROR(INDEX(dim_date!H:H,MATCH(A685,dim_date!A:A,0)),"")</f>
        <v>Jun</v>
      </c>
      <c r="L685" s="20" t="str">
        <f t="array" ref="L685">IFERROR(INDEX(dim_date!G:G,MATCH(A685,dim_date!A:A,0)),"")</f>
        <v>06</v>
      </c>
      <c r="M685" s="9" t="str">
        <f t="array" ref="M685">IFERROR(INDEX(dim_date!I:I,MATCH(A685,dim_date!A:A,0)),"")</f>
        <v>Q2</v>
      </c>
      <c r="N685" s="20" t="str">
        <f t="array" ref="N685">IFERROR(INDEX(dim_date!K:K,MATCH(A685,dim_date!A:A,0)),"")</f>
        <v>27</v>
      </c>
      <c r="O685" s="9" t="str">
        <f t="array" ref="O685">IFERROR(INDEX(dim_date!F:F,MATCH(A685,dim_date!A:A,0)),"")</f>
        <v>6/28-7/4</v>
      </c>
      <c r="P685" s="9" t="str">
        <f t="array" ref="P685">IFERROR(INDEX(dim_kpi!E:E,MATCH(D685,dim_kpi!C:C,0)),"")</f>
        <v>ratio</v>
      </c>
      <c r="Q685" s="9" t="str">
        <f t="array" ref="Q685">IFERROR(INDEX(dim_kpi!F:F,MATCH(D685,dim_kpi!C:C,0)),"")</f>
        <v>N</v>
      </c>
    </row>
    <row r="686" ht="12.75" customHeight="1">
      <c r="A686" s="20" t="str">
        <f>fact_kpi_weekly!A686</f>
        <v>260705</v>
      </c>
      <c r="B686" s="21">
        <f>fact_kpi_weekly!B686</f>
        <v>46208</v>
      </c>
      <c r="C686" s="9" t="str">
        <f>fact_kpi_weekly!C686</f>
        <v>Growth</v>
      </c>
      <c r="D686" s="9" t="str">
        <f>fact_kpi_weekly!D686</f>
        <v>Enrollment Call Conversions (per rep per hour)</v>
      </c>
      <c r="E686" s="9" t="str">
        <f>fact_kpi_weekly!E686</f>
        <v>Goal</v>
      </c>
      <c r="F686" s="9" t="str">
        <f>IF(fact_kpi_weekly!F686="","",fact_kpi_weekly!F686)</f>
        <v/>
      </c>
      <c r="G686" s="9" t="str">
        <f>fact_kpi_weekly!G686</f>
        <v>N/A</v>
      </c>
      <c r="H686" s="9" t="str">
        <f>fact_kpi_weekly!H686</f>
        <v>Luke</v>
      </c>
      <c r="I686" s="9">
        <f>fact_kpi_weekly!I686</f>
        <v>0.57</v>
      </c>
      <c r="J686" s="22">
        <f>fact_kpi_weekly!J686</f>
        <v>0.57</v>
      </c>
      <c r="K686" s="20" t="str">
        <f t="array" ref="K686">IFERROR(INDEX(dim_date!H:H,MATCH(A686,dim_date!A:A,0)),"")</f>
        <v>Jul</v>
      </c>
      <c r="L686" s="20" t="str">
        <f t="array" ref="L686">IFERROR(INDEX(dim_date!G:G,MATCH(A686,dim_date!A:A,0)),"")</f>
        <v>07</v>
      </c>
      <c r="M686" s="9" t="str">
        <f t="array" ref="M686">IFERROR(INDEX(dim_date!I:I,MATCH(A686,dim_date!A:A,0)),"")</f>
        <v>Q3</v>
      </c>
      <c r="N686" s="20" t="str">
        <f t="array" ref="N686">IFERROR(INDEX(dim_date!K:K,MATCH(A686,dim_date!A:A,0)),"")</f>
        <v>28</v>
      </c>
      <c r="O686" s="9" t="str">
        <f t="array" ref="O686">IFERROR(INDEX(dim_date!F:F,MATCH(A686,dim_date!A:A,0)),"")</f>
        <v>7/5-7/11</v>
      </c>
      <c r="P686" s="9" t="str">
        <f t="array" ref="P686">IFERROR(INDEX(dim_kpi!E:E,MATCH(D686,dim_kpi!C:C,0)),"")</f>
        <v>ratio</v>
      </c>
      <c r="Q686" s="9" t="str">
        <f t="array" ref="Q686">IFERROR(INDEX(dim_kpi!F:F,MATCH(D686,dim_kpi!C:C,0)),"")</f>
        <v>N</v>
      </c>
    </row>
    <row r="687" ht="12.75" customHeight="1">
      <c r="A687" s="20" t="str">
        <f>fact_kpi_weekly!A687</f>
        <v>260712</v>
      </c>
      <c r="B687" s="21">
        <f>fact_kpi_weekly!B687</f>
        <v>46215</v>
      </c>
      <c r="C687" s="9" t="str">
        <f>fact_kpi_weekly!C687</f>
        <v>Growth</v>
      </c>
      <c r="D687" s="9" t="str">
        <f>fact_kpi_weekly!D687</f>
        <v>Enrollment Call Conversions (per rep per hour)</v>
      </c>
      <c r="E687" s="9" t="str">
        <f>fact_kpi_weekly!E687</f>
        <v>Goal</v>
      </c>
      <c r="F687" s="9" t="str">
        <f>IF(fact_kpi_weekly!F687="","",fact_kpi_weekly!F687)</f>
        <v/>
      </c>
      <c r="G687" s="9" t="str">
        <f>fact_kpi_weekly!G687</f>
        <v>N/A</v>
      </c>
      <c r="H687" s="9" t="str">
        <f>fact_kpi_weekly!H687</f>
        <v>Luke</v>
      </c>
      <c r="I687" s="9">
        <f>fact_kpi_weekly!I687</f>
        <v>0.57</v>
      </c>
      <c r="J687" s="22">
        <f>fact_kpi_weekly!J687</f>
        <v>0.57</v>
      </c>
      <c r="K687" s="20" t="str">
        <f t="array" ref="K687">IFERROR(INDEX(dim_date!H:H,MATCH(A687,dim_date!A:A,0)),"")</f>
        <v>Jul</v>
      </c>
      <c r="L687" s="20" t="str">
        <f t="array" ref="L687">IFERROR(INDEX(dim_date!G:G,MATCH(A687,dim_date!A:A,0)),"")</f>
        <v>07</v>
      </c>
      <c r="M687" s="9" t="str">
        <f t="array" ref="M687">IFERROR(INDEX(dim_date!I:I,MATCH(A687,dim_date!A:A,0)),"")</f>
        <v>Q3</v>
      </c>
      <c r="N687" s="20" t="str">
        <f t="array" ref="N687">IFERROR(INDEX(dim_date!K:K,MATCH(A687,dim_date!A:A,0)),"")</f>
        <v>29</v>
      </c>
      <c r="O687" s="9" t="str">
        <f t="array" ref="O687">IFERROR(INDEX(dim_date!F:F,MATCH(A687,dim_date!A:A,0)),"")</f>
        <v>7/12-7/18</v>
      </c>
      <c r="P687" s="9" t="str">
        <f t="array" ref="P687">IFERROR(INDEX(dim_kpi!E:E,MATCH(D687,dim_kpi!C:C,0)),"")</f>
        <v>ratio</v>
      </c>
      <c r="Q687" s="9" t="str">
        <f t="array" ref="Q687">IFERROR(INDEX(dim_kpi!F:F,MATCH(D687,dim_kpi!C:C,0)),"")</f>
        <v>N</v>
      </c>
    </row>
    <row r="688" ht="12.75" customHeight="1">
      <c r="A688" s="20" t="str">
        <f>fact_kpi_weekly!A688</f>
        <v>260719</v>
      </c>
      <c r="B688" s="21">
        <f>fact_kpi_weekly!B688</f>
        <v>46222</v>
      </c>
      <c r="C688" s="9" t="str">
        <f>fact_kpi_weekly!C688</f>
        <v>Growth</v>
      </c>
      <c r="D688" s="9" t="str">
        <f>fact_kpi_weekly!D688</f>
        <v>Enrollment Call Conversions (per rep per hour)</v>
      </c>
      <c r="E688" s="9" t="str">
        <f>fact_kpi_weekly!E688</f>
        <v>Goal</v>
      </c>
      <c r="F688" s="9" t="str">
        <f>IF(fact_kpi_weekly!F688="","",fact_kpi_weekly!F688)</f>
        <v/>
      </c>
      <c r="G688" s="9" t="str">
        <f>fact_kpi_weekly!G688</f>
        <v>N/A</v>
      </c>
      <c r="H688" s="9" t="str">
        <f>fact_kpi_weekly!H688</f>
        <v>Luke</v>
      </c>
      <c r="I688" s="9">
        <f>fact_kpi_weekly!I688</f>
        <v>0.57</v>
      </c>
      <c r="J688" s="22">
        <f>fact_kpi_weekly!J688</f>
        <v>0.57</v>
      </c>
      <c r="K688" s="20" t="str">
        <f t="array" ref="K688">IFERROR(INDEX(dim_date!H:H,MATCH(A688,dim_date!A:A,0)),"")</f>
        <v>Jul</v>
      </c>
      <c r="L688" s="20" t="str">
        <f t="array" ref="L688">IFERROR(INDEX(dim_date!G:G,MATCH(A688,dim_date!A:A,0)),"")</f>
        <v>07</v>
      </c>
      <c r="M688" s="9" t="str">
        <f t="array" ref="M688">IFERROR(INDEX(dim_date!I:I,MATCH(A688,dim_date!A:A,0)),"")</f>
        <v>Q3</v>
      </c>
      <c r="N688" s="20" t="str">
        <f t="array" ref="N688">IFERROR(INDEX(dim_date!K:K,MATCH(A688,dim_date!A:A,0)),"")</f>
        <v>30</v>
      </c>
      <c r="O688" s="9" t="str">
        <f t="array" ref="O688">IFERROR(INDEX(dim_date!F:F,MATCH(A688,dim_date!A:A,0)),"")</f>
        <v>7/19-7/25</v>
      </c>
      <c r="P688" s="9" t="str">
        <f t="array" ref="P688">IFERROR(INDEX(dim_kpi!E:E,MATCH(D688,dim_kpi!C:C,0)),"")</f>
        <v>ratio</v>
      </c>
      <c r="Q688" s="9" t="str">
        <f t="array" ref="Q688">IFERROR(INDEX(dim_kpi!F:F,MATCH(D688,dim_kpi!C:C,0)),"")</f>
        <v>N</v>
      </c>
    </row>
    <row r="689" ht="12.75" customHeight="1">
      <c r="A689" s="20" t="str">
        <f>fact_kpi_weekly!A689</f>
        <v>260726</v>
      </c>
      <c r="B689" s="21">
        <f>fact_kpi_weekly!B689</f>
        <v>46229</v>
      </c>
      <c r="C689" s="9" t="str">
        <f>fact_kpi_weekly!C689</f>
        <v>Growth</v>
      </c>
      <c r="D689" s="9" t="str">
        <f>fact_kpi_weekly!D689</f>
        <v>Enrollment Call Conversions (per rep per hour)</v>
      </c>
      <c r="E689" s="9" t="str">
        <f>fact_kpi_weekly!E689</f>
        <v>Goal</v>
      </c>
      <c r="F689" s="9" t="str">
        <f>IF(fact_kpi_weekly!F689="","",fact_kpi_weekly!F689)</f>
        <v/>
      </c>
      <c r="G689" s="9" t="str">
        <f>fact_kpi_weekly!G689</f>
        <v>N/A</v>
      </c>
      <c r="H689" s="9" t="str">
        <f>fact_kpi_weekly!H689</f>
        <v>Luke</v>
      </c>
      <c r="I689" s="9">
        <f>fact_kpi_weekly!I689</f>
        <v>0.57</v>
      </c>
      <c r="J689" s="22">
        <f>fact_kpi_weekly!J689</f>
        <v>0.57</v>
      </c>
      <c r="K689" s="20" t="str">
        <f t="array" ref="K689">IFERROR(INDEX(dim_date!H:H,MATCH(A689,dim_date!A:A,0)),"")</f>
        <v>Jul</v>
      </c>
      <c r="L689" s="20" t="str">
        <f t="array" ref="L689">IFERROR(INDEX(dim_date!G:G,MATCH(A689,dim_date!A:A,0)),"")</f>
        <v>07</v>
      </c>
      <c r="M689" s="9" t="str">
        <f t="array" ref="M689">IFERROR(INDEX(dim_date!I:I,MATCH(A689,dim_date!A:A,0)),"")</f>
        <v>Q3</v>
      </c>
      <c r="N689" s="20" t="str">
        <f t="array" ref="N689">IFERROR(INDEX(dim_date!K:K,MATCH(A689,dim_date!A:A,0)),"")</f>
        <v>31</v>
      </c>
      <c r="O689" s="9" t="str">
        <f t="array" ref="O689">IFERROR(INDEX(dim_date!F:F,MATCH(A689,dim_date!A:A,0)),"")</f>
        <v>7/26-8/1</v>
      </c>
      <c r="P689" s="9" t="str">
        <f t="array" ref="P689">IFERROR(INDEX(dim_kpi!E:E,MATCH(D689,dim_kpi!C:C,0)),"")</f>
        <v>ratio</v>
      </c>
      <c r="Q689" s="9" t="str">
        <f t="array" ref="Q689">IFERROR(INDEX(dim_kpi!F:F,MATCH(D689,dim_kpi!C:C,0)),"")</f>
        <v>N</v>
      </c>
    </row>
    <row r="690" ht="12.75" customHeight="1">
      <c r="A690" s="20" t="str">
        <f>fact_kpi_weekly!A690</f>
        <v>260802</v>
      </c>
      <c r="B690" s="21">
        <f>fact_kpi_weekly!B690</f>
        <v>46236</v>
      </c>
      <c r="C690" s="9" t="str">
        <f>fact_kpi_weekly!C690</f>
        <v>Growth</v>
      </c>
      <c r="D690" s="9" t="str">
        <f>fact_kpi_weekly!D690</f>
        <v>Enrollment Call Conversions (per rep per hour)</v>
      </c>
      <c r="E690" s="9" t="str">
        <f>fact_kpi_weekly!E690</f>
        <v>Goal</v>
      </c>
      <c r="F690" s="9" t="str">
        <f>IF(fact_kpi_weekly!F690="","",fact_kpi_weekly!F690)</f>
        <v/>
      </c>
      <c r="G690" s="9" t="str">
        <f>fact_kpi_weekly!G690</f>
        <v>N/A</v>
      </c>
      <c r="H690" s="9" t="str">
        <f>fact_kpi_weekly!H690</f>
        <v>Luke</v>
      </c>
      <c r="I690" s="9">
        <f>fact_kpi_weekly!I690</f>
        <v>0.56</v>
      </c>
      <c r="J690" s="22">
        <f>fact_kpi_weekly!J690</f>
        <v>0.56</v>
      </c>
      <c r="K690" s="20" t="str">
        <f t="array" ref="K690">IFERROR(INDEX(dim_date!H:H,MATCH(A690,dim_date!A:A,0)),"")</f>
        <v>Aug</v>
      </c>
      <c r="L690" s="20" t="str">
        <f t="array" ref="L690">IFERROR(INDEX(dim_date!G:G,MATCH(A690,dim_date!A:A,0)),"")</f>
        <v>08</v>
      </c>
      <c r="M690" s="9" t="str">
        <f t="array" ref="M690">IFERROR(INDEX(dim_date!I:I,MATCH(A690,dim_date!A:A,0)),"")</f>
        <v>Q3</v>
      </c>
      <c r="N690" s="20" t="str">
        <f t="array" ref="N690">IFERROR(INDEX(dim_date!K:K,MATCH(A690,dim_date!A:A,0)),"")</f>
        <v>32</v>
      </c>
      <c r="O690" s="9" t="str">
        <f t="array" ref="O690">IFERROR(INDEX(dim_date!F:F,MATCH(A690,dim_date!A:A,0)),"")</f>
        <v>8/2-8/8</v>
      </c>
      <c r="P690" s="9" t="str">
        <f t="array" ref="P690">IFERROR(INDEX(dim_kpi!E:E,MATCH(D690,dim_kpi!C:C,0)),"")</f>
        <v>ratio</v>
      </c>
      <c r="Q690" s="9" t="str">
        <f t="array" ref="Q690">IFERROR(INDEX(dim_kpi!F:F,MATCH(D690,dim_kpi!C:C,0)),"")</f>
        <v>N</v>
      </c>
    </row>
    <row r="691" ht="12.75" customHeight="1">
      <c r="A691" s="20" t="str">
        <f>fact_kpi_weekly!A691</f>
        <v>260809</v>
      </c>
      <c r="B691" s="21">
        <f>fact_kpi_weekly!B691</f>
        <v>46243</v>
      </c>
      <c r="C691" s="9" t="str">
        <f>fact_kpi_weekly!C691</f>
        <v>Growth</v>
      </c>
      <c r="D691" s="9" t="str">
        <f>fact_kpi_weekly!D691</f>
        <v>Enrollment Call Conversions (per rep per hour)</v>
      </c>
      <c r="E691" s="9" t="str">
        <f>fact_kpi_weekly!E691</f>
        <v>Goal</v>
      </c>
      <c r="F691" s="9" t="str">
        <f>IF(fact_kpi_weekly!F691="","",fact_kpi_weekly!F691)</f>
        <v/>
      </c>
      <c r="G691" s="9" t="str">
        <f>fact_kpi_weekly!G691</f>
        <v>N/A</v>
      </c>
      <c r="H691" s="9" t="str">
        <f>fact_kpi_weekly!H691</f>
        <v>Luke</v>
      </c>
      <c r="I691" s="9">
        <f>fact_kpi_weekly!I691</f>
        <v>0.56</v>
      </c>
      <c r="J691" s="22">
        <f>fact_kpi_weekly!J691</f>
        <v>0.56</v>
      </c>
      <c r="K691" s="20" t="str">
        <f t="array" ref="K691">IFERROR(INDEX(dim_date!H:H,MATCH(A691,dim_date!A:A,0)),"")</f>
        <v>Aug</v>
      </c>
      <c r="L691" s="20" t="str">
        <f t="array" ref="L691">IFERROR(INDEX(dim_date!G:G,MATCH(A691,dim_date!A:A,0)),"")</f>
        <v>08</v>
      </c>
      <c r="M691" s="9" t="str">
        <f t="array" ref="M691">IFERROR(INDEX(dim_date!I:I,MATCH(A691,dim_date!A:A,0)),"")</f>
        <v>Q3</v>
      </c>
      <c r="N691" s="20" t="str">
        <f t="array" ref="N691">IFERROR(INDEX(dim_date!K:K,MATCH(A691,dim_date!A:A,0)),"")</f>
        <v>33</v>
      </c>
      <c r="O691" s="9" t="str">
        <f t="array" ref="O691">IFERROR(INDEX(dim_date!F:F,MATCH(A691,dim_date!A:A,0)),"")</f>
        <v>8/9-8/15</v>
      </c>
      <c r="P691" s="9" t="str">
        <f t="array" ref="P691">IFERROR(INDEX(dim_kpi!E:E,MATCH(D691,dim_kpi!C:C,0)),"")</f>
        <v>ratio</v>
      </c>
      <c r="Q691" s="9" t="str">
        <f t="array" ref="Q691">IFERROR(INDEX(dim_kpi!F:F,MATCH(D691,dim_kpi!C:C,0)),"")</f>
        <v>N</v>
      </c>
    </row>
    <row r="692" ht="12.75" customHeight="1">
      <c r="A692" s="20" t="str">
        <f>fact_kpi_weekly!A692</f>
        <v>260816</v>
      </c>
      <c r="B692" s="21">
        <f>fact_kpi_weekly!B692</f>
        <v>46250</v>
      </c>
      <c r="C692" s="9" t="str">
        <f>fact_kpi_weekly!C692</f>
        <v>Growth</v>
      </c>
      <c r="D692" s="9" t="str">
        <f>fact_kpi_weekly!D692</f>
        <v>Enrollment Call Conversions (per rep per hour)</v>
      </c>
      <c r="E692" s="9" t="str">
        <f>fact_kpi_weekly!E692</f>
        <v>Goal</v>
      </c>
      <c r="F692" s="9" t="str">
        <f>IF(fact_kpi_weekly!F692="","",fact_kpi_weekly!F692)</f>
        <v/>
      </c>
      <c r="G692" s="9" t="str">
        <f>fact_kpi_weekly!G692</f>
        <v>N/A</v>
      </c>
      <c r="H692" s="9" t="str">
        <f>fact_kpi_weekly!H692</f>
        <v>Luke</v>
      </c>
      <c r="I692" s="9">
        <f>fact_kpi_weekly!I692</f>
        <v>0.56</v>
      </c>
      <c r="J692" s="22">
        <f>fact_kpi_weekly!J692</f>
        <v>0.56</v>
      </c>
      <c r="K692" s="20" t="str">
        <f t="array" ref="K692">IFERROR(INDEX(dim_date!H:H,MATCH(A692,dim_date!A:A,0)),"")</f>
        <v>Aug</v>
      </c>
      <c r="L692" s="20" t="str">
        <f t="array" ref="L692">IFERROR(INDEX(dim_date!G:G,MATCH(A692,dim_date!A:A,0)),"")</f>
        <v>08</v>
      </c>
      <c r="M692" s="9" t="str">
        <f t="array" ref="M692">IFERROR(INDEX(dim_date!I:I,MATCH(A692,dim_date!A:A,0)),"")</f>
        <v>Q3</v>
      </c>
      <c r="N692" s="20" t="str">
        <f t="array" ref="N692">IFERROR(INDEX(dim_date!K:K,MATCH(A692,dim_date!A:A,0)),"")</f>
        <v>34</v>
      </c>
      <c r="O692" s="9" t="str">
        <f t="array" ref="O692">IFERROR(INDEX(dim_date!F:F,MATCH(A692,dim_date!A:A,0)),"")</f>
        <v>8/16-8/22</v>
      </c>
      <c r="P692" s="9" t="str">
        <f t="array" ref="P692">IFERROR(INDEX(dim_kpi!E:E,MATCH(D692,dim_kpi!C:C,0)),"")</f>
        <v>ratio</v>
      </c>
      <c r="Q692" s="9" t="str">
        <f t="array" ref="Q692">IFERROR(INDEX(dim_kpi!F:F,MATCH(D692,dim_kpi!C:C,0)),"")</f>
        <v>N</v>
      </c>
    </row>
    <row r="693" ht="12.75" customHeight="1">
      <c r="A693" s="20" t="str">
        <f>fact_kpi_weekly!A693</f>
        <v>260823</v>
      </c>
      <c r="B693" s="21">
        <f>fact_kpi_weekly!B693</f>
        <v>46257</v>
      </c>
      <c r="C693" s="9" t="str">
        <f>fact_kpi_weekly!C693</f>
        <v>Growth</v>
      </c>
      <c r="D693" s="9" t="str">
        <f>fact_kpi_weekly!D693</f>
        <v>Enrollment Call Conversions (per rep per hour)</v>
      </c>
      <c r="E693" s="9" t="str">
        <f>fact_kpi_weekly!E693</f>
        <v>Goal</v>
      </c>
      <c r="F693" s="9" t="str">
        <f>IF(fact_kpi_weekly!F693="","",fact_kpi_weekly!F693)</f>
        <v/>
      </c>
      <c r="G693" s="9" t="str">
        <f>fact_kpi_weekly!G693</f>
        <v>N/A</v>
      </c>
      <c r="H693" s="9" t="str">
        <f>fact_kpi_weekly!H693</f>
        <v>Luke</v>
      </c>
      <c r="I693" s="9">
        <f>fact_kpi_weekly!I693</f>
        <v>0.56</v>
      </c>
      <c r="J693" s="22">
        <f>fact_kpi_weekly!J693</f>
        <v>0.56</v>
      </c>
      <c r="K693" s="20" t="str">
        <f t="array" ref="K693">IFERROR(INDEX(dim_date!H:H,MATCH(A693,dim_date!A:A,0)),"")</f>
        <v>Aug</v>
      </c>
      <c r="L693" s="20" t="str">
        <f t="array" ref="L693">IFERROR(INDEX(dim_date!G:G,MATCH(A693,dim_date!A:A,0)),"")</f>
        <v>08</v>
      </c>
      <c r="M693" s="9" t="str">
        <f t="array" ref="M693">IFERROR(INDEX(dim_date!I:I,MATCH(A693,dim_date!A:A,0)),"")</f>
        <v>Q3</v>
      </c>
      <c r="N693" s="20" t="str">
        <f t="array" ref="N693">IFERROR(INDEX(dim_date!K:K,MATCH(A693,dim_date!A:A,0)),"")</f>
        <v>35</v>
      </c>
      <c r="O693" s="9" t="str">
        <f t="array" ref="O693">IFERROR(INDEX(dim_date!F:F,MATCH(A693,dim_date!A:A,0)),"")</f>
        <v>8/23-8/29</v>
      </c>
      <c r="P693" s="9" t="str">
        <f t="array" ref="P693">IFERROR(INDEX(dim_kpi!E:E,MATCH(D693,dim_kpi!C:C,0)),"")</f>
        <v>ratio</v>
      </c>
      <c r="Q693" s="9" t="str">
        <f t="array" ref="Q693">IFERROR(INDEX(dim_kpi!F:F,MATCH(D693,dim_kpi!C:C,0)),"")</f>
        <v>N</v>
      </c>
    </row>
    <row r="694" ht="12.75" customHeight="1">
      <c r="A694" s="20" t="str">
        <f>fact_kpi_weekly!A694</f>
        <v>260830</v>
      </c>
      <c r="B694" s="21">
        <f>fact_kpi_weekly!B694</f>
        <v>46264</v>
      </c>
      <c r="C694" s="9" t="str">
        <f>fact_kpi_weekly!C694</f>
        <v>Growth</v>
      </c>
      <c r="D694" s="9" t="str">
        <f>fact_kpi_weekly!D694</f>
        <v>Enrollment Call Conversions (per rep per hour)</v>
      </c>
      <c r="E694" s="9" t="str">
        <f>fact_kpi_weekly!E694</f>
        <v>Goal</v>
      </c>
      <c r="F694" s="9" t="str">
        <f>IF(fact_kpi_weekly!F694="","",fact_kpi_weekly!F694)</f>
        <v/>
      </c>
      <c r="G694" s="9" t="str">
        <f>fact_kpi_weekly!G694</f>
        <v>N/A</v>
      </c>
      <c r="H694" s="9" t="str">
        <f>fact_kpi_weekly!H694</f>
        <v>Luke</v>
      </c>
      <c r="I694" s="9">
        <f>fact_kpi_weekly!I694</f>
        <v>0.58</v>
      </c>
      <c r="J694" s="22">
        <f>fact_kpi_weekly!J694</f>
        <v>0.58</v>
      </c>
      <c r="K694" s="20" t="str">
        <f t="array" ref="K694">IFERROR(INDEX(dim_date!H:H,MATCH(A694,dim_date!A:A,0)),"")</f>
        <v>Aug</v>
      </c>
      <c r="L694" s="20" t="str">
        <f t="array" ref="L694">IFERROR(INDEX(dim_date!G:G,MATCH(A694,dim_date!A:A,0)),"")</f>
        <v>08</v>
      </c>
      <c r="M694" s="9" t="str">
        <f t="array" ref="M694">IFERROR(INDEX(dim_date!I:I,MATCH(A694,dim_date!A:A,0)),"")</f>
        <v>Q3</v>
      </c>
      <c r="N694" s="20" t="str">
        <f t="array" ref="N694">IFERROR(INDEX(dim_date!K:K,MATCH(A694,dim_date!A:A,0)),"")</f>
        <v>36</v>
      </c>
      <c r="O694" s="9" t="str">
        <f t="array" ref="O694">IFERROR(INDEX(dim_date!F:F,MATCH(A694,dim_date!A:A,0)),"")</f>
        <v>8/30-9/5</v>
      </c>
      <c r="P694" s="9" t="str">
        <f t="array" ref="P694">IFERROR(INDEX(dim_kpi!E:E,MATCH(D694,dim_kpi!C:C,0)),"")</f>
        <v>ratio</v>
      </c>
      <c r="Q694" s="9" t="str">
        <f t="array" ref="Q694">IFERROR(INDEX(dim_kpi!F:F,MATCH(D694,dim_kpi!C:C,0)),"")</f>
        <v>N</v>
      </c>
    </row>
    <row r="695" ht="12.75" customHeight="1">
      <c r="A695" s="20" t="str">
        <f>fact_kpi_weekly!A695</f>
        <v>260906</v>
      </c>
      <c r="B695" s="21">
        <f>fact_kpi_weekly!B695</f>
        <v>46271</v>
      </c>
      <c r="C695" s="9" t="str">
        <f>fact_kpi_weekly!C695</f>
        <v>Growth</v>
      </c>
      <c r="D695" s="9" t="str">
        <f>fact_kpi_weekly!D695</f>
        <v>Enrollment Call Conversions (per rep per hour)</v>
      </c>
      <c r="E695" s="9" t="str">
        <f>fact_kpi_weekly!E695</f>
        <v>Goal</v>
      </c>
      <c r="F695" s="9" t="str">
        <f>IF(fact_kpi_weekly!F695="","",fact_kpi_weekly!F695)</f>
        <v/>
      </c>
      <c r="G695" s="9" t="str">
        <f>fact_kpi_weekly!G695</f>
        <v>N/A</v>
      </c>
      <c r="H695" s="9" t="str">
        <f>fact_kpi_weekly!H695</f>
        <v>Luke</v>
      </c>
      <c r="I695" s="9">
        <f>fact_kpi_weekly!I695</f>
        <v>0.58</v>
      </c>
      <c r="J695" s="22">
        <f>fact_kpi_weekly!J695</f>
        <v>0.58</v>
      </c>
      <c r="K695" s="20" t="str">
        <f t="array" ref="K695">IFERROR(INDEX(dim_date!H:H,MATCH(A695,dim_date!A:A,0)),"")</f>
        <v>Sep</v>
      </c>
      <c r="L695" s="20" t="str">
        <f t="array" ref="L695">IFERROR(INDEX(dim_date!G:G,MATCH(A695,dim_date!A:A,0)),"")</f>
        <v>09</v>
      </c>
      <c r="M695" s="9" t="str">
        <f t="array" ref="M695">IFERROR(INDEX(dim_date!I:I,MATCH(A695,dim_date!A:A,0)),"")</f>
        <v>Q3</v>
      </c>
      <c r="N695" s="20" t="str">
        <f t="array" ref="N695">IFERROR(INDEX(dim_date!K:K,MATCH(A695,dim_date!A:A,0)),"")</f>
        <v>37</v>
      </c>
      <c r="O695" s="9" t="str">
        <f t="array" ref="O695">IFERROR(INDEX(dim_date!F:F,MATCH(A695,dim_date!A:A,0)),"")</f>
        <v>9/6-9/12</v>
      </c>
      <c r="P695" s="9" t="str">
        <f t="array" ref="P695">IFERROR(INDEX(dim_kpi!E:E,MATCH(D695,dim_kpi!C:C,0)),"")</f>
        <v>ratio</v>
      </c>
      <c r="Q695" s="9" t="str">
        <f t="array" ref="Q695">IFERROR(INDEX(dim_kpi!F:F,MATCH(D695,dim_kpi!C:C,0)),"")</f>
        <v>N</v>
      </c>
    </row>
    <row r="696" ht="12.75" customHeight="1">
      <c r="A696" s="20" t="str">
        <f>fact_kpi_weekly!A696</f>
        <v>260913</v>
      </c>
      <c r="B696" s="21">
        <f>fact_kpi_weekly!B696</f>
        <v>46278</v>
      </c>
      <c r="C696" s="9" t="str">
        <f>fact_kpi_weekly!C696</f>
        <v>Growth</v>
      </c>
      <c r="D696" s="9" t="str">
        <f>fact_kpi_weekly!D696</f>
        <v>Enrollment Call Conversions (per rep per hour)</v>
      </c>
      <c r="E696" s="9" t="str">
        <f>fact_kpi_weekly!E696</f>
        <v>Goal</v>
      </c>
      <c r="F696" s="9" t="str">
        <f>IF(fact_kpi_weekly!F696="","",fact_kpi_weekly!F696)</f>
        <v/>
      </c>
      <c r="G696" s="9" t="str">
        <f>fact_kpi_weekly!G696</f>
        <v>N/A</v>
      </c>
      <c r="H696" s="9" t="str">
        <f>fact_kpi_weekly!H696</f>
        <v>Luke</v>
      </c>
      <c r="I696" s="9">
        <f>fact_kpi_weekly!I696</f>
        <v>0.58</v>
      </c>
      <c r="J696" s="22">
        <f>fact_kpi_weekly!J696</f>
        <v>0.58</v>
      </c>
      <c r="K696" s="20" t="str">
        <f t="array" ref="K696">IFERROR(INDEX(dim_date!H:H,MATCH(A696,dim_date!A:A,0)),"")</f>
        <v>Sep</v>
      </c>
      <c r="L696" s="20" t="str">
        <f t="array" ref="L696">IFERROR(INDEX(dim_date!G:G,MATCH(A696,dim_date!A:A,0)),"")</f>
        <v>09</v>
      </c>
      <c r="M696" s="9" t="str">
        <f t="array" ref="M696">IFERROR(INDEX(dim_date!I:I,MATCH(A696,dim_date!A:A,0)),"")</f>
        <v>Q3</v>
      </c>
      <c r="N696" s="20" t="str">
        <f t="array" ref="N696">IFERROR(INDEX(dim_date!K:K,MATCH(A696,dim_date!A:A,0)),"")</f>
        <v>38</v>
      </c>
      <c r="O696" s="9" t="str">
        <f t="array" ref="O696">IFERROR(INDEX(dim_date!F:F,MATCH(A696,dim_date!A:A,0)),"")</f>
        <v>9/13-9/19</v>
      </c>
      <c r="P696" s="9" t="str">
        <f t="array" ref="P696">IFERROR(INDEX(dim_kpi!E:E,MATCH(D696,dim_kpi!C:C,0)),"")</f>
        <v>ratio</v>
      </c>
      <c r="Q696" s="9" t="str">
        <f t="array" ref="Q696">IFERROR(INDEX(dim_kpi!F:F,MATCH(D696,dim_kpi!C:C,0)),"")</f>
        <v>N</v>
      </c>
    </row>
    <row r="697" ht="12.75" customHeight="1">
      <c r="A697" s="20" t="str">
        <f>fact_kpi_weekly!A697</f>
        <v>260920</v>
      </c>
      <c r="B697" s="21">
        <f>fact_kpi_weekly!B697</f>
        <v>46285</v>
      </c>
      <c r="C697" s="9" t="str">
        <f>fact_kpi_weekly!C697</f>
        <v>Growth</v>
      </c>
      <c r="D697" s="9" t="str">
        <f>fact_kpi_weekly!D697</f>
        <v>Enrollment Call Conversions (per rep per hour)</v>
      </c>
      <c r="E697" s="9" t="str">
        <f>fact_kpi_weekly!E697</f>
        <v>Goal</v>
      </c>
      <c r="F697" s="9" t="str">
        <f>IF(fact_kpi_weekly!F697="","",fact_kpi_weekly!F697)</f>
        <v/>
      </c>
      <c r="G697" s="9" t="str">
        <f>fact_kpi_weekly!G697</f>
        <v>N/A</v>
      </c>
      <c r="H697" s="9" t="str">
        <f>fact_kpi_weekly!H697</f>
        <v>Luke</v>
      </c>
      <c r="I697" s="9">
        <f>fact_kpi_weekly!I697</f>
        <v>0.58</v>
      </c>
      <c r="J697" s="22">
        <f>fact_kpi_weekly!J697</f>
        <v>0.58</v>
      </c>
      <c r="K697" s="20" t="str">
        <f t="array" ref="K697">IFERROR(INDEX(dim_date!H:H,MATCH(A697,dim_date!A:A,0)),"")</f>
        <v>Sep</v>
      </c>
      <c r="L697" s="20" t="str">
        <f t="array" ref="L697">IFERROR(INDEX(dim_date!G:G,MATCH(A697,dim_date!A:A,0)),"")</f>
        <v>09</v>
      </c>
      <c r="M697" s="9" t="str">
        <f t="array" ref="M697">IFERROR(INDEX(dim_date!I:I,MATCH(A697,dim_date!A:A,0)),"")</f>
        <v>Q3</v>
      </c>
      <c r="N697" s="20" t="str">
        <f t="array" ref="N697">IFERROR(INDEX(dim_date!K:K,MATCH(A697,dim_date!A:A,0)),"")</f>
        <v>39</v>
      </c>
      <c r="O697" s="9" t="str">
        <f t="array" ref="O697">IFERROR(INDEX(dim_date!F:F,MATCH(A697,dim_date!A:A,0)),"")</f>
        <v>9/20-9/26</v>
      </c>
      <c r="P697" s="9" t="str">
        <f t="array" ref="P697">IFERROR(INDEX(dim_kpi!E:E,MATCH(D697,dim_kpi!C:C,0)),"")</f>
        <v>ratio</v>
      </c>
      <c r="Q697" s="9" t="str">
        <f t="array" ref="Q697">IFERROR(INDEX(dim_kpi!F:F,MATCH(D697,dim_kpi!C:C,0)),"")</f>
        <v>N</v>
      </c>
    </row>
    <row r="698" ht="12.75" customHeight="1">
      <c r="A698" s="20" t="str">
        <f>fact_kpi_weekly!A698</f>
        <v>260927</v>
      </c>
      <c r="B698" s="21">
        <f>fact_kpi_weekly!B698</f>
        <v>46292</v>
      </c>
      <c r="C698" s="9" t="str">
        <f>fact_kpi_weekly!C698</f>
        <v>Growth</v>
      </c>
      <c r="D698" s="9" t="str">
        <f>fact_kpi_weekly!D698</f>
        <v>Enrollment Call Conversions (per rep per hour)</v>
      </c>
      <c r="E698" s="9" t="str">
        <f>fact_kpi_weekly!E698</f>
        <v>Goal</v>
      </c>
      <c r="F698" s="9" t="str">
        <f>IF(fact_kpi_weekly!F698="","",fact_kpi_weekly!F698)</f>
        <v/>
      </c>
      <c r="G698" s="9" t="str">
        <f>fact_kpi_weekly!G698</f>
        <v>N/A</v>
      </c>
      <c r="H698" s="9" t="str">
        <f>fact_kpi_weekly!H698</f>
        <v>Luke</v>
      </c>
      <c r="I698" s="9">
        <f>fact_kpi_weekly!I698</f>
        <v>0.58</v>
      </c>
      <c r="J698" s="22">
        <f>fact_kpi_weekly!J698</f>
        <v>0.58</v>
      </c>
      <c r="K698" s="20" t="str">
        <f t="array" ref="K698">IFERROR(INDEX(dim_date!H:H,MATCH(A698,dim_date!A:A,0)),"")</f>
        <v>Sep</v>
      </c>
      <c r="L698" s="20" t="str">
        <f t="array" ref="L698">IFERROR(INDEX(dim_date!G:G,MATCH(A698,dim_date!A:A,0)),"")</f>
        <v>09</v>
      </c>
      <c r="M698" s="9" t="str">
        <f t="array" ref="M698">IFERROR(INDEX(dim_date!I:I,MATCH(A698,dim_date!A:A,0)),"")</f>
        <v>Q3</v>
      </c>
      <c r="N698" s="20" t="str">
        <f t="array" ref="N698">IFERROR(INDEX(dim_date!K:K,MATCH(A698,dim_date!A:A,0)),"")</f>
        <v>40</v>
      </c>
      <c r="O698" s="9" t="str">
        <f t="array" ref="O698">IFERROR(INDEX(dim_date!F:F,MATCH(A698,dim_date!A:A,0)),"")</f>
        <v>9/27-10/3</v>
      </c>
      <c r="P698" s="9" t="str">
        <f t="array" ref="P698">IFERROR(INDEX(dim_kpi!E:E,MATCH(D698,dim_kpi!C:C,0)),"")</f>
        <v>ratio</v>
      </c>
      <c r="Q698" s="9" t="str">
        <f t="array" ref="Q698">IFERROR(INDEX(dim_kpi!F:F,MATCH(D698,dim_kpi!C:C,0)),"")</f>
        <v>N</v>
      </c>
    </row>
    <row r="699" ht="12.75" customHeight="1">
      <c r="A699" s="20" t="str">
        <f>fact_kpi_weekly!A699</f>
        <v>261004</v>
      </c>
      <c r="B699" s="21">
        <f>fact_kpi_weekly!B699</f>
        <v>46299</v>
      </c>
      <c r="C699" s="9" t="str">
        <f>fact_kpi_weekly!C699</f>
        <v>Growth</v>
      </c>
      <c r="D699" s="9" t="str">
        <f>fact_kpi_weekly!D699</f>
        <v>Enrollment Call Conversions (per rep per hour)</v>
      </c>
      <c r="E699" s="9" t="str">
        <f>fact_kpi_weekly!E699</f>
        <v>Goal</v>
      </c>
      <c r="F699" s="9" t="str">
        <f>IF(fact_kpi_weekly!F699="","",fact_kpi_weekly!F699)</f>
        <v/>
      </c>
      <c r="G699" s="9" t="str">
        <f>fact_kpi_weekly!G699</f>
        <v>N/A</v>
      </c>
      <c r="H699" s="9" t="str">
        <f>fact_kpi_weekly!H699</f>
        <v>Luke</v>
      </c>
      <c r="I699" s="9">
        <f>fact_kpi_weekly!I699</f>
        <v>0.57</v>
      </c>
      <c r="J699" s="22">
        <f>fact_kpi_weekly!J699</f>
        <v>0.57</v>
      </c>
      <c r="K699" s="20" t="str">
        <f t="array" ref="K699">IFERROR(INDEX(dim_date!H:H,MATCH(A699,dim_date!A:A,0)),"")</f>
        <v>Oct</v>
      </c>
      <c r="L699" s="20" t="str">
        <f t="array" ref="L699">IFERROR(INDEX(dim_date!G:G,MATCH(A699,dim_date!A:A,0)),"")</f>
        <v>10</v>
      </c>
      <c r="M699" s="9" t="str">
        <f t="array" ref="M699">IFERROR(INDEX(dim_date!I:I,MATCH(A699,dim_date!A:A,0)),"")</f>
        <v>Q4</v>
      </c>
      <c r="N699" s="20" t="str">
        <f t="array" ref="N699">IFERROR(INDEX(dim_date!K:K,MATCH(A699,dim_date!A:A,0)),"")</f>
        <v>41</v>
      </c>
      <c r="O699" s="9" t="str">
        <f t="array" ref="O699">IFERROR(INDEX(dim_date!F:F,MATCH(A699,dim_date!A:A,0)),"")</f>
        <v>10/4-10/10</v>
      </c>
      <c r="P699" s="9" t="str">
        <f t="array" ref="P699">IFERROR(INDEX(dim_kpi!E:E,MATCH(D699,dim_kpi!C:C,0)),"")</f>
        <v>ratio</v>
      </c>
      <c r="Q699" s="9" t="str">
        <f t="array" ref="Q699">IFERROR(INDEX(dim_kpi!F:F,MATCH(D699,dim_kpi!C:C,0)),"")</f>
        <v>N</v>
      </c>
    </row>
    <row r="700" ht="12.75" customHeight="1">
      <c r="A700" s="20" t="str">
        <f>fact_kpi_weekly!A700</f>
        <v>261011</v>
      </c>
      <c r="B700" s="21">
        <f>fact_kpi_weekly!B700</f>
        <v>46306</v>
      </c>
      <c r="C700" s="9" t="str">
        <f>fact_kpi_weekly!C700</f>
        <v>Growth</v>
      </c>
      <c r="D700" s="9" t="str">
        <f>fact_kpi_weekly!D700</f>
        <v>Enrollment Call Conversions (per rep per hour)</v>
      </c>
      <c r="E700" s="9" t="str">
        <f>fact_kpi_weekly!E700</f>
        <v>Goal</v>
      </c>
      <c r="F700" s="9" t="str">
        <f>IF(fact_kpi_weekly!F700="","",fact_kpi_weekly!F700)</f>
        <v/>
      </c>
      <c r="G700" s="9" t="str">
        <f>fact_kpi_weekly!G700</f>
        <v>N/A</v>
      </c>
      <c r="H700" s="9" t="str">
        <f>fact_kpi_weekly!H700</f>
        <v>Luke</v>
      </c>
      <c r="I700" s="9">
        <f>fact_kpi_weekly!I700</f>
        <v>0.57</v>
      </c>
      <c r="J700" s="22">
        <f>fact_kpi_weekly!J700</f>
        <v>0.57</v>
      </c>
      <c r="K700" s="20" t="str">
        <f t="array" ref="K700">IFERROR(INDEX(dim_date!H:H,MATCH(A700,dim_date!A:A,0)),"")</f>
        <v>Oct</v>
      </c>
      <c r="L700" s="20" t="str">
        <f t="array" ref="L700">IFERROR(INDEX(dim_date!G:G,MATCH(A700,dim_date!A:A,0)),"")</f>
        <v>10</v>
      </c>
      <c r="M700" s="9" t="str">
        <f t="array" ref="M700">IFERROR(INDEX(dim_date!I:I,MATCH(A700,dim_date!A:A,0)),"")</f>
        <v>Q4</v>
      </c>
      <c r="N700" s="20" t="str">
        <f t="array" ref="N700">IFERROR(INDEX(dim_date!K:K,MATCH(A700,dim_date!A:A,0)),"")</f>
        <v>42</v>
      </c>
      <c r="O700" s="9" t="str">
        <f t="array" ref="O700">IFERROR(INDEX(dim_date!F:F,MATCH(A700,dim_date!A:A,0)),"")</f>
        <v>10/11-10/17</v>
      </c>
      <c r="P700" s="9" t="str">
        <f t="array" ref="P700">IFERROR(INDEX(dim_kpi!E:E,MATCH(D700,dim_kpi!C:C,0)),"")</f>
        <v>ratio</v>
      </c>
      <c r="Q700" s="9" t="str">
        <f t="array" ref="Q700">IFERROR(INDEX(dim_kpi!F:F,MATCH(D700,dim_kpi!C:C,0)),"")</f>
        <v>N</v>
      </c>
    </row>
    <row r="701" ht="12.75" customHeight="1">
      <c r="A701" s="20" t="str">
        <f>fact_kpi_weekly!A701</f>
        <v>261018</v>
      </c>
      <c r="B701" s="21">
        <f>fact_kpi_weekly!B701</f>
        <v>46313</v>
      </c>
      <c r="C701" s="9" t="str">
        <f>fact_kpi_weekly!C701</f>
        <v>Growth</v>
      </c>
      <c r="D701" s="9" t="str">
        <f>fact_kpi_weekly!D701</f>
        <v>Enrollment Call Conversions (per rep per hour)</v>
      </c>
      <c r="E701" s="9" t="str">
        <f>fact_kpi_weekly!E701</f>
        <v>Goal</v>
      </c>
      <c r="F701" s="9" t="str">
        <f>IF(fact_kpi_weekly!F701="","",fact_kpi_weekly!F701)</f>
        <v/>
      </c>
      <c r="G701" s="9" t="str">
        <f>fact_kpi_weekly!G701</f>
        <v>N/A</v>
      </c>
      <c r="H701" s="9" t="str">
        <f>fact_kpi_weekly!H701</f>
        <v>Luke</v>
      </c>
      <c r="I701" s="9">
        <f>fact_kpi_weekly!I701</f>
        <v>0.57</v>
      </c>
      <c r="J701" s="22">
        <f>fact_kpi_weekly!J701</f>
        <v>0.57</v>
      </c>
      <c r="K701" s="20" t="str">
        <f t="array" ref="K701">IFERROR(INDEX(dim_date!H:H,MATCH(A701,dim_date!A:A,0)),"")</f>
        <v>Oct</v>
      </c>
      <c r="L701" s="20" t="str">
        <f t="array" ref="L701">IFERROR(INDEX(dim_date!G:G,MATCH(A701,dim_date!A:A,0)),"")</f>
        <v>10</v>
      </c>
      <c r="M701" s="9" t="str">
        <f t="array" ref="M701">IFERROR(INDEX(dim_date!I:I,MATCH(A701,dim_date!A:A,0)),"")</f>
        <v>Q4</v>
      </c>
      <c r="N701" s="20" t="str">
        <f t="array" ref="N701">IFERROR(INDEX(dim_date!K:K,MATCH(A701,dim_date!A:A,0)),"")</f>
        <v>43</v>
      </c>
      <c r="O701" s="9" t="str">
        <f t="array" ref="O701">IFERROR(INDEX(dim_date!F:F,MATCH(A701,dim_date!A:A,0)),"")</f>
        <v>10/18-10/24</v>
      </c>
      <c r="P701" s="9" t="str">
        <f t="array" ref="P701">IFERROR(INDEX(dim_kpi!E:E,MATCH(D701,dim_kpi!C:C,0)),"")</f>
        <v>ratio</v>
      </c>
      <c r="Q701" s="9" t="str">
        <f t="array" ref="Q701">IFERROR(INDEX(dim_kpi!F:F,MATCH(D701,dim_kpi!C:C,0)),"")</f>
        <v>N</v>
      </c>
    </row>
    <row r="702" ht="12.75" customHeight="1">
      <c r="A702" s="20" t="str">
        <f>fact_kpi_weekly!A702</f>
        <v>261025</v>
      </c>
      <c r="B702" s="21">
        <f>fact_kpi_weekly!B702</f>
        <v>46320</v>
      </c>
      <c r="C702" s="9" t="str">
        <f>fact_kpi_weekly!C702</f>
        <v>Growth</v>
      </c>
      <c r="D702" s="9" t="str">
        <f>fact_kpi_weekly!D702</f>
        <v>Enrollment Call Conversions (per rep per hour)</v>
      </c>
      <c r="E702" s="9" t="str">
        <f>fact_kpi_weekly!E702</f>
        <v>Goal</v>
      </c>
      <c r="F702" s="9" t="str">
        <f>IF(fact_kpi_weekly!F702="","",fact_kpi_weekly!F702)</f>
        <v/>
      </c>
      <c r="G702" s="9" t="str">
        <f>fact_kpi_weekly!G702</f>
        <v>N/A</v>
      </c>
      <c r="H702" s="9" t="str">
        <f>fact_kpi_weekly!H702</f>
        <v>Luke</v>
      </c>
      <c r="I702" s="9">
        <f>fact_kpi_weekly!I702</f>
        <v>0.57</v>
      </c>
      <c r="J702" s="22">
        <f>fact_kpi_weekly!J702</f>
        <v>0.57</v>
      </c>
      <c r="K702" s="20" t="str">
        <f t="array" ref="K702">IFERROR(INDEX(dim_date!H:H,MATCH(A702,dim_date!A:A,0)),"")</f>
        <v>Oct</v>
      </c>
      <c r="L702" s="20" t="str">
        <f t="array" ref="L702">IFERROR(INDEX(dim_date!G:G,MATCH(A702,dim_date!A:A,0)),"")</f>
        <v>10</v>
      </c>
      <c r="M702" s="9" t="str">
        <f t="array" ref="M702">IFERROR(INDEX(dim_date!I:I,MATCH(A702,dim_date!A:A,0)),"")</f>
        <v>Q4</v>
      </c>
      <c r="N702" s="20" t="str">
        <f t="array" ref="N702">IFERROR(INDEX(dim_date!K:K,MATCH(A702,dim_date!A:A,0)),"")</f>
        <v>44</v>
      </c>
      <c r="O702" s="9" t="str">
        <f t="array" ref="O702">IFERROR(INDEX(dim_date!F:F,MATCH(A702,dim_date!A:A,0)),"")</f>
        <v>10/25-10/31</v>
      </c>
      <c r="P702" s="9" t="str">
        <f t="array" ref="P702">IFERROR(INDEX(dim_kpi!E:E,MATCH(D702,dim_kpi!C:C,0)),"")</f>
        <v>ratio</v>
      </c>
      <c r="Q702" s="9" t="str">
        <f t="array" ref="Q702">IFERROR(INDEX(dim_kpi!F:F,MATCH(D702,dim_kpi!C:C,0)),"")</f>
        <v>N</v>
      </c>
    </row>
    <row r="703" ht="12.75" customHeight="1">
      <c r="A703" s="20" t="str">
        <f>fact_kpi_weekly!A703</f>
        <v>261101</v>
      </c>
      <c r="B703" s="21">
        <f>fact_kpi_weekly!B703</f>
        <v>46327</v>
      </c>
      <c r="C703" s="9" t="str">
        <f>fact_kpi_weekly!C703</f>
        <v>Growth</v>
      </c>
      <c r="D703" s="9" t="str">
        <f>fact_kpi_weekly!D703</f>
        <v>Enrollment Call Conversions (per rep per hour)</v>
      </c>
      <c r="E703" s="9" t="str">
        <f>fact_kpi_weekly!E703</f>
        <v>Goal</v>
      </c>
      <c r="F703" s="9" t="str">
        <f>IF(fact_kpi_weekly!F703="","",fact_kpi_weekly!F703)</f>
        <v/>
      </c>
      <c r="G703" s="9" t="str">
        <f>fact_kpi_weekly!G703</f>
        <v>N/A</v>
      </c>
      <c r="H703" s="9" t="str">
        <f>fact_kpi_weekly!H703</f>
        <v>Luke</v>
      </c>
      <c r="I703" s="9">
        <f>fact_kpi_weekly!I703</f>
        <v>0.69</v>
      </c>
      <c r="J703" s="22">
        <f>fact_kpi_weekly!J703</f>
        <v>0.69</v>
      </c>
      <c r="K703" s="20" t="str">
        <f t="array" ref="K703">IFERROR(INDEX(dim_date!H:H,MATCH(A703,dim_date!A:A,0)),"")</f>
        <v>Nov</v>
      </c>
      <c r="L703" s="20" t="str">
        <f t="array" ref="L703">IFERROR(INDEX(dim_date!G:G,MATCH(A703,dim_date!A:A,0)),"")</f>
        <v>11</v>
      </c>
      <c r="M703" s="9" t="str">
        <f t="array" ref="M703">IFERROR(INDEX(dim_date!I:I,MATCH(A703,dim_date!A:A,0)),"")</f>
        <v>Q4</v>
      </c>
      <c r="N703" s="20" t="str">
        <f t="array" ref="N703">IFERROR(INDEX(dim_date!K:K,MATCH(A703,dim_date!A:A,0)),"")</f>
        <v>45</v>
      </c>
      <c r="O703" s="9" t="str">
        <f t="array" ref="O703">IFERROR(INDEX(dim_date!F:F,MATCH(A703,dim_date!A:A,0)),"")</f>
        <v>11/1-11/7</v>
      </c>
      <c r="P703" s="9" t="str">
        <f t="array" ref="P703">IFERROR(INDEX(dim_kpi!E:E,MATCH(D703,dim_kpi!C:C,0)),"")</f>
        <v>ratio</v>
      </c>
      <c r="Q703" s="9" t="str">
        <f t="array" ref="Q703">IFERROR(INDEX(dim_kpi!F:F,MATCH(D703,dim_kpi!C:C,0)),"")</f>
        <v>N</v>
      </c>
    </row>
    <row r="704" ht="12.75" customHeight="1">
      <c r="A704" s="20" t="str">
        <f>fact_kpi_weekly!A704</f>
        <v>261108</v>
      </c>
      <c r="B704" s="21">
        <f>fact_kpi_weekly!B704</f>
        <v>46334</v>
      </c>
      <c r="C704" s="9" t="str">
        <f>fact_kpi_weekly!C704</f>
        <v>Growth</v>
      </c>
      <c r="D704" s="9" t="str">
        <f>fact_kpi_weekly!D704</f>
        <v>Enrollment Call Conversions (per rep per hour)</v>
      </c>
      <c r="E704" s="9" t="str">
        <f>fact_kpi_weekly!E704</f>
        <v>Goal</v>
      </c>
      <c r="F704" s="9" t="str">
        <f>IF(fact_kpi_weekly!F704="","",fact_kpi_weekly!F704)</f>
        <v/>
      </c>
      <c r="G704" s="9" t="str">
        <f>fact_kpi_weekly!G704</f>
        <v>N/A</v>
      </c>
      <c r="H704" s="9" t="str">
        <f>fact_kpi_weekly!H704</f>
        <v>Luke</v>
      </c>
      <c r="I704" s="9">
        <f>fact_kpi_weekly!I704</f>
        <v>0.69</v>
      </c>
      <c r="J704" s="22">
        <f>fact_kpi_weekly!J704</f>
        <v>0.69</v>
      </c>
      <c r="K704" s="20" t="str">
        <f t="array" ref="K704">IFERROR(INDEX(dim_date!H:H,MATCH(A704,dim_date!A:A,0)),"")</f>
        <v>Nov</v>
      </c>
      <c r="L704" s="20" t="str">
        <f t="array" ref="L704">IFERROR(INDEX(dim_date!G:G,MATCH(A704,dim_date!A:A,0)),"")</f>
        <v>11</v>
      </c>
      <c r="M704" s="9" t="str">
        <f t="array" ref="M704">IFERROR(INDEX(dim_date!I:I,MATCH(A704,dim_date!A:A,0)),"")</f>
        <v>Q4</v>
      </c>
      <c r="N704" s="20" t="str">
        <f t="array" ref="N704">IFERROR(INDEX(dim_date!K:K,MATCH(A704,dim_date!A:A,0)),"")</f>
        <v>46</v>
      </c>
      <c r="O704" s="9" t="str">
        <f t="array" ref="O704">IFERROR(INDEX(dim_date!F:F,MATCH(A704,dim_date!A:A,0)),"")</f>
        <v>11/8-11/14</v>
      </c>
      <c r="P704" s="9" t="str">
        <f t="array" ref="P704">IFERROR(INDEX(dim_kpi!E:E,MATCH(D704,dim_kpi!C:C,0)),"")</f>
        <v>ratio</v>
      </c>
      <c r="Q704" s="9" t="str">
        <f t="array" ref="Q704">IFERROR(INDEX(dim_kpi!F:F,MATCH(D704,dim_kpi!C:C,0)),"")</f>
        <v>N</v>
      </c>
    </row>
    <row r="705" ht="12.75" customHeight="1">
      <c r="A705" s="20" t="str">
        <f>fact_kpi_weekly!A705</f>
        <v>261115</v>
      </c>
      <c r="B705" s="21">
        <f>fact_kpi_weekly!B705</f>
        <v>46341</v>
      </c>
      <c r="C705" s="9" t="str">
        <f>fact_kpi_weekly!C705</f>
        <v>Growth</v>
      </c>
      <c r="D705" s="9" t="str">
        <f>fact_kpi_weekly!D705</f>
        <v>Enrollment Call Conversions (per rep per hour)</v>
      </c>
      <c r="E705" s="9" t="str">
        <f>fact_kpi_weekly!E705</f>
        <v>Goal</v>
      </c>
      <c r="F705" s="9" t="str">
        <f>IF(fact_kpi_weekly!F705="","",fact_kpi_weekly!F705)</f>
        <v/>
      </c>
      <c r="G705" s="9" t="str">
        <f>fact_kpi_weekly!G705</f>
        <v>N/A</v>
      </c>
      <c r="H705" s="9" t="str">
        <f>fact_kpi_weekly!H705</f>
        <v>Luke</v>
      </c>
      <c r="I705" s="9">
        <f>fact_kpi_weekly!I705</f>
        <v>0.69</v>
      </c>
      <c r="J705" s="22">
        <f>fact_kpi_weekly!J705</f>
        <v>0.69</v>
      </c>
      <c r="K705" s="20" t="str">
        <f t="array" ref="K705">IFERROR(INDEX(dim_date!H:H,MATCH(A705,dim_date!A:A,0)),"")</f>
        <v>Nov</v>
      </c>
      <c r="L705" s="20" t="str">
        <f t="array" ref="L705">IFERROR(INDEX(dim_date!G:G,MATCH(A705,dim_date!A:A,0)),"")</f>
        <v>11</v>
      </c>
      <c r="M705" s="9" t="str">
        <f t="array" ref="M705">IFERROR(INDEX(dim_date!I:I,MATCH(A705,dim_date!A:A,0)),"")</f>
        <v>Q4</v>
      </c>
      <c r="N705" s="20" t="str">
        <f t="array" ref="N705">IFERROR(INDEX(dim_date!K:K,MATCH(A705,dim_date!A:A,0)),"")</f>
        <v>47</v>
      </c>
      <c r="O705" s="9" t="str">
        <f t="array" ref="O705">IFERROR(INDEX(dim_date!F:F,MATCH(A705,dim_date!A:A,0)),"")</f>
        <v>11/15-11/21</v>
      </c>
      <c r="P705" s="9" t="str">
        <f t="array" ref="P705">IFERROR(INDEX(dim_kpi!E:E,MATCH(D705,dim_kpi!C:C,0)),"")</f>
        <v>ratio</v>
      </c>
      <c r="Q705" s="9" t="str">
        <f t="array" ref="Q705">IFERROR(INDEX(dim_kpi!F:F,MATCH(D705,dim_kpi!C:C,0)),"")</f>
        <v>N</v>
      </c>
    </row>
    <row r="706" ht="12.75" customHeight="1">
      <c r="A706" s="20" t="str">
        <f>fact_kpi_weekly!A706</f>
        <v>261122</v>
      </c>
      <c r="B706" s="21">
        <f>fact_kpi_weekly!B706</f>
        <v>46348</v>
      </c>
      <c r="C706" s="9" t="str">
        <f>fact_kpi_weekly!C706</f>
        <v>Growth</v>
      </c>
      <c r="D706" s="9" t="str">
        <f>fact_kpi_weekly!D706</f>
        <v>Enrollment Call Conversions (per rep per hour)</v>
      </c>
      <c r="E706" s="9" t="str">
        <f>fact_kpi_weekly!E706</f>
        <v>Goal</v>
      </c>
      <c r="F706" s="9" t="str">
        <f>IF(fact_kpi_weekly!F706="","",fact_kpi_weekly!F706)</f>
        <v/>
      </c>
      <c r="G706" s="9" t="str">
        <f>fact_kpi_weekly!G706</f>
        <v>N/A</v>
      </c>
      <c r="H706" s="9" t="str">
        <f>fact_kpi_weekly!H706</f>
        <v>Luke</v>
      </c>
      <c r="I706" s="9">
        <f>fact_kpi_weekly!I706</f>
        <v>0.69</v>
      </c>
      <c r="J706" s="22">
        <f>fact_kpi_weekly!J706</f>
        <v>0.69</v>
      </c>
      <c r="K706" s="20" t="str">
        <f t="array" ref="K706">IFERROR(INDEX(dim_date!H:H,MATCH(A706,dim_date!A:A,0)),"")</f>
        <v>Nov</v>
      </c>
      <c r="L706" s="20" t="str">
        <f t="array" ref="L706">IFERROR(INDEX(dim_date!G:G,MATCH(A706,dim_date!A:A,0)),"")</f>
        <v>11</v>
      </c>
      <c r="M706" s="9" t="str">
        <f t="array" ref="M706">IFERROR(INDEX(dim_date!I:I,MATCH(A706,dim_date!A:A,0)),"")</f>
        <v>Q4</v>
      </c>
      <c r="N706" s="20" t="str">
        <f t="array" ref="N706">IFERROR(INDEX(dim_date!K:K,MATCH(A706,dim_date!A:A,0)),"")</f>
        <v>48</v>
      </c>
      <c r="O706" s="9" t="str">
        <f t="array" ref="O706">IFERROR(INDEX(dim_date!F:F,MATCH(A706,dim_date!A:A,0)),"")</f>
        <v>11/22-11/28</v>
      </c>
      <c r="P706" s="9" t="str">
        <f t="array" ref="P706">IFERROR(INDEX(dim_kpi!E:E,MATCH(D706,dim_kpi!C:C,0)),"")</f>
        <v>ratio</v>
      </c>
      <c r="Q706" s="9" t="str">
        <f t="array" ref="Q706">IFERROR(INDEX(dim_kpi!F:F,MATCH(D706,dim_kpi!C:C,0)),"")</f>
        <v>N</v>
      </c>
    </row>
    <row r="707" ht="12.75" customHeight="1">
      <c r="A707" s="20" t="str">
        <f>fact_kpi_weekly!A707</f>
        <v>261129</v>
      </c>
      <c r="B707" s="21">
        <f>fact_kpi_weekly!B707</f>
        <v>46355</v>
      </c>
      <c r="C707" s="9" t="str">
        <f>fact_kpi_weekly!C707</f>
        <v>Growth</v>
      </c>
      <c r="D707" s="9" t="str">
        <f>fact_kpi_weekly!D707</f>
        <v>Enrollment Call Conversions (per rep per hour)</v>
      </c>
      <c r="E707" s="9" t="str">
        <f>fact_kpi_weekly!E707</f>
        <v>Goal</v>
      </c>
      <c r="F707" s="9" t="str">
        <f>IF(fact_kpi_weekly!F707="","",fact_kpi_weekly!F707)</f>
        <v/>
      </c>
      <c r="G707" s="9" t="str">
        <f>fact_kpi_weekly!G707</f>
        <v>N/A</v>
      </c>
      <c r="H707" s="9" t="str">
        <f>fact_kpi_weekly!H707</f>
        <v>Luke</v>
      </c>
      <c r="I707" s="9">
        <f>fact_kpi_weekly!I707</f>
        <v>0.69</v>
      </c>
      <c r="J707" s="22">
        <f>fact_kpi_weekly!J707</f>
        <v>0.69</v>
      </c>
      <c r="K707" s="20" t="str">
        <f t="array" ref="K707">IFERROR(INDEX(dim_date!H:H,MATCH(A707,dim_date!A:A,0)),"")</f>
        <v>Nov</v>
      </c>
      <c r="L707" s="20" t="str">
        <f t="array" ref="L707">IFERROR(INDEX(dim_date!G:G,MATCH(A707,dim_date!A:A,0)),"")</f>
        <v>11</v>
      </c>
      <c r="M707" s="9" t="str">
        <f t="array" ref="M707">IFERROR(INDEX(dim_date!I:I,MATCH(A707,dim_date!A:A,0)),"")</f>
        <v>Q4</v>
      </c>
      <c r="N707" s="20" t="str">
        <f t="array" ref="N707">IFERROR(INDEX(dim_date!K:K,MATCH(A707,dim_date!A:A,0)),"")</f>
        <v>49</v>
      </c>
      <c r="O707" s="9" t="str">
        <f t="array" ref="O707">IFERROR(INDEX(dim_date!F:F,MATCH(A707,dim_date!A:A,0)),"")</f>
        <v>11/29-12/5</v>
      </c>
      <c r="P707" s="9" t="str">
        <f t="array" ref="P707">IFERROR(INDEX(dim_kpi!E:E,MATCH(D707,dim_kpi!C:C,0)),"")</f>
        <v>ratio</v>
      </c>
      <c r="Q707" s="9" t="str">
        <f t="array" ref="Q707">IFERROR(INDEX(dim_kpi!F:F,MATCH(D707,dim_kpi!C:C,0)),"")</f>
        <v>N</v>
      </c>
    </row>
    <row r="708" ht="12.75" customHeight="1">
      <c r="A708" s="20" t="str">
        <f>fact_kpi_weekly!A708</f>
        <v>261206</v>
      </c>
      <c r="B708" s="21">
        <f>fact_kpi_weekly!B708</f>
        <v>46362</v>
      </c>
      <c r="C708" s="9" t="str">
        <f>fact_kpi_weekly!C708</f>
        <v>Growth</v>
      </c>
      <c r="D708" s="9" t="str">
        <f>fact_kpi_weekly!D708</f>
        <v>Enrollment Call Conversions (per rep per hour)</v>
      </c>
      <c r="E708" s="9" t="str">
        <f>fact_kpi_weekly!E708</f>
        <v>Goal</v>
      </c>
      <c r="F708" s="9" t="str">
        <f>IF(fact_kpi_weekly!F708="","",fact_kpi_weekly!F708)</f>
        <v/>
      </c>
      <c r="G708" s="9" t="str">
        <f>fact_kpi_weekly!G708</f>
        <v>N/A</v>
      </c>
      <c r="H708" s="9" t="str">
        <f>fact_kpi_weekly!H708</f>
        <v>Luke</v>
      </c>
      <c r="I708" s="9">
        <f>fact_kpi_weekly!I708</f>
        <v>0.54</v>
      </c>
      <c r="J708" s="22">
        <f>fact_kpi_weekly!J708</f>
        <v>0.54</v>
      </c>
      <c r="K708" s="20" t="str">
        <f t="array" ref="K708">IFERROR(INDEX(dim_date!H:H,MATCH(A708,dim_date!A:A,0)),"")</f>
        <v>Dec</v>
      </c>
      <c r="L708" s="20" t="str">
        <f t="array" ref="L708">IFERROR(INDEX(dim_date!G:G,MATCH(A708,dim_date!A:A,0)),"")</f>
        <v>12</v>
      </c>
      <c r="M708" s="9" t="str">
        <f t="array" ref="M708">IFERROR(INDEX(dim_date!I:I,MATCH(A708,dim_date!A:A,0)),"")</f>
        <v>Q4</v>
      </c>
      <c r="N708" s="20" t="str">
        <f t="array" ref="N708">IFERROR(INDEX(dim_date!K:K,MATCH(A708,dim_date!A:A,0)),"")</f>
        <v>50</v>
      </c>
      <c r="O708" s="9" t="str">
        <f t="array" ref="O708">IFERROR(INDEX(dim_date!F:F,MATCH(A708,dim_date!A:A,0)),"")</f>
        <v>12/6-12/12</v>
      </c>
      <c r="P708" s="9" t="str">
        <f t="array" ref="P708">IFERROR(INDEX(dim_kpi!E:E,MATCH(D708,dim_kpi!C:C,0)),"")</f>
        <v>ratio</v>
      </c>
      <c r="Q708" s="9" t="str">
        <f t="array" ref="Q708">IFERROR(INDEX(dim_kpi!F:F,MATCH(D708,dim_kpi!C:C,0)),"")</f>
        <v>N</v>
      </c>
    </row>
    <row r="709" ht="12.75" customHeight="1">
      <c r="A709" s="20" t="str">
        <f>fact_kpi_weekly!A709</f>
        <v>261213</v>
      </c>
      <c r="B709" s="21">
        <f>fact_kpi_weekly!B709</f>
        <v>46369</v>
      </c>
      <c r="C709" s="9" t="str">
        <f>fact_kpi_weekly!C709</f>
        <v>Growth</v>
      </c>
      <c r="D709" s="9" t="str">
        <f>fact_kpi_weekly!D709</f>
        <v>Enrollment Call Conversions (per rep per hour)</v>
      </c>
      <c r="E709" s="9" t="str">
        <f>fact_kpi_weekly!E709</f>
        <v>Goal</v>
      </c>
      <c r="F709" s="9" t="str">
        <f>IF(fact_kpi_weekly!F709="","",fact_kpi_weekly!F709)</f>
        <v/>
      </c>
      <c r="G709" s="9" t="str">
        <f>fact_kpi_weekly!G709</f>
        <v>N/A</v>
      </c>
      <c r="H709" s="9" t="str">
        <f>fact_kpi_weekly!H709</f>
        <v>Luke</v>
      </c>
      <c r="I709" s="9">
        <f>fact_kpi_weekly!I709</f>
        <v>0.54</v>
      </c>
      <c r="J709" s="22">
        <f>fact_kpi_weekly!J709</f>
        <v>0.54</v>
      </c>
      <c r="K709" s="20" t="str">
        <f t="array" ref="K709">IFERROR(INDEX(dim_date!H:H,MATCH(A709,dim_date!A:A,0)),"")</f>
        <v>Dec</v>
      </c>
      <c r="L709" s="20" t="str">
        <f t="array" ref="L709">IFERROR(INDEX(dim_date!G:G,MATCH(A709,dim_date!A:A,0)),"")</f>
        <v>12</v>
      </c>
      <c r="M709" s="9" t="str">
        <f t="array" ref="M709">IFERROR(INDEX(dim_date!I:I,MATCH(A709,dim_date!A:A,0)),"")</f>
        <v>Q4</v>
      </c>
      <c r="N709" s="20" t="str">
        <f t="array" ref="N709">IFERROR(INDEX(dim_date!K:K,MATCH(A709,dim_date!A:A,0)),"")</f>
        <v>51</v>
      </c>
      <c r="O709" s="9" t="str">
        <f t="array" ref="O709">IFERROR(INDEX(dim_date!F:F,MATCH(A709,dim_date!A:A,0)),"")</f>
        <v>12/13-12/19</v>
      </c>
      <c r="P709" s="9" t="str">
        <f t="array" ref="P709">IFERROR(INDEX(dim_kpi!E:E,MATCH(D709,dim_kpi!C:C,0)),"")</f>
        <v>ratio</v>
      </c>
      <c r="Q709" s="9" t="str">
        <f t="array" ref="Q709">IFERROR(INDEX(dim_kpi!F:F,MATCH(D709,dim_kpi!C:C,0)),"")</f>
        <v>N</v>
      </c>
    </row>
    <row r="710" ht="12.75" customHeight="1">
      <c r="A710" s="20" t="str">
        <f>fact_kpi_weekly!A710</f>
        <v>261220</v>
      </c>
      <c r="B710" s="21">
        <f>fact_kpi_weekly!B710</f>
        <v>46376</v>
      </c>
      <c r="C710" s="9" t="str">
        <f>fact_kpi_weekly!C710</f>
        <v>Growth</v>
      </c>
      <c r="D710" s="9" t="str">
        <f>fact_kpi_weekly!D710</f>
        <v>Enrollment Call Conversions (per rep per hour)</v>
      </c>
      <c r="E710" s="9" t="str">
        <f>fact_kpi_weekly!E710</f>
        <v>Goal</v>
      </c>
      <c r="F710" s="9" t="str">
        <f>IF(fact_kpi_weekly!F710="","",fact_kpi_weekly!F710)</f>
        <v/>
      </c>
      <c r="G710" s="9" t="str">
        <f>fact_kpi_weekly!G710</f>
        <v>N/A</v>
      </c>
      <c r="H710" s="9" t="str">
        <f>fact_kpi_weekly!H710</f>
        <v>Luke</v>
      </c>
      <c r="I710" s="9">
        <f>fact_kpi_weekly!I710</f>
        <v>0.54</v>
      </c>
      <c r="J710" s="22">
        <f>fact_kpi_weekly!J710</f>
        <v>0.54</v>
      </c>
      <c r="K710" s="20" t="str">
        <f t="array" ref="K710">IFERROR(INDEX(dim_date!H:H,MATCH(A710,dim_date!A:A,0)),"")</f>
        <v>Dec</v>
      </c>
      <c r="L710" s="20" t="str">
        <f t="array" ref="L710">IFERROR(INDEX(dim_date!G:G,MATCH(A710,dim_date!A:A,0)),"")</f>
        <v>12</v>
      </c>
      <c r="M710" s="9" t="str">
        <f t="array" ref="M710">IFERROR(INDEX(dim_date!I:I,MATCH(A710,dim_date!A:A,0)),"")</f>
        <v>Q4</v>
      </c>
      <c r="N710" s="20" t="str">
        <f t="array" ref="N710">IFERROR(INDEX(dim_date!K:K,MATCH(A710,dim_date!A:A,0)),"")</f>
        <v>52</v>
      </c>
      <c r="O710" s="9" t="str">
        <f t="array" ref="O710">IFERROR(INDEX(dim_date!F:F,MATCH(A710,dim_date!A:A,0)),"")</f>
        <v>12/20-12/26</v>
      </c>
      <c r="P710" s="9" t="str">
        <f t="array" ref="P710">IFERROR(INDEX(dim_kpi!E:E,MATCH(D710,dim_kpi!C:C,0)),"")</f>
        <v>ratio</v>
      </c>
      <c r="Q710" s="9" t="str">
        <f t="array" ref="Q710">IFERROR(INDEX(dim_kpi!F:F,MATCH(D710,dim_kpi!C:C,0)),"")</f>
        <v>N</v>
      </c>
    </row>
    <row r="711" ht="12.75" customHeight="1">
      <c r="A711" s="20" t="str">
        <f>fact_kpi_weekly!A711</f>
        <v>261227</v>
      </c>
      <c r="B711" s="21">
        <f>fact_kpi_weekly!B711</f>
        <v>46383</v>
      </c>
      <c r="C711" s="9" t="str">
        <f>fact_kpi_weekly!C711</f>
        <v>Growth</v>
      </c>
      <c r="D711" s="9" t="str">
        <f>fact_kpi_weekly!D711</f>
        <v>Enrollment Call Conversions (per rep per hour)</v>
      </c>
      <c r="E711" s="9" t="str">
        <f>fact_kpi_weekly!E711</f>
        <v>Goal</v>
      </c>
      <c r="F711" s="9" t="str">
        <f>IF(fact_kpi_weekly!F711="","",fact_kpi_weekly!F711)</f>
        <v/>
      </c>
      <c r="G711" s="9" t="str">
        <f>fact_kpi_weekly!G711</f>
        <v>N/A</v>
      </c>
      <c r="H711" s="9" t="str">
        <f>fact_kpi_weekly!H711</f>
        <v>Luke</v>
      </c>
      <c r="I711" s="9">
        <f>fact_kpi_weekly!I711</f>
        <v>0.54</v>
      </c>
      <c r="J711" s="22">
        <f>fact_kpi_weekly!J711</f>
        <v>0.54</v>
      </c>
      <c r="K711" s="20" t="str">
        <f t="array" ref="K711">IFERROR(INDEX(dim_date!H:H,MATCH(A711,dim_date!A:A,0)),"")</f>
        <v>Dec</v>
      </c>
      <c r="L711" s="20" t="str">
        <f t="array" ref="L711">IFERROR(INDEX(dim_date!G:G,MATCH(A711,dim_date!A:A,0)),"")</f>
        <v>12</v>
      </c>
      <c r="M711" s="9" t="str">
        <f t="array" ref="M711">IFERROR(INDEX(dim_date!I:I,MATCH(A711,dim_date!A:A,0)),"")</f>
        <v>Q4</v>
      </c>
      <c r="N711" s="20" t="str">
        <f t="array" ref="N711">IFERROR(INDEX(dim_date!K:K,MATCH(A711,dim_date!A:A,0)),"")</f>
        <v>53</v>
      </c>
      <c r="O711" s="9" t="str">
        <f t="array" ref="O711">IFERROR(INDEX(dim_date!F:F,MATCH(A711,dim_date!A:A,0)),"")</f>
        <v>12/27-1/2</v>
      </c>
      <c r="P711" s="9" t="str">
        <f t="array" ref="P711">IFERROR(INDEX(dim_kpi!E:E,MATCH(D711,dim_kpi!C:C,0)),"")</f>
        <v>ratio</v>
      </c>
      <c r="Q711" s="9" t="str">
        <f t="array" ref="Q711">IFERROR(INDEX(dim_kpi!F:F,MATCH(D711,dim_kpi!C:C,0)),"")</f>
        <v>N</v>
      </c>
    </row>
    <row r="712" ht="12.75" customHeight="1">
      <c r="A712" s="20" t="str">
        <f>fact_kpi_weekly!A712</f>
        <v>260301</v>
      </c>
      <c r="B712" s="21">
        <f>fact_kpi_weekly!B712</f>
        <v>46082</v>
      </c>
      <c r="C712" s="9" t="str">
        <f>fact_kpi_weekly!C712</f>
        <v>Growth</v>
      </c>
      <c r="D712" s="9" t="str">
        <f>fact_kpi_weekly!D712</f>
        <v>Activation Call Conversions (per rep per hour)</v>
      </c>
      <c r="E712" s="9" t="str">
        <f>fact_kpi_weekly!E712</f>
        <v>Goal</v>
      </c>
      <c r="F712" s="9" t="str">
        <f>IF(fact_kpi_weekly!F712="","",fact_kpi_weekly!F712)</f>
        <v/>
      </c>
      <c r="G712" s="9" t="str">
        <f>fact_kpi_weekly!G712</f>
        <v>N/A</v>
      </c>
      <c r="H712" s="9" t="str">
        <f>fact_kpi_weekly!H712</f>
        <v>Luke</v>
      </c>
      <c r="I712" s="9">
        <f>fact_kpi_weekly!I712</f>
        <v>0.56</v>
      </c>
      <c r="J712" s="22">
        <f>fact_kpi_weekly!J712</f>
        <v>0.56</v>
      </c>
      <c r="K712" s="20" t="str">
        <f t="array" ref="K712">IFERROR(INDEX(dim_date!H:H,MATCH(A712,dim_date!A:A,0)),"")</f>
        <v>Mar</v>
      </c>
      <c r="L712" s="20" t="str">
        <f t="array" ref="L712">IFERROR(INDEX(dim_date!G:G,MATCH(A712,dim_date!A:A,0)),"")</f>
        <v>03</v>
      </c>
      <c r="M712" s="9" t="str">
        <f t="array" ref="M712">IFERROR(INDEX(dim_date!I:I,MATCH(A712,dim_date!A:A,0)),"")</f>
        <v>Q1</v>
      </c>
      <c r="N712" s="20" t="str">
        <f t="array" ref="N712">IFERROR(INDEX(dim_date!K:K,MATCH(A712,dim_date!A:A,0)),"")</f>
        <v>10</v>
      </c>
      <c r="O712" s="9" t="str">
        <f t="array" ref="O712">IFERROR(INDEX(dim_date!F:F,MATCH(A712,dim_date!A:A,0)),"")</f>
        <v>3/1-3/7</v>
      </c>
      <c r="P712" s="9" t="str">
        <f t="array" ref="P712">IFERROR(INDEX(dim_kpi!E:E,MATCH(D712,dim_kpi!C:C,0)),"")</f>
        <v>ratio</v>
      </c>
      <c r="Q712" s="9" t="str">
        <f t="array" ref="Q712">IFERROR(INDEX(dim_kpi!F:F,MATCH(D712,dim_kpi!C:C,0)),"")</f>
        <v>N</v>
      </c>
    </row>
    <row r="713" ht="12.75" customHeight="1">
      <c r="A713" s="20" t="str">
        <f>fact_kpi_weekly!A713</f>
        <v>260308</v>
      </c>
      <c r="B713" s="21">
        <f>fact_kpi_weekly!B713</f>
        <v>46089</v>
      </c>
      <c r="C713" s="9" t="str">
        <f>fact_kpi_weekly!C713</f>
        <v>Growth</v>
      </c>
      <c r="D713" s="9" t="str">
        <f>fact_kpi_weekly!D713</f>
        <v>Activation Call Conversions (per rep per hour)</v>
      </c>
      <c r="E713" s="9" t="str">
        <f>fact_kpi_weekly!E713</f>
        <v>Goal</v>
      </c>
      <c r="F713" s="9" t="str">
        <f>IF(fact_kpi_weekly!F713="","",fact_kpi_weekly!F713)</f>
        <v/>
      </c>
      <c r="G713" s="9" t="str">
        <f>fact_kpi_weekly!G713</f>
        <v>N/A</v>
      </c>
      <c r="H713" s="9" t="str">
        <f>fact_kpi_weekly!H713</f>
        <v>Luke</v>
      </c>
      <c r="I713" s="9">
        <f>fact_kpi_weekly!I713</f>
        <v>0.56</v>
      </c>
      <c r="J713" s="22">
        <f>fact_kpi_weekly!J713</f>
        <v>0.56</v>
      </c>
      <c r="K713" s="20" t="str">
        <f t="array" ref="K713">IFERROR(INDEX(dim_date!H:H,MATCH(A713,dim_date!A:A,0)),"")</f>
        <v>Mar</v>
      </c>
      <c r="L713" s="20" t="str">
        <f t="array" ref="L713">IFERROR(INDEX(dim_date!G:G,MATCH(A713,dim_date!A:A,0)),"")</f>
        <v>03</v>
      </c>
      <c r="M713" s="9" t="str">
        <f t="array" ref="M713">IFERROR(INDEX(dim_date!I:I,MATCH(A713,dim_date!A:A,0)),"")</f>
        <v>Q1</v>
      </c>
      <c r="N713" s="20" t="str">
        <f t="array" ref="N713">IFERROR(INDEX(dim_date!K:K,MATCH(A713,dim_date!A:A,0)),"")</f>
        <v>11</v>
      </c>
      <c r="O713" s="9" t="str">
        <f t="array" ref="O713">IFERROR(INDEX(dim_date!F:F,MATCH(A713,dim_date!A:A,0)),"")</f>
        <v>3/8-3/14</v>
      </c>
      <c r="P713" s="9" t="str">
        <f t="array" ref="P713">IFERROR(INDEX(dim_kpi!E:E,MATCH(D713,dim_kpi!C:C,0)),"")</f>
        <v>ratio</v>
      </c>
      <c r="Q713" s="9" t="str">
        <f t="array" ref="Q713">IFERROR(INDEX(dim_kpi!F:F,MATCH(D713,dim_kpi!C:C,0)),"")</f>
        <v>N</v>
      </c>
    </row>
    <row r="714" ht="12.75" customHeight="1">
      <c r="A714" s="20" t="str">
        <f>fact_kpi_weekly!A714</f>
        <v>260315</v>
      </c>
      <c r="B714" s="21">
        <f>fact_kpi_weekly!B714</f>
        <v>46096</v>
      </c>
      <c r="C714" s="9" t="str">
        <f>fact_kpi_weekly!C714</f>
        <v>Growth</v>
      </c>
      <c r="D714" s="9" t="str">
        <f>fact_kpi_weekly!D714</f>
        <v>Activation Call Conversions (per rep per hour)</v>
      </c>
      <c r="E714" s="9" t="str">
        <f>fact_kpi_weekly!E714</f>
        <v>Goal</v>
      </c>
      <c r="F714" s="9" t="str">
        <f>IF(fact_kpi_weekly!F714="","",fact_kpi_weekly!F714)</f>
        <v/>
      </c>
      <c r="G714" s="9" t="str">
        <f>fact_kpi_weekly!G714</f>
        <v>N/A</v>
      </c>
      <c r="H714" s="9" t="str">
        <f>fact_kpi_weekly!H714</f>
        <v>Luke</v>
      </c>
      <c r="I714" s="9">
        <f>fact_kpi_weekly!I714</f>
        <v>0.56</v>
      </c>
      <c r="J714" s="22">
        <f>fact_kpi_weekly!J714</f>
        <v>0.56</v>
      </c>
      <c r="K714" s="20" t="str">
        <f t="array" ref="K714">IFERROR(INDEX(dim_date!H:H,MATCH(A714,dim_date!A:A,0)),"")</f>
        <v>Mar</v>
      </c>
      <c r="L714" s="20" t="str">
        <f t="array" ref="L714">IFERROR(INDEX(dim_date!G:G,MATCH(A714,dim_date!A:A,0)),"")</f>
        <v>03</v>
      </c>
      <c r="M714" s="9" t="str">
        <f t="array" ref="M714">IFERROR(INDEX(dim_date!I:I,MATCH(A714,dim_date!A:A,0)),"")</f>
        <v>Q1</v>
      </c>
      <c r="N714" s="20" t="str">
        <f t="array" ref="N714">IFERROR(INDEX(dim_date!K:K,MATCH(A714,dim_date!A:A,0)),"")</f>
        <v>12</v>
      </c>
      <c r="O714" s="9" t="str">
        <f t="array" ref="O714">IFERROR(INDEX(dim_date!F:F,MATCH(A714,dim_date!A:A,0)),"")</f>
        <v>3/15-3/21</v>
      </c>
      <c r="P714" s="9" t="str">
        <f t="array" ref="P714">IFERROR(INDEX(dim_kpi!E:E,MATCH(D714,dim_kpi!C:C,0)),"")</f>
        <v>ratio</v>
      </c>
      <c r="Q714" s="9" t="str">
        <f t="array" ref="Q714">IFERROR(INDEX(dim_kpi!F:F,MATCH(D714,dim_kpi!C:C,0)),"")</f>
        <v>N</v>
      </c>
    </row>
    <row r="715" ht="12.75" customHeight="1">
      <c r="A715" s="20" t="str">
        <f>fact_kpi_weekly!A715</f>
        <v>260322</v>
      </c>
      <c r="B715" s="21">
        <f>fact_kpi_weekly!B715</f>
        <v>46103</v>
      </c>
      <c r="C715" s="9" t="str">
        <f>fact_kpi_weekly!C715</f>
        <v>Growth</v>
      </c>
      <c r="D715" s="9" t="str">
        <f>fact_kpi_weekly!D715</f>
        <v>Activation Call Conversions (per rep per hour)</v>
      </c>
      <c r="E715" s="9" t="str">
        <f>fact_kpi_weekly!E715</f>
        <v>Goal</v>
      </c>
      <c r="F715" s="9" t="str">
        <f>IF(fact_kpi_weekly!F715="","",fact_kpi_weekly!F715)</f>
        <v/>
      </c>
      <c r="G715" s="9" t="str">
        <f>fact_kpi_weekly!G715</f>
        <v>N/A</v>
      </c>
      <c r="H715" s="9" t="str">
        <f>fact_kpi_weekly!H715</f>
        <v>Luke</v>
      </c>
      <c r="I715" s="9">
        <f>fact_kpi_weekly!I715</f>
        <v>0.56</v>
      </c>
      <c r="J715" s="22">
        <f>fact_kpi_weekly!J715</f>
        <v>0.56</v>
      </c>
      <c r="K715" s="20" t="str">
        <f t="array" ref="K715">IFERROR(INDEX(dim_date!H:H,MATCH(A715,dim_date!A:A,0)),"")</f>
        <v>Mar</v>
      </c>
      <c r="L715" s="20" t="str">
        <f t="array" ref="L715">IFERROR(INDEX(dim_date!G:G,MATCH(A715,dim_date!A:A,0)),"")</f>
        <v>03</v>
      </c>
      <c r="M715" s="9" t="str">
        <f t="array" ref="M715">IFERROR(INDEX(dim_date!I:I,MATCH(A715,dim_date!A:A,0)),"")</f>
        <v>Q1</v>
      </c>
      <c r="N715" s="20" t="str">
        <f t="array" ref="N715">IFERROR(INDEX(dim_date!K:K,MATCH(A715,dim_date!A:A,0)),"")</f>
        <v>13</v>
      </c>
      <c r="O715" s="9" t="str">
        <f t="array" ref="O715">IFERROR(INDEX(dim_date!F:F,MATCH(A715,dim_date!A:A,0)),"")</f>
        <v>3/22-3/28</v>
      </c>
      <c r="P715" s="9" t="str">
        <f t="array" ref="P715">IFERROR(INDEX(dim_kpi!E:E,MATCH(D715,dim_kpi!C:C,0)),"")</f>
        <v>ratio</v>
      </c>
      <c r="Q715" s="9" t="str">
        <f t="array" ref="Q715">IFERROR(INDEX(dim_kpi!F:F,MATCH(D715,dim_kpi!C:C,0)),"")</f>
        <v>N</v>
      </c>
    </row>
    <row r="716" ht="12.75" customHeight="1">
      <c r="A716" s="20" t="str">
        <f>fact_kpi_weekly!A716</f>
        <v>260329</v>
      </c>
      <c r="B716" s="21">
        <f>fact_kpi_weekly!B716</f>
        <v>46110</v>
      </c>
      <c r="C716" s="9" t="str">
        <f>fact_kpi_weekly!C716</f>
        <v>Growth</v>
      </c>
      <c r="D716" s="9" t="str">
        <f>fact_kpi_weekly!D716</f>
        <v>Activation Call Conversions (per rep per hour)</v>
      </c>
      <c r="E716" s="9" t="str">
        <f>fact_kpi_weekly!E716</f>
        <v>Goal</v>
      </c>
      <c r="F716" s="9" t="str">
        <f>IF(fact_kpi_weekly!F716="","",fact_kpi_weekly!F716)</f>
        <v/>
      </c>
      <c r="G716" s="9" t="str">
        <f>fact_kpi_weekly!G716</f>
        <v>N/A</v>
      </c>
      <c r="H716" s="9" t="str">
        <f>fact_kpi_weekly!H716</f>
        <v>Luke</v>
      </c>
      <c r="I716" s="9">
        <f>fact_kpi_weekly!I716</f>
        <v>0.56</v>
      </c>
      <c r="J716" s="22">
        <f>fact_kpi_weekly!J716</f>
        <v>0.56</v>
      </c>
      <c r="K716" s="20" t="str">
        <f t="array" ref="K716">IFERROR(INDEX(dim_date!H:H,MATCH(A716,dim_date!A:A,0)),"")</f>
        <v>Mar</v>
      </c>
      <c r="L716" s="20" t="str">
        <f t="array" ref="L716">IFERROR(INDEX(dim_date!G:G,MATCH(A716,dim_date!A:A,0)),"")</f>
        <v>03</v>
      </c>
      <c r="M716" s="9" t="str">
        <f t="array" ref="M716">IFERROR(INDEX(dim_date!I:I,MATCH(A716,dim_date!A:A,0)),"")</f>
        <v>Q1</v>
      </c>
      <c r="N716" s="20" t="str">
        <f t="array" ref="N716">IFERROR(INDEX(dim_date!K:K,MATCH(A716,dim_date!A:A,0)),"")</f>
        <v>14</v>
      </c>
      <c r="O716" s="9" t="str">
        <f t="array" ref="O716">IFERROR(INDEX(dim_date!F:F,MATCH(A716,dim_date!A:A,0)),"")</f>
        <v>3/29-4/4</v>
      </c>
      <c r="P716" s="9" t="str">
        <f t="array" ref="P716">IFERROR(INDEX(dim_kpi!E:E,MATCH(D716,dim_kpi!C:C,0)),"")</f>
        <v>ratio</v>
      </c>
      <c r="Q716" s="9" t="str">
        <f t="array" ref="Q716">IFERROR(INDEX(dim_kpi!F:F,MATCH(D716,dim_kpi!C:C,0)),"")</f>
        <v>N</v>
      </c>
    </row>
    <row r="717" ht="12.75" customHeight="1">
      <c r="A717" s="20" t="str">
        <f>fact_kpi_weekly!A717</f>
        <v>260405</v>
      </c>
      <c r="B717" s="21">
        <f>fact_kpi_weekly!B717</f>
        <v>46117</v>
      </c>
      <c r="C717" s="9" t="str">
        <f>fact_kpi_weekly!C717</f>
        <v>Growth</v>
      </c>
      <c r="D717" s="9" t="str">
        <f>fact_kpi_weekly!D717</f>
        <v>Activation Call Conversions (per rep per hour)</v>
      </c>
      <c r="E717" s="9" t="str">
        <f>fact_kpi_weekly!E717</f>
        <v>Goal</v>
      </c>
      <c r="F717" s="9" t="str">
        <f>IF(fact_kpi_weekly!F717="","",fact_kpi_weekly!F717)</f>
        <v/>
      </c>
      <c r="G717" s="9" t="str">
        <f>fact_kpi_weekly!G717</f>
        <v>N/A</v>
      </c>
      <c r="H717" s="9" t="str">
        <f>fact_kpi_weekly!H717</f>
        <v>Luke</v>
      </c>
      <c r="I717" s="9">
        <f>fact_kpi_weekly!I717</f>
        <v>0.92</v>
      </c>
      <c r="J717" s="22">
        <f>fact_kpi_weekly!J717</f>
        <v>0.92</v>
      </c>
      <c r="K717" s="20" t="str">
        <f t="array" ref="K717">IFERROR(INDEX(dim_date!H:H,MATCH(A717,dim_date!A:A,0)),"")</f>
        <v>Apr</v>
      </c>
      <c r="L717" s="20" t="str">
        <f t="array" ref="L717">IFERROR(INDEX(dim_date!G:G,MATCH(A717,dim_date!A:A,0)),"")</f>
        <v>04</v>
      </c>
      <c r="M717" s="9" t="str">
        <f t="array" ref="M717">IFERROR(INDEX(dim_date!I:I,MATCH(A717,dim_date!A:A,0)),"")</f>
        <v>Q2</v>
      </c>
      <c r="N717" s="20" t="str">
        <f t="array" ref="N717">IFERROR(INDEX(dim_date!K:K,MATCH(A717,dim_date!A:A,0)),"")</f>
        <v>15</v>
      </c>
      <c r="O717" s="9" t="str">
        <f t="array" ref="O717">IFERROR(INDEX(dim_date!F:F,MATCH(A717,dim_date!A:A,0)),"")</f>
        <v>4/5-4/11</v>
      </c>
      <c r="P717" s="9" t="str">
        <f t="array" ref="P717">IFERROR(INDEX(dim_kpi!E:E,MATCH(D717,dim_kpi!C:C,0)),"")</f>
        <v>ratio</v>
      </c>
      <c r="Q717" s="9" t="str">
        <f t="array" ref="Q717">IFERROR(INDEX(dim_kpi!F:F,MATCH(D717,dim_kpi!C:C,0)),"")</f>
        <v>N</v>
      </c>
    </row>
    <row r="718" ht="12.75" customHeight="1">
      <c r="A718" s="20" t="str">
        <f>fact_kpi_weekly!A718</f>
        <v>260412</v>
      </c>
      <c r="B718" s="21">
        <f>fact_kpi_weekly!B718</f>
        <v>46124</v>
      </c>
      <c r="C718" s="9" t="str">
        <f>fact_kpi_weekly!C718</f>
        <v>Growth</v>
      </c>
      <c r="D718" s="9" t="str">
        <f>fact_kpi_weekly!D718</f>
        <v>Activation Call Conversions (per rep per hour)</v>
      </c>
      <c r="E718" s="9" t="str">
        <f>fact_kpi_weekly!E718</f>
        <v>Goal</v>
      </c>
      <c r="F718" s="9" t="str">
        <f>IF(fact_kpi_weekly!F718="","",fact_kpi_weekly!F718)</f>
        <v/>
      </c>
      <c r="G718" s="9" t="str">
        <f>fact_kpi_weekly!G718</f>
        <v>N/A</v>
      </c>
      <c r="H718" s="9" t="str">
        <f>fact_kpi_weekly!H718</f>
        <v>Luke</v>
      </c>
      <c r="I718" s="9">
        <f>fact_kpi_weekly!I718</f>
        <v>0.92</v>
      </c>
      <c r="J718" s="22">
        <f>fact_kpi_weekly!J718</f>
        <v>0.92</v>
      </c>
      <c r="K718" s="20" t="str">
        <f t="array" ref="K718">IFERROR(INDEX(dim_date!H:H,MATCH(A718,dim_date!A:A,0)),"")</f>
        <v>Apr</v>
      </c>
      <c r="L718" s="20" t="str">
        <f t="array" ref="L718">IFERROR(INDEX(dim_date!G:G,MATCH(A718,dim_date!A:A,0)),"")</f>
        <v>04</v>
      </c>
      <c r="M718" s="9" t="str">
        <f t="array" ref="M718">IFERROR(INDEX(dim_date!I:I,MATCH(A718,dim_date!A:A,0)),"")</f>
        <v>Q2</v>
      </c>
      <c r="N718" s="20" t="str">
        <f t="array" ref="N718">IFERROR(INDEX(dim_date!K:K,MATCH(A718,dim_date!A:A,0)),"")</f>
        <v>16</v>
      </c>
      <c r="O718" s="9" t="str">
        <f t="array" ref="O718">IFERROR(INDEX(dim_date!F:F,MATCH(A718,dim_date!A:A,0)),"")</f>
        <v>4/12-4/18</v>
      </c>
      <c r="P718" s="9" t="str">
        <f t="array" ref="P718">IFERROR(INDEX(dim_kpi!E:E,MATCH(D718,dim_kpi!C:C,0)),"")</f>
        <v>ratio</v>
      </c>
      <c r="Q718" s="9" t="str">
        <f t="array" ref="Q718">IFERROR(INDEX(dim_kpi!F:F,MATCH(D718,dim_kpi!C:C,0)),"")</f>
        <v>N</v>
      </c>
    </row>
    <row r="719" ht="12.75" customHeight="1">
      <c r="A719" s="20" t="str">
        <f>fact_kpi_weekly!A719</f>
        <v>260419</v>
      </c>
      <c r="B719" s="21">
        <f>fact_kpi_weekly!B719</f>
        <v>46131</v>
      </c>
      <c r="C719" s="9" t="str">
        <f>fact_kpi_weekly!C719</f>
        <v>Growth</v>
      </c>
      <c r="D719" s="9" t="str">
        <f>fact_kpi_weekly!D719</f>
        <v>Activation Call Conversions (per rep per hour)</v>
      </c>
      <c r="E719" s="9" t="str">
        <f>fact_kpi_weekly!E719</f>
        <v>Goal</v>
      </c>
      <c r="F719" s="9" t="str">
        <f>IF(fact_kpi_weekly!F719="","",fact_kpi_weekly!F719)</f>
        <v/>
      </c>
      <c r="G719" s="9" t="str">
        <f>fact_kpi_weekly!G719</f>
        <v>N/A</v>
      </c>
      <c r="H719" s="9" t="str">
        <f>fact_kpi_weekly!H719</f>
        <v>Luke</v>
      </c>
      <c r="I719" s="9">
        <f>fact_kpi_weekly!I719</f>
        <v>0.92</v>
      </c>
      <c r="J719" s="22">
        <f>fact_kpi_weekly!J719</f>
        <v>0.92</v>
      </c>
      <c r="K719" s="20" t="str">
        <f t="array" ref="K719">IFERROR(INDEX(dim_date!H:H,MATCH(A719,dim_date!A:A,0)),"")</f>
        <v>Apr</v>
      </c>
      <c r="L719" s="20" t="str">
        <f t="array" ref="L719">IFERROR(INDEX(dim_date!G:G,MATCH(A719,dim_date!A:A,0)),"")</f>
        <v>04</v>
      </c>
      <c r="M719" s="9" t="str">
        <f t="array" ref="M719">IFERROR(INDEX(dim_date!I:I,MATCH(A719,dim_date!A:A,0)),"")</f>
        <v>Q2</v>
      </c>
      <c r="N719" s="20" t="str">
        <f t="array" ref="N719">IFERROR(INDEX(dim_date!K:K,MATCH(A719,dim_date!A:A,0)),"")</f>
        <v>17</v>
      </c>
      <c r="O719" s="9" t="str">
        <f t="array" ref="O719">IFERROR(INDEX(dim_date!F:F,MATCH(A719,dim_date!A:A,0)),"")</f>
        <v>4/19-4/25</v>
      </c>
      <c r="P719" s="9" t="str">
        <f t="array" ref="P719">IFERROR(INDEX(dim_kpi!E:E,MATCH(D719,dim_kpi!C:C,0)),"")</f>
        <v>ratio</v>
      </c>
      <c r="Q719" s="9" t="str">
        <f t="array" ref="Q719">IFERROR(INDEX(dim_kpi!F:F,MATCH(D719,dim_kpi!C:C,0)),"")</f>
        <v>N</v>
      </c>
    </row>
    <row r="720" ht="12.75" customHeight="1">
      <c r="A720" s="20" t="str">
        <f>fact_kpi_weekly!A720</f>
        <v>260426</v>
      </c>
      <c r="B720" s="21">
        <f>fact_kpi_weekly!B720</f>
        <v>46138</v>
      </c>
      <c r="C720" s="9" t="str">
        <f>fact_kpi_weekly!C720</f>
        <v>Growth</v>
      </c>
      <c r="D720" s="9" t="str">
        <f>fact_kpi_weekly!D720</f>
        <v>Activation Call Conversions (per rep per hour)</v>
      </c>
      <c r="E720" s="9" t="str">
        <f>fact_kpi_weekly!E720</f>
        <v>Goal</v>
      </c>
      <c r="F720" s="9" t="str">
        <f>IF(fact_kpi_weekly!F720="","",fact_kpi_weekly!F720)</f>
        <v/>
      </c>
      <c r="G720" s="9" t="str">
        <f>fact_kpi_weekly!G720</f>
        <v>N/A</v>
      </c>
      <c r="H720" s="9" t="str">
        <f>fact_kpi_weekly!H720</f>
        <v>Luke</v>
      </c>
      <c r="I720" s="9">
        <f>fact_kpi_weekly!I720</f>
        <v>0.92</v>
      </c>
      <c r="J720" s="22">
        <f>fact_kpi_weekly!J720</f>
        <v>0.92</v>
      </c>
      <c r="K720" s="20" t="str">
        <f t="array" ref="K720">IFERROR(INDEX(dim_date!H:H,MATCH(A720,dim_date!A:A,0)),"")</f>
        <v>Apr</v>
      </c>
      <c r="L720" s="20" t="str">
        <f t="array" ref="L720">IFERROR(INDEX(dim_date!G:G,MATCH(A720,dim_date!A:A,0)),"")</f>
        <v>04</v>
      </c>
      <c r="M720" s="9" t="str">
        <f t="array" ref="M720">IFERROR(INDEX(dim_date!I:I,MATCH(A720,dim_date!A:A,0)),"")</f>
        <v>Q2</v>
      </c>
      <c r="N720" s="20" t="str">
        <f t="array" ref="N720">IFERROR(INDEX(dim_date!K:K,MATCH(A720,dim_date!A:A,0)),"")</f>
        <v>18</v>
      </c>
      <c r="O720" s="9" t="str">
        <f t="array" ref="O720">IFERROR(INDEX(dim_date!F:F,MATCH(A720,dim_date!A:A,0)),"")</f>
        <v>4/26-5/2</v>
      </c>
      <c r="P720" s="9" t="str">
        <f t="array" ref="P720">IFERROR(INDEX(dim_kpi!E:E,MATCH(D720,dim_kpi!C:C,0)),"")</f>
        <v>ratio</v>
      </c>
      <c r="Q720" s="9" t="str">
        <f t="array" ref="Q720">IFERROR(INDEX(dim_kpi!F:F,MATCH(D720,dim_kpi!C:C,0)),"")</f>
        <v>N</v>
      </c>
    </row>
    <row r="721" ht="12.75" customHeight="1">
      <c r="A721" s="20" t="str">
        <f>fact_kpi_weekly!A721</f>
        <v>260503</v>
      </c>
      <c r="B721" s="21">
        <f>fact_kpi_weekly!B721</f>
        <v>46145</v>
      </c>
      <c r="C721" s="9" t="str">
        <f>fact_kpi_weekly!C721</f>
        <v>Growth</v>
      </c>
      <c r="D721" s="9" t="str">
        <f>fact_kpi_weekly!D721</f>
        <v>Activation Call Conversions (per rep per hour)</v>
      </c>
      <c r="E721" s="9" t="str">
        <f>fact_kpi_weekly!E721</f>
        <v>Goal</v>
      </c>
      <c r="F721" s="9" t="str">
        <f>IF(fact_kpi_weekly!F721="","",fact_kpi_weekly!F721)</f>
        <v/>
      </c>
      <c r="G721" s="9" t="str">
        <f>fact_kpi_weekly!G721</f>
        <v>N/A</v>
      </c>
      <c r="H721" s="9" t="str">
        <f>fact_kpi_weekly!H721</f>
        <v>Luke</v>
      </c>
      <c r="I721" s="9">
        <f>fact_kpi_weekly!I721</f>
        <v>1.33</v>
      </c>
      <c r="J721" s="22">
        <f>fact_kpi_weekly!J721</f>
        <v>1.33</v>
      </c>
      <c r="K721" s="20" t="str">
        <f t="array" ref="K721">IFERROR(INDEX(dim_date!H:H,MATCH(A721,dim_date!A:A,0)),"")</f>
        <v>May</v>
      </c>
      <c r="L721" s="20" t="str">
        <f t="array" ref="L721">IFERROR(INDEX(dim_date!G:G,MATCH(A721,dim_date!A:A,0)),"")</f>
        <v>05</v>
      </c>
      <c r="M721" s="9" t="str">
        <f t="array" ref="M721">IFERROR(INDEX(dim_date!I:I,MATCH(A721,dim_date!A:A,0)),"")</f>
        <v>Q2</v>
      </c>
      <c r="N721" s="20" t="str">
        <f t="array" ref="N721">IFERROR(INDEX(dim_date!K:K,MATCH(A721,dim_date!A:A,0)),"")</f>
        <v>19</v>
      </c>
      <c r="O721" s="9" t="str">
        <f t="array" ref="O721">IFERROR(INDEX(dim_date!F:F,MATCH(A721,dim_date!A:A,0)),"")</f>
        <v>5/3-5/9</v>
      </c>
      <c r="P721" s="9" t="str">
        <f t="array" ref="P721">IFERROR(INDEX(dim_kpi!E:E,MATCH(D721,dim_kpi!C:C,0)),"")</f>
        <v>ratio</v>
      </c>
      <c r="Q721" s="9" t="str">
        <f t="array" ref="Q721">IFERROR(INDEX(dim_kpi!F:F,MATCH(D721,dim_kpi!C:C,0)),"")</f>
        <v>N</v>
      </c>
    </row>
    <row r="722" ht="12.75" customHeight="1">
      <c r="A722" s="20" t="str">
        <f>fact_kpi_weekly!A722</f>
        <v>260510</v>
      </c>
      <c r="B722" s="21">
        <f>fact_kpi_weekly!B722</f>
        <v>46152</v>
      </c>
      <c r="C722" s="9" t="str">
        <f>fact_kpi_weekly!C722</f>
        <v>Growth</v>
      </c>
      <c r="D722" s="9" t="str">
        <f>fact_kpi_weekly!D722</f>
        <v>Activation Call Conversions (per rep per hour)</v>
      </c>
      <c r="E722" s="9" t="str">
        <f>fact_kpi_weekly!E722</f>
        <v>Goal</v>
      </c>
      <c r="F722" s="9" t="str">
        <f>IF(fact_kpi_weekly!F722="","",fact_kpi_weekly!F722)</f>
        <v/>
      </c>
      <c r="G722" s="9" t="str">
        <f>fact_kpi_weekly!G722</f>
        <v>N/A</v>
      </c>
      <c r="H722" s="9" t="str">
        <f>fact_kpi_weekly!H722</f>
        <v>Luke</v>
      </c>
      <c r="I722" s="9">
        <f>fact_kpi_weekly!I722</f>
        <v>1.33</v>
      </c>
      <c r="J722" s="22">
        <f>fact_kpi_weekly!J722</f>
        <v>1.33</v>
      </c>
      <c r="K722" s="20" t="str">
        <f t="array" ref="K722">IFERROR(INDEX(dim_date!H:H,MATCH(A722,dim_date!A:A,0)),"")</f>
        <v>May</v>
      </c>
      <c r="L722" s="20" t="str">
        <f t="array" ref="L722">IFERROR(INDEX(dim_date!G:G,MATCH(A722,dim_date!A:A,0)),"")</f>
        <v>05</v>
      </c>
      <c r="M722" s="9" t="str">
        <f t="array" ref="M722">IFERROR(INDEX(dim_date!I:I,MATCH(A722,dim_date!A:A,0)),"")</f>
        <v>Q2</v>
      </c>
      <c r="N722" s="20" t="str">
        <f t="array" ref="N722">IFERROR(INDEX(dim_date!K:K,MATCH(A722,dim_date!A:A,0)),"")</f>
        <v>20</v>
      </c>
      <c r="O722" s="9" t="str">
        <f t="array" ref="O722">IFERROR(INDEX(dim_date!F:F,MATCH(A722,dim_date!A:A,0)),"")</f>
        <v>5/10-5/16</v>
      </c>
      <c r="P722" s="9" t="str">
        <f t="array" ref="P722">IFERROR(INDEX(dim_kpi!E:E,MATCH(D722,dim_kpi!C:C,0)),"")</f>
        <v>ratio</v>
      </c>
      <c r="Q722" s="9" t="str">
        <f t="array" ref="Q722">IFERROR(INDEX(dim_kpi!F:F,MATCH(D722,dim_kpi!C:C,0)),"")</f>
        <v>N</v>
      </c>
    </row>
    <row r="723" ht="12.75" customHeight="1">
      <c r="A723" s="20" t="str">
        <f>fact_kpi_weekly!A723</f>
        <v>260517</v>
      </c>
      <c r="B723" s="21">
        <f>fact_kpi_weekly!B723</f>
        <v>46159</v>
      </c>
      <c r="C723" s="9" t="str">
        <f>fact_kpi_weekly!C723</f>
        <v>Growth</v>
      </c>
      <c r="D723" s="9" t="str">
        <f>fact_kpi_weekly!D723</f>
        <v>Activation Call Conversions (per rep per hour)</v>
      </c>
      <c r="E723" s="9" t="str">
        <f>fact_kpi_weekly!E723</f>
        <v>Goal</v>
      </c>
      <c r="F723" s="9" t="str">
        <f>IF(fact_kpi_weekly!F723="","",fact_kpi_weekly!F723)</f>
        <v/>
      </c>
      <c r="G723" s="9" t="str">
        <f>fact_kpi_weekly!G723</f>
        <v>N/A</v>
      </c>
      <c r="H723" s="9" t="str">
        <f>fact_kpi_weekly!H723</f>
        <v>Luke</v>
      </c>
      <c r="I723" s="9">
        <f>fact_kpi_weekly!I723</f>
        <v>1.33</v>
      </c>
      <c r="J723" s="22">
        <f>fact_kpi_weekly!J723</f>
        <v>1.33</v>
      </c>
      <c r="K723" s="20" t="str">
        <f t="array" ref="K723">IFERROR(INDEX(dim_date!H:H,MATCH(A723,dim_date!A:A,0)),"")</f>
        <v>May</v>
      </c>
      <c r="L723" s="20" t="str">
        <f t="array" ref="L723">IFERROR(INDEX(dim_date!G:G,MATCH(A723,dim_date!A:A,0)),"")</f>
        <v>05</v>
      </c>
      <c r="M723" s="9" t="str">
        <f t="array" ref="M723">IFERROR(INDEX(dim_date!I:I,MATCH(A723,dim_date!A:A,0)),"")</f>
        <v>Q2</v>
      </c>
      <c r="N723" s="20" t="str">
        <f t="array" ref="N723">IFERROR(INDEX(dim_date!K:K,MATCH(A723,dim_date!A:A,0)),"")</f>
        <v>21</v>
      </c>
      <c r="O723" s="9" t="str">
        <f t="array" ref="O723">IFERROR(INDEX(dim_date!F:F,MATCH(A723,dim_date!A:A,0)),"")</f>
        <v>5/17-5/23</v>
      </c>
      <c r="P723" s="9" t="str">
        <f t="array" ref="P723">IFERROR(INDEX(dim_kpi!E:E,MATCH(D723,dim_kpi!C:C,0)),"")</f>
        <v>ratio</v>
      </c>
      <c r="Q723" s="9" t="str">
        <f t="array" ref="Q723">IFERROR(INDEX(dim_kpi!F:F,MATCH(D723,dim_kpi!C:C,0)),"")</f>
        <v>N</v>
      </c>
    </row>
    <row r="724" ht="12.75" customHeight="1">
      <c r="A724" s="20" t="str">
        <f>fact_kpi_weekly!A724</f>
        <v>260524</v>
      </c>
      <c r="B724" s="21">
        <f>fact_kpi_weekly!B724</f>
        <v>46166</v>
      </c>
      <c r="C724" s="9" t="str">
        <f>fact_kpi_weekly!C724</f>
        <v>Growth</v>
      </c>
      <c r="D724" s="9" t="str">
        <f>fact_kpi_weekly!D724</f>
        <v>Activation Call Conversions (per rep per hour)</v>
      </c>
      <c r="E724" s="9" t="str">
        <f>fact_kpi_weekly!E724</f>
        <v>Goal</v>
      </c>
      <c r="F724" s="9" t="str">
        <f>IF(fact_kpi_weekly!F724="","",fact_kpi_weekly!F724)</f>
        <v/>
      </c>
      <c r="G724" s="9" t="str">
        <f>fact_kpi_weekly!G724</f>
        <v>N/A</v>
      </c>
      <c r="H724" s="9" t="str">
        <f>fact_kpi_weekly!H724</f>
        <v>Luke</v>
      </c>
      <c r="I724" s="9">
        <f>fact_kpi_weekly!I724</f>
        <v>1.33</v>
      </c>
      <c r="J724" s="22">
        <f>fact_kpi_weekly!J724</f>
        <v>1.33</v>
      </c>
      <c r="K724" s="20" t="str">
        <f t="array" ref="K724">IFERROR(INDEX(dim_date!H:H,MATCH(A724,dim_date!A:A,0)),"")</f>
        <v>May</v>
      </c>
      <c r="L724" s="20" t="str">
        <f t="array" ref="L724">IFERROR(INDEX(dim_date!G:G,MATCH(A724,dim_date!A:A,0)),"")</f>
        <v>05</v>
      </c>
      <c r="M724" s="9" t="str">
        <f t="array" ref="M724">IFERROR(INDEX(dim_date!I:I,MATCH(A724,dim_date!A:A,0)),"")</f>
        <v>Q2</v>
      </c>
      <c r="N724" s="20" t="str">
        <f t="array" ref="N724">IFERROR(INDEX(dim_date!K:K,MATCH(A724,dim_date!A:A,0)),"")</f>
        <v>22</v>
      </c>
      <c r="O724" s="9" t="str">
        <f t="array" ref="O724">IFERROR(INDEX(dim_date!F:F,MATCH(A724,dim_date!A:A,0)),"")</f>
        <v>5/24-5/30</v>
      </c>
      <c r="P724" s="9" t="str">
        <f t="array" ref="P724">IFERROR(INDEX(dim_kpi!E:E,MATCH(D724,dim_kpi!C:C,0)),"")</f>
        <v>ratio</v>
      </c>
      <c r="Q724" s="9" t="str">
        <f t="array" ref="Q724">IFERROR(INDEX(dim_kpi!F:F,MATCH(D724,dim_kpi!C:C,0)),"")</f>
        <v>N</v>
      </c>
    </row>
    <row r="725" ht="12.75" customHeight="1">
      <c r="A725" s="20" t="str">
        <f>fact_kpi_weekly!A725</f>
        <v>260601</v>
      </c>
      <c r="B725" s="21">
        <f>fact_kpi_weekly!B725</f>
        <v>46174</v>
      </c>
      <c r="C725" s="9" t="str">
        <f>fact_kpi_weekly!C725</f>
        <v>Growth</v>
      </c>
      <c r="D725" s="9" t="str">
        <f>fact_kpi_weekly!D725</f>
        <v>Activation Call Conversions (per rep per hour)</v>
      </c>
      <c r="E725" s="9" t="str">
        <f>fact_kpi_weekly!E725</f>
        <v>Goal</v>
      </c>
      <c r="F725" s="9" t="str">
        <f>IF(fact_kpi_weekly!F725="","",fact_kpi_weekly!F725)</f>
        <v/>
      </c>
      <c r="G725" s="9" t="str">
        <f>fact_kpi_weekly!G725</f>
        <v>N/A</v>
      </c>
      <c r="H725" s="9" t="str">
        <f>fact_kpi_weekly!H725</f>
        <v>Luke</v>
      </c>
      <c r="I725" s="9">
        <f>fact_kpi_weekly!I725</f>
        <v>1.44</v>
      </c>
      <c r="J725" s="22">
        <f>fact_kpi_weekly!J725</f>
        <v>1.44</v>
      </c>
      <c r="K725" s="20" t="str">
        <f t="array" ref="K725">IFERROR(INDEX(dim_date!H:H,MATCH(A725,dim_date!A:A,0)),"")</f>
        <v>Jun</v>
      </c>
      <c r="L725" s="20" t="str">
        <f t="array" ref="L725">IFERROR(INDEX(dim_date!G:G,MATCH(A725,dim_date!A:A,0)),"")</f>
        <v>06</v>
      </c>
      <c r="M725" s="9" t="str">
        <f t="array" ref="M725">IFERROR(INDEX(dim_date!I:I,MATCH(A725,dim_date!A:A,0)),"")</f>
        <v>Q2</v>
      </c>
      <c r="N725" s="20" t="str">
        <f t="array" ref="N725">IFERROR(INDEX(dim_date!K:K,MATCH(A725,dim_date!A:A,0)),"")</f>
        <v>23</v>
      </c>
      <c r="O725" s="9" t="str">
        <f t="array" ref="O725">IFERROR(INDEX(dim_date!F:F,MATCH(A725,dim_date!A:A,0)),"")</f>
        <v>5/31-6/6</v>
      </c>
      <c r="P725" s="9" t="str">
        <f t="array" ref="P725">IFERROR(INDEX(dim_kpi!E:E,MATCH(D725,dim_kpi!C:C,0)),"")</f>
        <v>ratio</v>
      </c>
      <c r="Q725" s="9" t="str">
        <f t="array" ref="Q725">IFERROR(INDEX(dim_kpi!F:F,MATCH(D725,dim_kpi!C:C,0)),"")</f>
        <v>N</v>
      </c>
    </row>
    <row r="726" ht="12.75" customHeight="1">
      <c r="A726" s="20" t="str">
        <f>fact_kpi_weekly!A726</f>
        <v>260607</v>
      </c>
      <c r="B726" s="21">
        <f>fact_kpi_weekly!B726</f>
        <v>46180</v>
      </c>
      <c r="C726" s="9" t="str">
        <f>fact_kpi_weekly!C726</f>
        <v>Growth</v>
      </c>
      <c r="D726" s="9" t="str">
        <f>fact_kpi_weekly!D726</f>
        <v>Activation Call Conversions (per rep per hour)</v>
      </c>
      <c r="E726" s="9" t="str">
        <f>fact_kpi_weekly!E726</f>
        <v>Goal</v>
      </c>
      <c r="F726" s="9" t="str">
        <f>IF(fact_kpi_weekly!F726="","",fact_kpi_weekly!F726)</f>
        <v/>
      </c>
      <c r="G726" s="9" t="str">
        <f>fact_kpi_weekly!G726</f>
        <v>N/A</v>
      </c>
      <c r="H726" s="9" t="str">
        <f>fact_kpi_weekly!H726</f>
        <v>Luke</v>
      </c>
      <c r="I726" s="9">
        <f>fact_kpi_weekly!I726</f>
        <v>1.44</v>
      </c>
      <c r="J726" s="22">
        <f>fact_kpi_weekly!J726</f>
        <v>1.44</v>
      </c>
      <c r="K726" s="20" t="str">
        <f t="array" ref="K726">IFERROR(INDEX(dim_date!H:H,MATCH(A726,dim_date!A:A,0)),"")</f>
        <v>Jun</v>
      </c>
      <c r="L726" s="20" t="str">
        <f t="array" ref="L726">IFERROR(INDEX(dim_date!G:G,MATCH(A726,dim_date!A:A,0)),"")</f>
        <v>06</v>
      </c>
      <c r="M726" s="9" t="str">
        <f t="array" ref="M726">IFERROR(INDEX(dim_date!I:I,MATCH(A726,dim_date!A:A,0)),"")</f>
        <v>Q2</v>
      </c>
      <c r="N726" s="20" t="str">
        <f t="array" ref="N726">IFERROR(INDEX(dim_date!K:K,MATCH(A726,dim_date!A:A,0)),"")</f>
        <v>24</v>
      </c>
      <c r="O726" s="9" t="str">
        <f t="array" ref="O726">IFERROR(INDEX(dim_date!F:F,MATCH(A726,dim_date!A:A,0)),"")</f>
        <v>6/7-6/13</v>
      </c>
      <c r="P726" s="9" t="str">
        <f t="array" ref="P726">IFERROR(INDEX(dim_kpi!E:E,MATCH(D726,dim_kpi!C:C,0)),"")</f>
        <v>ratio</v>
      </c>
      <c r="Q726" s="9" t="str">
        <f t="array" ref="Q726">IFERROR(INDEX(dim_kpi!F:F,MATCH(D726,dim_kpi!C:C,0)),"")</f>
        <v>N</v>
      </c>
    </row>
    <row r="727" ht="12.75" customHeight="1">
      <c r="A727" s="20" t="str">
        <f>fact_kpi_weekly!A727</f>
        <v>260614</v>
      </c>
      <c r="B727" s="21">
        <f>fact_kpi_weekly!B727</f>
        <v>46187</v>
      </c>
      <c r="C727" s="9" t="str">
        <f>fact_kpi_weekly!C727</f>
        <v>Growth</v>
      </c>
      <c r="D727" s="9" t="str">
        <f>fact_kpi_weekly!D727</f>
        <v>Activation Call Conversions (per rep per hour)</v>
      </c>
      <c r="E727" s="9" t="str">
        <f>fact_kpi_weekly!E727</f>
        <v>Goal</v>
      </c>
      <c r="F727" s="9" t="str">
        <f>IF(fact_kpi_weekly!F727="","",fact_kpi_weekly!F727)</f>
        <v/>
      </c>
      <c r="G727" s="9" t="str">
        <f>fact_kpi_weekly!G727</f>
        <v>N/A</v>
      </c>
      <c r="H727" s="9" t="str">
        <f>fact_kpi_weekly!H727</f>
        <v>Luke</v>
      </c>
      <c r="I727" s="9">
        <f>fact_kpi_weekly!I727</f>
        <v>1.44</v>
      </c>
      <c r="J727" s="22">
        <f>fact_kpi_weekly!J727</f>
        <v>1.44</v>
      </c>
      <c r="K727" s="20" t="str">
        <f t="array" ref="K727">IFERROR(INDEX(dim_date!H:H,MATCH(A727,dim_date!A:A,0)),"")</f>
        <v>Jun</v>
      </c>
      <c r="L727" s="20" t="str">
        <f t="array" ref="L727">IFERROR(INDEX(dim_date!G:G,MATCH(A727,dim_date!A:A,0)),"")</f>
        <v>06</v>
      </c>
      <c r="M727" s="9" t="str">
        <f t="array" ref="M727">IFERROR(INDEX(dim_date!I:I,MATCH(A727,dim_date!A:A,0)),"")</f>
        <v>Q2</v>
      </c>
      <c r="N727" s="20" t="str">
        <f t="array" ref="N727">IFERROR(INDEX(dim_date!K:K,MATCH(A727,dim_date!A:A,0)),"")</f>
        <v>25</v>
      </c>
      <c r="O727" s="9" t="str">
        <f t="array" ref="O727">IFERROR(INDEX(dim_date!F:F,MATCH(A727,dim_date!A:A,0)),"")</f>
        <v>6/14-6/20</v>
      </c>
      <c r="P727" s="9" t="str">
        <f t="array" ref="P727">IFERROR(INDEX(dim_kpi!E:E,MATCH(D727,dim_kpi!C:C,0)),"")</f>
        <v>ratio</v>
      </c>
      <c r="Q727" s="9" t="str">
        <f t="array" ref="Q727">IFERROR(INDEX(dim_kpi!F:F,MATCH(D727,dim_kpi!C:C,0)),"")</f>
        <v>N</v>
      </c>
    </row>
    <row r="728" ht="12.75" customHeight="1">
      <c r="A728" s="20" t="str">
        <f>fact_kpi_weekly!A728</f>
        <v>260621</v>
      </c>
      <c r="B728" s="21">
        <f>fact_kpi_weekly!B728</f>
        <v>46194</v>
      </c>
      <c r="C728" s="9" t="str">
        <f>fact_kpi_weekly!C728</f>
        <v>Growth</v>
      </c>
      <c r="D728" s="9" t="str">
        <f>fact_kpi_weekly!D728</f>
        <v>Activation Call Conversions (per rep per hour)</v>
      </c>
      <c r="E728" s="9" t="str">
        <f>fact_kpi_weekly!E728</f>
        <v>Goal</v>
      </c>
      <c r="F728" s="9" t="str">
        <f>IF(fact_kpi_weekly!F728="","",fact_kpi_weekly!F728)</f>
        <v/>
      </c>
      <c r="G728" s="9" t="str">
        <f>fact_kpi_weekly!G728</f>
        <v>N/A</v>
      </c>
      <c r="H728" s="9" t="str">
        <f>fact_kpi_weekly!H728</f>
        <v>Luke</v>
      </c>
      <c r="I728" s="9">
        <f>fact_kpi_weekly!I728</f>
        <v>1.44</v>
      </c>
      <c r="J728" s="22">
        <f>fact_kpi_weekly!J728</f>
        <v>1.44</v>
      </c>
      <c r="K728" s="20" t="str">
        <f t="array" ref="K728">IFERROR(INDEX(dim_date!H:H,MATCH(A728,dim_date!A:A,0)),"")</f>
        <v>Jun</v>
      </c>
      <c r="L728" s="20" t="str">
        <f t="array" ref="L728">IFERROR(INDEX(dim_date!G:G,MATCH(A728,dim_date!A:A,0)),"")</f>
        <v>06</v>
      </c>
      <c r="M728" s="9" t="str">
        <f t="array" ref="M728">IFERROR(INDEX(dim_date!I:I,MATCH(A728,dim_date!A:A,0)),"")</f>
        <v>Q2</v>
      </c>
      <c r="N728" s="20" t="str">
        <f t="array" ref="N728">IFERROR(INDEX(dim_date!K:K,MATCH(A728,dim_date!A:A,0)),"")</f>
        <v>26</v>
      </c>
      <c r="O728" s="9" t="str">
        <f t="array" ref="O728">IFERROR(INDEX(dim_date!F:F,MATCH(A728,dim_date!A:A,0)),"")</f>
        <v>6/21-6/27</v>
      </c>
      <c r="P728" s="9" t="str">
        <f t="array" ref="P728">IFERROR(INDEX(dim_kpi!E:E,MATCH(D728,dim_kpi!C:C,0)),"")</f>
        <v>ratio</v>
      </c>
      <c r="Q728" s="9" t="str">
        <f t="array" ref="Q728">IFERROR(INDEX(dim_kpi!F:F,MATCH(D728,dim_kpi!C:C,0)),"")</f>
        <v>N</v>
      </c>
    </row>
    <row r="729" ht="12.75" customHeight="1">
      <c r="A729" s="20" t="str">
        <f>fact_kpi_weekly!A729</f>
        <v>260628</v>
      </c>
      <c r="B729" s="21">
        <f>fact_kpi_weekly!B729</f>
        <v>46201</v>
      </c>
      <c r="C729" s="9" t="str">
        <f>fact_kpi_weekly!C729</f>
        <v>Growth</v>
      </c>
      <c r="D729" s="9" t="str">
        <f>fact_kpi_weekly!D729</f>
        <v>Activation Call Conversions (per rep per hour)</v>
      </c>
      <c r="E729" s="9" t="str">
        <f>fact_kpi_weekly!E729</f>
        <v>Goal</v>
      </c>
      <c r="F729" s="9" t="str">
        <f>IF(fact_kpi_weekly!F729="","",fact_kpi_weekly!F729)</f>
        <v/>
      </c>
      <c r="G729" s="9" t="str">
        <f>fact_kpi_weekly!G729</f>
        <v>N/A</v>
      </c>
      <c r="H729" s="9" t="str">
        <f>fact_kpi_weekly!H729</f>
        <v>Luke</v>
      </c>
      <c r="I729" s="9">
        <f>fact_kpi_weekly!I729</f>
        <v>1.44</v>
      </c>
      <c r="J729" s="22">
        <f>fact_kpi_weekly!J729</f>
        <v>1.44</v>
      </c>
      <c r="K729" s="20" t="str">
        <f t="array" ref="K729">IFERROR(INDEX(dim_date!H:H,MATCH(A729,dim_date!A:A,0)),"")</f>
        <v>Jun</v>
      </c>
      <c r="L729" s="20" t="str">
        <f t="array" ref="L729">IFERROR(INDEX(dim_date!G:G,MATCH(A729,dim_date!A:A,0)),"")</f>
        <v>06</v>
      </c>
      <c r="M729" s="9" t="str">
        <f t="array" ref="M729">IFERROR(INDEX(dim_date!I:I,MATCH(A729,dim_date!A:A,0)),"")</f>
        <v>Q2</v>
      </c>
      <c r="N729" s="20" t="str">
        <f t="array" ref="N729">IFERROR(INDEX(dim_date!K:K,MATCH(A729,dim_date!A:A,0)),"")</f>
        <v>27</v>
      </c>
      <c r="O729" s="9" t="str">
        <f t="array" ref="O729">IFERROR(INDEX(dim_date!F:F,MATCH(A729,dim_date!A:A,0)),"")</f>
        <v>6/28-7/4</v>
      </c>
      <c r="P729" s="9" t="str">
        <f t="array" ref="P729">IFERROR(INDEX(dim_kpi!E:E,MATCH(D729,dim_kpi!C:C,0)),"")</f>
        <v>ratio</v>
      </c>
      <c r="Q729" s="9" t="str">
        <f t="array" ref="Q729">IFERROR(INDEX(dim_kpi!F:F,MATCH(D729,dim_kpi!C:C,0)),"")</f>
        <v>N</v>
      </c>
    </row>
    <row r="730" ht="12.75" customHeight="1">
      <c r="A730" s="20" t="str">
        <f>fact_kpi_weekly!A730</f>
        <v>260705</v>
      </c>
      <c r="B730" s="21">
        <f>fact_kpi_weekly!B730</f>
        <v>46208</v>
      </c>
      <c r="C730" s="9" t="str">
        <f>fact_kpi_weekly!C730</f>
        <v>Growth</v>
      </c>
      <c r="D730" s="9" t="str">
        <f>fact_kpi_weekly!D730</f>
        <v>Activation Call Conversions (per rep per hour)</v>
      </c>
      <c r="E730" s="9" t="str">
        <f>fact_kpi_weekly!E730</f>
        <v>Goal</v>
      </c>
      <c r="F730" s="9" t="str">
        <f>IF(fact_kpi_weekly!F730="","",fact_kpi_weekly!F730)</f>
        <v/>
      </c>
      <c r="G730" s="9" t="str">
        <f>fact_kpi_weekly!G730</f>
        <v>N/A</v>
      </c>
      <c r="H730" s="9" t="str">
        <f>fact_kpi_weekly!H730</f>
        <v>Luke</v>
      </c>
      <c r="I730" s="9">
        <f>fact_kpi_weekly!I730</f>
        <v>1.39</v>
      </c>
      <c r="J730" s="22">
        <f>fact_kpi_weekly!J730</f>
        <v>1.39</v>
      </c>
      <c r="K730" s="20" t="str">
        <f t="array" ref="K730">IFERROR(INDEX(dim_date!H:H,MATCH(A730,dim_date!A:A,0)),"")</f>
        <v>Jul</v>
      </c>
      <c r="L730" s="20" t="str">
        <f t="array" ref="L730">IFERROR(INDEX(dim_date!G:G,MATCH(A730,dim_date!A:A,0)),"")</f>
        <v>07</v>
      </c>
      <c r="M730" s="9" t="str">
        <f t="array" ref="M730">IFERROR(INDEX(dim_date!I:I,MATCH(A730,dim_date!A:A,0)),"")</f>
        <v>Q3</v>
      </c>
      <c r="N730" s="20" t="str">
        <f t="array" ref="N730">IFERROR(INDEX(dim_date!K:K,MATCH(A730,dim_date!A:A,0)),"")</f>
        <v>28</v>
      </c>
      <c r="O730" s="9" t="str">
        <f t="array" ref="O730">IFERROR(INDEX(dim_date!F:F,MATCH(A730,dim_date!A:A,0)),"")</f>
        <v>7/5-7/11</v>
      </c>
      <c r="P730" s="9" t="str">
        <f t="array" ref="P730">IFERROR(INDEX(dim_kpi!E:E,MATCH(D730,dim_kpi!C:C,0)),"")</f>
        <v>ratio</v>
      </c>
      <c r="Q730" s="9" t="str">
        <f t="array" ref="Q730">IFERROR(INDEX(dim_kpi!F:F,MATCH(D730,dim_kpi!C:C,0)),"")</f>
        <v>N</v>
      </c>
    </row>
    <row r="731" ht="12.75" customHeight="1">
      <c r="A731" s="20" t="str">
        <f>fact_kpi_weekly!A731</f>
        <v>260712</v>
      </c>
      <c r="B731" s="21">
        <f>fact_kpi_weekly!B731</f>
        <v>46215</v>
      </c>
      <c r="C731" s="9" t="str">
        <f>fact_kpi_weekly!C731</f>
        <v>Growth</v>
      </c>
      <c r="D731" s="9" t="str">
        <f>fact_kpi_weekly!D731</f>
        <v>Activation Call Conversions (per rep per hour)</v>
      </c>
      <c r="E731" s="9" t="str">
        <f>fact_kpi_weekly!E731</f>
        <v>Goal</v>
      </c>
      <c r="F731" s="9" t="str">
        <f>IF(fact_kpi_weekly!F731="","",fact_kpi_weekly!F731)</f>
        <v/>
      </c>
      <c r="G731" s="9" t="str">
        <f>fact_kpi_weekly!G731</f>
        <v>N/A</v>
      </c>
      <c r="H731" s="9" t="str">
        <f>fact_kpi_weekly!H731</f>
        <v>Luke</v>
      </c>
      <c r="I731" s="9">
        <f>fact_kpi_weekly!I731</f>
        <v>1.39</v>
      </c>
      <c r="J731" s="22">
        <f>fact_kpi_weekly!J731</f>
        <v>1.39</v>
      </c>
      <c r="K731" s="20" t="str">
        <f t="array" ref="K731">IFERROR(INDEX(dim_date!H:H,MATCH(A731,dim_date!A:A,0)),"")</f>
        <v>Jul</v>
      </c>
      <c r="L731" s="20" t="str">
        <f t="array" ref="L731">IFERROR(INDEX(dim_date!G:G,MATCH(A731,dim_date!A:A,0)),"")</f>
        <v>07</v>
      </c>
      <c r="M731" s="9" t="str">
        <f t="array" ref="M731">IFERROR(INDEX(dim_date!I:I,MATCH(A731,dim_date!A:A,0)),"")</f>
        <v>Q3</v>
      </c>
      <c r="N731" s="20" t="str">
        <f t="array" ref="N731">IFERROR(INDEX(dim_date!K:K,MATCH(A731,dim_date!A:A,0)),"")</f>
        <v>29</v>
      </c>
      <c r="O731" s="9" t="str">
        <f t="array" ref="O731">IFERROR(INDEX(dim_date!F:F,MATCH(A731,dim_date!A:A,0)),"")</f>
        <v>7/12-7/18</v>
      </c>
      <c r="P731" s="9" t="str">
        <f t="array" ref="P731">IFERROR(INDEX(dim_kpi!E:E,MATCH(D731,dim_kpi!C:C,0)),"")</f>
        <v>ratio</v>
      </c>
      <c r="Q731" s="9" t="str">
        <f t="array" ref="Q731">IFERROR(INDEX(dim_kpi!F:F,MATCH(D731,dim_kpi!C:C,0)),"")</f>
        <v>N</v>
      </c>
    </row>
    <row r="732" ht="12.75" customHeight="1">
      <c r="A732" s="20" t="str">
        <f>fact_kpi_weekly!A732</f>
        <v>260719</v>
      </c>
      <c r="B732" s="21">
        <f>fact_kpi_weekly!B732</f>
        <v>46222</v>
      </c>
      <c r="C732" s="9" t="str">
        <f>fact_kpi_weekly!C732</f>
        <v>Growth</v>
      </c>
      <c r="D732" s="9" t="str">
        <f>fact_kpi_weekly!D732</f>
        <v>Activation Call Conversions (per rep per hour)</v>
      </c>
      <c r="E732" s="9" t="str">
        <f>fact_kpi_weekly!E732</f>
        <v>Goal</v>
      </c>
      <c r="F732" s="9" t="str">
        <f>IF(fact_kpi_weekly!F732="","",fact_kpi_weekly!F732)</f>
        <v/>
      </c>
      <c r="G732" s="9" t="str">
        <f>fact_kpi_weekly!G732</f>
        <v>N/A</v>
      </c>
      <c r="H732" s="9" t="str">
        <f>fact_kpi_weekly!H732</f>
        <v>Luke</v>
      </c>
      <c r="I732" s="9">
        <f>fact_kpi_weekly!I732</f>
        <v>1.39</v>
      </c>
      <c r="J732" s="22">
        <f>fact_kpi_weekly!J732</f>
        <v>1.39</v>
      </c>
      <c r="K732" s="20" t="str">
        <f t="array" ref="K732">IFERROR(INDEX(dim_date!H:H,MATCH(A732,dim_date!A:A,0)),"")</f>
        <v>Jul</v>
      </c>
      <c r="L732" s="20" t="str">
        <f t="array" ref="L732">IFERROR(INDEX(dim_date!G:G,MATCH(A732,dim_date!A:A,0)),"")</f>
        <v>07</v>
      </c>
      <c r="M732" s="9" t="str">
        <f t="array" ref="M732">IFERROR(INDEX(dim_date!I:I,MATCH(A732,dim_date!A:A,0)),"")</f>
        <v>Q3</v>
      </c>
      <c r="N732" s="20" t="str">
        <f t="array" ref="N732">IFERROR(INDEX(dim_date!K:K,MATCH(A732,dim_date!A:A,0)),"")</f>
        <v>30</v>
      </c>
      <c r="O732" s="9" t="str">
        <f t="array" ref="O732">IFERROR(INDEX(dim_date!F:F,MATCH(A732,dim_date!A:A,0)),"")</f>
        <v>7/19-7/25</v>
      </c>
      <c r="P732" s="9" t="str">
        <f t="array" ref="P732">IFERROR(INDEX(dim_kpi!E:E,MATCH(D732,dim_kpi!C:C,0)),"")</f>
        <v>ratio</v>
      </c>
      <c r="Q732" s="9" t="str">
        <f t="array" ref="Q732">IFERROR(INDEX(dim_kpi!F:F,MATCH(D732,dim_kpi!C:C,0)),"")</f>
        <v>N</v>
      </c>
    </row>
    <row r="733" ht="12.75" customHeight="1">
      <c r="A733" s="20" t="str">
        <f>fact_kpi_weekly!A733</f>
        <v>260726</v>
      </c>
      <c r="B733" s="21">
        <f>fact_kpi_weekly!B733</f>
        <v>46229</v>
      </c>
      <c r="C733" s="9" t="str">
        <f>fact_kpi_weekly!C733</f>
        <v>Growth</v>
      </c>
      <c r="D733" s="9" t="str">
        <f>fact_kpi_weekly!D733</f>
        <v>Activation Call Conversions (per rep per hour)</v>
      </c>
      <c r="E733" s="9" t="str">
        <f>fact_kpi_weekly!E733</f>
        <v>Goal</v>
      </c>
      <c r="F733" s="9" t="str">
        <f>IF(fact_kpi_weekly!F733="","",fact_kpi_weekly!F733)</f>
        <v/>
      </c>
      <c r="G733" s="9" t="str">
        <f>fact_kpi_weekly!G733</f>
        <v>N/A</v>
      </c>
      <c r="H733" s="9" t="str">
        <f>fact_kpi_weekly!H733</f>
        <v>Luke</v>
      </c>
      <c r="I733" s="9">
        <f>fact_kpi_weekly!I733</f>
        <v>1.39</v>
      </c>
      <c r="J733" s="22">
        <f>fact_kpi_weekly!J733</f>
        <v>1.39</v>
      </c>
      <c r="K733" s="20" t="str">
        <f t="array" ref="K733">IFERROR(INDEX(dim_date!H:H,MATCH(A733,dim_date!A:A,0)),"")</f>
        <v>Jul</v>
      </c>
      <c r="L733" s="20" t="str">
        <f t="array" ref="L733">IFERROR(INDEX(dim_date!G:G,MATCH(A733,dim_date!A:A,0)),"")</f>
        <v>07</v>
      </c>
      <c r="M733" s="9" t="str">
        <f t="array" ref="M733">IFERROR(INDEX(dim_date!I:I,MATCH(A733,dim_date!A:A,0)),"")</f>
        <v>Q3</v>
      </c>
      <c r="N733" s="20" t="str">
        <f t="array" ref="N733">IFERROR(INDEX(dim_date!K:K,MATCH(A733,dim_date!A:A,0)),"")</f>
        <v>31</v>
      </c>
      <c r="O733" s="9" t="str">
        <f t="array" ref="O733">IFERROR(INDEX(dim_date!F:F,MATCH(A733,dim_date!A:A,0)),"")</f>
        <v>7/26-8/1</v>
      </c>
      <c r="P733" s="9" t="str">
        <f t="array" ref="P733">IFERROR(INDEX(dim_kpi!E:E,MATCH(D733,dim_kpi!C:C,0)),"")</f>
        <v>ratio</v>
      </c>
      <c r="Q733" s="9" t="str">
        <f t="array" ref="Q733">IFERROR(INDEX(dim_kpi!F:F,MATCH(D733,dim_kpi!C:C,0)),"")</f>
        <v>N</v>
      </c>
    </row>
    <row r="734" ht="12.75" customHeight="1">
      <c r="A734" s="20" t="str">
        <f>fact_kpi_weekly!A734</f>
        <v>260802</v>
      </c>
      <c r="B734" s="21">
        <f>fact_kpi_weekly!B734</f>
        <v>46236</v>
      </c>
      <c r="C734" s="9" t="str">
        <f>fact_kpi_weekly!C734</f>
        <v>Growth</v>
      </c>
      <c r="D734" s="9" t="str">
        <f>fact_kpi_weekly!D734</f>
        <v>Activation Call Conversions (per rep per hour)</v>
      </c>
      <c r="E734" s="9" t="str">
        <f>fact_kpi_weekly!E734</f>
        <v>Goal</v>
      </c>
      <c r="F734" s="9" t="str">
        <f>IF(fact_kpi_weekly!F734="","",fact_kpi_weekly!F734)</f>
        <v/>
      </c>
      <c r="G734" s="9" t="str">
        <f>fact_kpi_weekly!G734</f>
        <v>N/A</v>
      </c>
      <c r="H734" s="9" t="str">
        <f>fact_kpi_weekly!H734</f>
        <v>Luke</v>
      </c>
      <c r="I734" s="9">
        <f>fact_kpi_weekly!I734</f>
        <v>1.38</v>
      </c>
      <c r="J734" s="22">
        <f>fact_kpi_weekly!J734</f>
        <v>1.38</v>
      </c>
      <c r="K734" s="20" t="str">
        <f t="array" ref="K734">IFERROR(INDEX(dim_date!H:H,MATCH(A734,dim_date!A:A,0)),"")</f>
        <v>Aug</v>
      </c>
      <c r="L734" s="20" t="str">
        <f t="array" ref="L734">IFERROR(INDEX(dim_date!G:G,MATCH(A734,dim_date!A:A,0)),"")</f>
        <v>08</v>
      </c>
      <c r="M734" s="9" t="str">
        <f t="array" ref="M734">IFERROR(INDEX(dim_date!I:I,MATCH(A734,dim_date!A:A,0)),"")</f>
        <v>Q3</v>
      </c>
      <c r="N734" s="20" t="str">
        <f t="array" ref="N734">IFERROR(INDEX(dim_date!K:K,MATCH(A734,dim_date!A:A,0)),"")</f>
        <v>32</v>
      </c>
      <c r="O734" s="9" t="str">
        <f t="array" ref="O734">IFERROR(INDEX(dim_date!F:F,MATCH(A734,dim_date!A:A,0)),"")</f>
        <v>8/2-8/8</v>
      </c>
      <c r="P734" s="9" t="str">
        <f t="array" ref="P734">IFERROR(INDEX(dim_kpi!E:E,MATCH(D734,dim_kpi!C:C,0)),"")</f>
        <v>ratio</v>
      </c>
      <c r="Q734" s="9" t="str">
        <f t="array" ref="Q734">IFERROR(INDEX(dim_kpi!F:F,MATCH(D734,dim_kpi!C:C,0)),"")</f>
        <v>N</v>
      </c>
    </row>
    <row r="735" ht="12.75" customHeight="1">
      <c r="A735" s="20" t="str">
        <f>fact_kpi_weekly!A735</f>
        <v>260809</v>
      </c>
      <c r="B735" s="21">
        <f>fact_kpi_weekly!B735</f>
        <v>46243</v>
      </c>
      <c r="C735" s="9" t="str">
        <f>fact_kpi_weekly!C735</f>
        <v>Growth</v>
      </c>
      <c r="D735" s="9" t="str">
        <f>fact_kpi_weekly!D735</f>
        <v>Activation Call Conversions (per rep per hour)</v>
      </c>
      <c r="E735" s="9" t="str">
        <f>fact_kpi_weekly!E735</f>
        <v>Goal</v>
      </c>
      <c r="F735" s="9" t="str">
        <f>IF(fact_kpi_weekly!F735="","",fact_kpi_weekly!F735)</f>
        <v/>
      </c>
      <c r="G735" s="9" t="str">
        <f>fact_kpi_weekly!G735</f>
        <v>N/A</v>
      </c>
      <c r="H735" s="9" t="str">
        <f>fact_kpi_weekly!H735</f>
        <v>Luke</v>
      </c>
      <c r="I735" s="9">
        <f>fact_kpi_weekly!I735</f>
        <v>1.38</v>
      </c>
      <c r="J735" s="22">
        <f>fact_kpi_weekly!J735</f>
        <v>1.38</v>
      </c>
      <c r="K735" s="20" t="str">
        <f t="array" ref="K735">IFERROR(INDEX(dim_date!H:H,MATCH(A735,dim_date!A:A,0)),"")</f>
        <v>Aug</v>
      </c>
      <c r="L735" s="20" t="str">
        <f t="array" ref="L735">IFERROR(INDEX(dim_date!G:G,MATCH(A735,dim_date!A:A,0)),"")</f>
        <v>08</v>
      </c>
      <c r="M735" s="9" t="str">
        <f t="array" ref="M735">IFERROR(INDEX(dim_date!I:I,MATCH(A735,dim_date!A:A,0)),"")</f>
        <v>Q3</v>
      </c>
      <c r="N735" s="20" t="str">
        <f t="array" ref="N735">IFERROR(INDEX(dim_date!K:K,MATCH(A735,dim_date!A:A,0)),"")</f>
        <v>33</v>
      </c>
      <c r="O735" s="9" t="str">
        <f t="array" ref="O735">IFERROR(INDEX(dim_date!F:F,MATCH(A735,dim_date!A:A,0)),"")</f>
        <v>8/9-8/15</v>
      </c>
      <c r="P735" s="9" t="str">
        <f t="array" ref="P735">IFERROR(INDEX(dim_kpi!E:E,MATCH(D735,dim_kpi!C:C,0)),"")</f>
        <v>ratio</v>
      </c>
      <c r="Q735" s="9" t="str">
        <f t="array" ref="Q735">IFERROR(INDEX(dim_kpi!F:F,MATCH(D735,dim_kpi!C:C,0)),"")</f>
        <v>N</v>
      </c>
    </row>
    <row r="736" ht="12.75" customHeight="1">
      <c r="A736" s="20" t="str">
        <f>fact_kpi_weekly!A736</f>
        <v>260816</v>
      </c>
      <c r="B736" s="21">
        <f>fact_kpi_weekly!B736</f>
        <v>46250</v>
      </c>
      <c r="C736" s="9" t="str">
        <f>fact_kpi_weekly!C736</f>
        <v>Growth</v>
      </c>
      <c r="D736" s="9" t="str">
        <f>fact_kpi_weekly!D736</f>
        <v>Activation Call Conversions (per rep per hour)</v>
      </c>
      <c r="E736" s="9" t="str">
        <f>fact_kpi_weekly!E736</f>
        <v>Goal</v>
      </c>
      <c r="F736" s="9" t="str">
        <f>IF(fact_kpi_weekly!F736="","",fact_kpi_weekly!F736)</f>
        <v/>
      </c>
      <c r="G736" s="9" t="str">
        <f>fact_kpi_weekly!G736</f>
        <v>N/A</v>
      </c>
      <c r="H736" s="9" t="str">
        <f>fact_kpi_weekly!H736</f>
        <v>Luke</v>
      </c>
      <c r="I736" s="9">
        <f>fact_kpi_weekly!I736</f>
        <v>1.38</v>
      </c>
      <c r="J736" s="22">
        <f>fact_kpi_weekly!J736</f>
        <v>1.38</v>
      </c>
      <c r="K736" s="20" t="str">
        <f t="array" ref="K736">IFERROR(INDEX(dim_date!H:H,MATCH(A736,dim_date!A:A,0)),"")</f>
        <v>Aug</v>
      </c>
      <c r="L736" s="20" t="str">
        <f t="array" ref="L736">IFERROR(INDEX(dim_date!G:G,MATCH(A736,dim_date!A:A,0)),"")</f>
        <v>08</v>
      </c>
      <c r="M736" s="9" t="str">
        <f t="array" ref="M736">IFERROR(INDEX(dim_date!I:I,MATCH(A736,dim_date!A:A,0)),"")</f>
        <v>Q3</v>
      </c>
      <c r="N736" s="20" t="str">
        <f t="array" ref="N736">IFERROR(INDEX(dim_date!K:K,MATCH(A736,dim_date!A:A,0)),"")</f>
        <v>34</v>
      </c>
      <c r="O736" s="9" t="str">
        <f t="array" ref="O736">IFERROR(INDEX(dim_date!F:F,MATCH(A736,dim_date!A:A,0)),"")</f>
        <v>8/16-8/22</v>
      </c>
      <c r="P736" s="9" t="str">
        <f t="array" ref="P736">IFERROR(INDEX(dim_kpi!E:E,MATCH(D736,dim_kpi!C:C,0)),"")</f>
        <v>ratio</v>
      </c>
      <c r="Q736" s="9" t="str">
        <f t="array" ref="Q736">IFERROR(INDEX(dim_kpi!F:F,MATCH(D736,dim_kpi!C:C,0)),"")</f>
        <v>N</v>
      </c>
    </row>
    <row r="737" ht="12.75" customHeight="1">
      <c r="A737" s="20" t="str">
        <f>fact_kpi_weekly!A737</f>
        <v>260823</v>
      </c>
      <c r="B737" s="21">
        <f>fact_kpi_weekly!B737</f>
        <v>46257</v>
      </c>
      <c r="C737" s="9" t="str">
        <f>fact_kpi_weekly!C737</f>
        <v>Growth</v>
      </c>
      <c r="D737" s="9" t="str">
        <f>fact_kpi_weekly!D737</f>
        <v>Activation Call Conversions (per rep per hour)</v>
      </c>
      <c r="E737" s="9" t="str">
        <f>fact_kpi_weekly!E737</f>
        <v>Goal</v>
      </c>
      <c r="F737" s="9" t="str">
        <f>IF(fact_kpi_weekly!F737="","",fact_kpi_weekly!F737)</f>
        <v/>
      </c>
      <c r="G737" s="9" t="str">
        <f>fact_kpi_weekly!G737</f>
        <v>N/A</v>
      </c>
      <c r="H737" s="9" t="str">
        <f>fact_kpi_weekly!H737</f>
        <v>Luke</v>
      </c>
      <c r="I737" s="9">
        <f>fact_kpi_weekly!I737</f>
        <v>1.38</v>
      </c>
      <c r="J737" s="22">
        <f>fact_kpi_weekly!J737</f>
        <v>1.38</v>
      </c>
      <c r="K737" s="20" t="str">
        <f t="array" ref="K737">IFERROR(INDEX(dim_date!H:H,MATCH(A737,dim_date!A:A,0)),"")</f>
        <v>Aug</v>
      </c>
      <c r="L737" s="20" t="str">
        <f t="array" ref="L737">IFERROR(INDEX(dim_date!G:G,MATCH(A737,dim_date!A:A,0)),"")</f>
        <v>08</v>
      </c>
      <c r="M737" s="9" t="str">
        <f t="array" ref="M737">IFERROR(INDEX(dim_date!I:I,MATCH(A737,dim_date!A:A,0)),"")</f>
        <v>Q3</v>
      </c>
      <c r="N737" s="20" t="str">
        <f t="array" ref="N737">IFERROR(INDEX(dim_date!K:K,MATCH(A737,dim_date!A:A,0)),"")</f>
        <v>35</v>
      </c>
      <c r="O737" s="9" t="str">
        <f t="array" ref="O737">IFERROR(INDEX(dim_date!F:F,MATCH(A737,dim_date!A:A,0)),"")</f>
        <v>8/23-8/29</v>
      </c>
      <c r="P737" s="9" t="str">
        <f t="array" ref="P737">IFERROR(INDEX(dim_kpi!E:E,MATCH(D737,dim_kpi!C:C,0)),"")</f>
        <v>ratio</v>
      </c>
      <c r="Q737" s="9" t="str">
        <f t="array" ref="Q737">IFERROR(INDEX(dim_kpi!F:F,MATCH(D737,dim_kpi!C:C,0)),"")</f>
        <v>N</v>
      </c>
    </row>
    <row r="738" ht="12.75" customHeight="1">
      <c r="A738" s="20" t="str">
        <f>fact_kpi_weekly!A738</f>
        <v>260830</v>
      </c>
      <c r="B738" s="21">
        <f>fact_kpi_weekly!B738</f>
        <v>46264</v>
      </c>
      <c r="C738" s="9" t="str">
        <f>fact_kpi_weekly!C738</f>
        <v>Growth</v>
      </c>
      <c r="D738" s="9" t="str">
        <f>fact_kpi_weekly!D738</f>
        <v>Activation Call Conversions (per rep per hour)</v>
      </c>
      <c r="E738" s="9" t="str">
        <f>fact_kpi_weekly!E738</f>
        <v>Goal</v>
      </c>
      <c r="F738" s="9" t="str">
        <f>IF(fact_kpi_weekly!F738="","",fact_kpi_weekly!F738)</f>
        <v/>
      </c>
      <c r="G738" s="9" t="str">
        <f>fact_kpi_weekly!G738</f>
        <v>N/A</v>
      </c>
      <c r="H738" s="9" t="str">
        <f>fact_kpi_weekly!H738</f>
        <v>Luke</v>
      </c>
      <c r="I738" s="9">
        <f>fact_kpi_weekly!I738</f>
        <v>1.52</v>
      </c>
      <c r="J738" s="22">
        <f>fact_kpi_weekly!J738</f>
        <v>1.52</v>
      </c>
      <c r="K738" s="20" t="str">
        <f t="array" ref="K738">IFERROR(INDEX(dim_date!H:H,MATCH(A738,dim_date!A:A,0)),"")</f>
        <v>Aug</v>
      </c>
      <c r="L738" s="20" t="str">
        <f t="array" ref="L738">IFERROR(INDEX(dim_date!G:G,MATCH(A738,dim_date!A:A,0)),"")</f>
        <v>08</v>
      </c>
      <c r="M738" s="9" t="str">
        <f t="array" ref="M738">IFERROR(INDEX(dim_date!I:I,MATCH(A738,dim_date!A:A,0)),"")</f>
        <v>Q3</v>
      </c>
      <c r="N738" s="20" t="str">
        <f t="array" ref="N738">IFERROR(INDEX(dim_date!K:K,MATCH(A738,dim_date!A:A,0)),"")</f>
        <v>36</v>
      </c>
      <c r="O738" s="9" t="str">
        <f t="array" ref="O738">IFERROR(INDEX(dim_date!F:F,MATCH(A738,dim_date!A:A,0)),"")</f>
        <v>8/30-9/5</v>
      </c>
      <c r="P738" s="9" t="str">
        <f t="array" ref="P738">IFERROR(INDEX(dim_kpi!E:E,MATCH(D738,dim_kpi!C:C,0)),"")</f>
        <v>ratio</v>
      </c>
      <c r="Q738" s="9" t="str">
        <f t="array" ref="Q738">IFERROR(INDEX(dim_kpi!F:F,MATCH(D738,dim_kpi!C:C,0)),"")</f>
        <v>N</v>
      </c>
    </row>
    <row r="739" ht="12.75" customHeight="1">
      <c r="A739" s="20" t="str">
        <f>fact_kpi_weekly!A739</f>
        <v>260906</v>
      </c>
      <c r="B739" s="21">
        <f>fact_kpi_weekly!B739</f>
        <v>46271</v>
      </c>
      <c r="C739" s="9" t="str">
        <f>fact_kpi_weekly!C739</f>
        <v>Growth</v>
      </c>
      <c r="D739" s="9" t="str">
        <f>fact_kpi_weekly!D739</f>
        <v>Activation Call Conversions (per rep per hour)</v>
      </c>
      <c r="E739" s="9" t="str">
        <f>fact_kpi_weekly!E739</f>
        <v>Goal</v>
      </c>
      <c r="F739" s="9" t="str">
        <f>IF(fact_kpi_weekly!F739="","",fact_kpi_weekly!F739)</f>
        <v/>
      </c>
      <c r="G739" s="9" t="str">
        <f>fact_kpi_weekly!G739</f>
        <v>N/A</v>
      </c>
      <c r="H739" s="9" t="str">
        <f>fact_kpi_weekly!H739</f>
        <v>Luke</v>
      </c>
      <c r="I739" s="9">
        <f>fact_kpi_weekly!I739</f>
        <v>1.52</v>
      </c>
      <c r="J739" s="22">
        <f>fact_kpi_weekly!J739</f>
        <v>1.52</v>
      </c>
      <c r="K739" s="20" t="str">
        <f t="array" ref="K739">IFERROR(INDEX(dim_date!H:H,MATCH(A739,dim_date!A:A,0)),"")</f>
        <v>Sep</v>
      </c>
      <c r="L739" s="20" t="str">
        <f t="array" ref="L739">IFERROR(INDEX(dim_date!G:G,MATCH(A739,dim_date!A:A,0)),"")</f>
        <v>09</v>
      </c>
      <c r="M739" s="9" t="str">
        <f t="array" ref="M739">IFERROR(INDEX(dim_date!I:I,MATCH(A739,dim_date!A:A,0)),"")</f>
        <v>Q3</v>
      </c>
      <c r="N739" s="20" t="str">
        <f t="array" ref="N739">IFERROR(INDEX(dim_date!K:K,MATCH(A739,dim_date!A:A,0)),"")</f>
        <v>37</v>
      </c>
      <c r="O739" s="9" t="str">
        <f t="array" ref="O739">IFERROR(INDEX(dim_date!F:F,MATCH(A739,dim_date!A:A,0)),"")</f>
        <v>9/6-9/12</v>
      </c>
      <c r="P739" s="9" t="str">
        <f t="array" ref="P739">IFERROR(INDEX(dim_kpi!E:E,MATCH(D739,dim_kpi!C:C,0)),"")</f>
        <v>ratio</v>
      </c>
      <c r="Q739" s="9" t="str">
        <f t="array" ref="Q739">IFERROR(INDEX(dim_kpi!F:F,MATCH(D739,dim_kpi!C:C,0)),"")</f>
        <v>N</v>
      </c>
    </row>
    <row r="740" ht="12.75" customHeight="1">
      <c r="A740" s="20" t="str">
        <f>fact_kpi_weekly!A740</f>
        <v>260913</v>
      </c>
      <c r="B740" s="21">
        <f>fact_kpi_weekly!B740</f>
        <v>46278</v>
      </c>
      <c r="C740" s="9" t="str">
        <f>fact_kpi_weekly!C740</f>
        <v>Growth</v>
      </c>
      <c r="D740" s="9" t="str">
        <f>fact_kpi_weekly!D740</f>
        <v>Activation Call Conversions (per rep per hour)</v>
      </c>
      <c r="E740" s="9" t="str">
        <f>fact_kpi_weekly!E740</f>
        <v>Goal</v>
      </c>
      <c r="F740" s="9" t="str">
        <f>IF(fact_kpi_weekly!F740="","",fact_kpi_weekly!F740)</f>
        <v/>
      </c>
      <c r="G740" s="9" t="str">
        <f>fact_kpi_weekly!G740</f>
        <v>N/A</v>
      </c>
      <c r="H740" s="9" t="str">
        <f>fact_kpi_weekly!H740</f>
        <v>Luke</v>
      </c>
      <c r="I740" s="9">
        <f>fact_kpi_weekly!I740</f>
        <v>1.52</v>
      </c>
      <c r="J740" s="22">
        <f>fact_kpi_weekly!J740</f>
        <v>1.52</v>
      </c>
      <c r="K740" s="20" t="str">
        <f t="array" ref="K740">IFERROR(INDEX(dim_date!H:H,MATCH(A740,dim_date!A:A,0)),"")</f>
        <v>Sep</v>
      </c>
      <c r="L740" s="20" t="str">
        <f t="array" ref="L740">IFERROR(INDEX(dim_date!G:G,MATCH(A740,dim_date!A:A,0)),"")</f>
        <v>09</v>
      </c>
      <c r="M740" s="9" t="str">
        <f t="array" ref="M740">IFERROR(INDEX(dim_date!I:I,MATCH(A740,dim_date!A:A,0)),"")</f>
        <v>Q3</v>
      </c>
      <c r="N740" s="20" t="str">
        <f t="array" ref="N740">IFERROR(INDEX(dim_date!K:K,MATCH(A740,dim_date!A:A,0)),"")</f>
        <v>38</v>
      </c>
      <c r="O740" s="9" t="str">
        <f t="array" ref="O740">IFERROR(INDEX(dim_date!F:F,MATCH(A740,dim_date!A:A,0)),"")</f>
        <v>9/13-9/19</v>
      </c>
      <c r="P740" s="9" t="str">
        <f t="array" ref="P740">IFERROR(INDEX(dim_kpi!E:E,MATCH(D740,dim_kpi!C:C,0)),"")</f>
        <v>ratio</v>
      </c>
      <c r="Q740" s="9" t="str">
        <f t="array" ref="Q740">IFERROR(INDEX(dim_kpi!F:F,MATCH(D740,dim_kpi!C:C,0)),"")</f>
        <v>N</v>
      </c>
    </row>
    <row r="741" ht="12.75" customHeight="1">
      <c r="A741" s="20" t="str">
        <f>fact_kpi_weekly!A741</f>
        <v>260920</v>
      </c>
      <c r="B741" s="21">
        <f>fact_kpi_weekly!B741</f>
        <v>46285</v>
      </c>
      <c r="C741" s="9" t="str">
        <f>fact_kpi_weekly!C741</f>
        <v>Growth</v>
      </c>
      <c r="D741" s="9" t="str">
        <f>fact_kpi_weekly!D741</f>
        <v>Activation Call Conversions (per rep per hour)</v>
      </c>
      <c r="E741" s="9" t="str">
        <f>fact_kpi_weekly!E741</f>
        <v>Goal</v>
      </c>
      <c r="F741" s="9" t="str">
        <f>IF(fact_kpi_weekly!F741="","",fact_kpi_weekly!F741)</f>
        <v/>
      </c>
      <c r="G741" s="9" t="str">
        <f>fact_kpi_weekly!G741</f>
        <v>N/A</v>
      </c>
      <c r="H741" s="9" t="str">
        <f>fact_kpi_weekly!H741</f>
        <v>Luke</v>
      </c>
      <c r="I741" s="9">
        <f>fact_kpi_weekly!I741</f>
        <v>1.52</v>
      </c>
      <c r="J741" s="22">
        <f>fact_kpi_weekly!J741</f>
        <v>1.52</v>
      </c>
      <c r="K741" s="20" t="str">
        <f t="array" ref="K741">IFERROR(INDEX(dim_date!H:H,MATCH(A741,dim_date!A:A,0)),"")</f>
        <v>Sep</v>
      </c>
      <c r="L741" s="20" t="str">
        <f t="array" ref="L741">IFERROR(INDEX(dim_date!G:G,MATCH(A741,dim_date!A:A,0)),"")</f>
        <v>09</v>
      </c>
      <c r="M741" s="9" t="str">
        <f t="array" ref="M741">IFERROR(INDEX(dim_date!I:I,MATCH(A741,dim_date!A:A,0)),"")</f>
        <v>Q3</v>
      </c>
      <c r="N741" s="20" t="str">
        <f t="array" ref="N741">IFERROR(INDEX(dim_date!K:K,MATCH(A741,dim_date!A:A,0)),"")</f>
        <v>39</v>
      </c>
      <c r="O741" s="9" t="str">
        <f t="array" ref="O741">IFERROR(INDEX(dim_date!F:F,MATCH(A741,dim_date!A:A,0)),"")</f>
        <v>9/20-9/26</v>
      </c>
      <c r="P741" s="9" t="str">
        <f t="array" ref="P741">IFERROR(INDEX(dim_kpi!E:E,MATCH(D741,dim_kpi!C:C,0)),"")</f>
        <v>ratio</v>
      </c>
      <c r="Q741" s="9" t="str">
        <f t="array" ref="Q741">IFERROR(INDEX(dim_kpi!F:F,MATCH(D741,dim_kpi!C:C,0)),"")</f>
        <v>N</v>
      </c>
    </row>
    <row r="742" ht="12.75" customHeight="1">
      <c r="A742" s="20" t="str">
        <f>fact_kpi_weekly!A742</f>
        <v>260927</v>
      </c>
      <c r="B742" s="21">
        <f>fact_kpi_weekly!B742</f>
        <v>46292</v>
      </c>
      <c r="C742" s="9" t="str">
        <f>fact_kpi_weekly!C742</f>
        <v>Growth</v>
      </c>
      <c r="D742" s="9" t="str">
        <f>fact_kpi_weekly!D742</f>
        <v>Activation Call Conversions (per rep per hour)</v>
      </c>
      <c r="E742" s="9" t="str">
        <f>fact_kpi_weekly!E742</f>
        <v>Goal</v>
      </c>
      <c r="F742" s="9" t="str">
        <f>IF(fact_kpi_weekly!F742="","",fact_kpi_weekly!F742)</f>
        <v/>
      </c>
      <c r="G742" s="9" t="str">
        <f>fact_kpi_weekly!G742</f>
        <v>N/A</v>
      </c>
      <c r="H742" s="9" t="str">
        <f>fact_kpi_weekly!H742</f>
        <v>Luke</v>
      </c>
      <c r="I742" s="9">
        <f>fact_kpi_weekly!I742</f>
        <v>1.52</v>
      </c>
      <c r="J742" s="22">
        <f>fact_kpi_weekly!J742</f>
        <v>1.52</v>
      </c>
      <c r="K742" s="20" t="str">
        <f t="array" ref="K742">IFERROR(INDEX(dim_date!H:H,MATCH(A742,dim_date!A:A,0)),"")</f>
        <v>Sep</v>
      </c>
      <c r="L742" s="20" t="str">
        <f t="array" ref="L742">IFERROR(INDEX(dim_date!G:G,MATCH(A742,dim_date!A:A,0)),"")</f>
        <v>09</v>
      </c>
      <c r="M742" s="9" t="str">
        <f t="array" ref="M742">IFERROR(INDEX(dim_date!I:I,MATCH(A742,dim_date!A:A,0)),"")</f>
        <v>Q3</v>
      </c>
      <c r="N742" s="20" t="str">
        <f t="array" ref="N742">IFERROR(INDEX(dim_date!K:K,MATCH(A742,dim_date!A:A,0)),"")</f>
        <v>40</v>
      </c>
      <c r="O742" s="9" t="str">
        <f t="array" ref="O742">IFERROR(INDEX(dim_date!F:F,MATCH(A742,dim_date!A:A,0)),"")</f>
        <v>9/27-10/3</v>
      </c>
      <c r="P742" s="9" t="str">
        <f t="array" ref="P742">IFERROR(INDEX(dim_kpi!E:E,MATCH(D742,dim_kpi!C:C,0)),"")</f>
        <v>ratio</v>
      </c>
      <c r="Q742" s="9" t="str">
        <f t="array" ref="Q742">IFERROR(INDEX(dim_kpi!F:F,MATCH(D742,dim_kpi!C:C,0)),"")</f>
        <v>N</v>
      </c>
    </row>
    <row r="743" ht="12.75" customHeight="1">
      <c r="A743" s="20" t="str">
        <f>fact_kpi_weekly!A743</f>
        <v>261004</v>
      </c>
      <c r="B743" s="21">
        <f>fact_kpi_weekly!B743</f>
        <v>46299</v>
      </c>
      <c r="C743" s="9" t="str">
        <f>fact_kpi_weekly!C743</f>
        <v>Growth</v>
      </c>
      <c r="D743" s="9" t="str">
        <f>fact_kpi_weekly!D743</f>
        <v>Activation Call Conversions (per rep per hour)</v>
      </c>
      <c r="E743" s="9" t="str">
        <f>fact_kpi_weekly!E743</f>
        <v>Goal</v>
      </c>
      <c r="F743" s="9" t="str">
        <f>IF(fact_kpi_weekly!F743="","",fact_kpi_weekly!F743)</f>
        <v/>
      </c>
      <c r="G743" s="9" t="str">
        <f>fact_kpi_weekly!G743</f>
        <v>N/A</v>
      </c>
      <c r="H743" s="9" t="str">
        <f>fact_kpi_weekly!H743</f>
        <v>Luke</v>
      </c>
      <c r="I743" s="9">
        <f>fact_kpi_weekly!I743</f>
        <v>1.45</v>
      </c>
      <c r="J743" s="22">
        <f>fact_kpi_weekly!J743</f>
        <v>1.45</v>
      </c>
      <c r="K743" s="20" t="str">
        <f t="array" ref="K743">IFERROR(INDEX(dim_date!H:H,MATCH(A743,dim_date!A:A,0)),"")</f>
        <v>Oct</v>
      </c>
      <c r="L743" s="20" t="str">
        <f t="array" ref="L743">IFERROR(INDEX(dim_date!G:G,MATCH(A743,dim_date!A:A,0)),"")</f>
        <v>10</v>
      </c>
      <c r="M743" s="9" t="str">
        <f t="array" ref="M743">IFERROR(INDEX(dim_date!I:I,MATCH(A743,dim_date!A:A,0)),"")</f>
        <v>Q4</v>
      </c>
      <c r="N743" s="20" t="str">
        <f t="array" ref="N743">IFERROR(INDEX(dim_date!K:K,MATCH(A743,dim_date!A:A,0)),"")</f>
        <v>41</v>
      </c>
      <c r="O743" s="9" t="str">
        <f t="array" ref="O743">IFERROR(INDEX(dim_date!F:F,MATCH(A743,dim_date!A:A,0)),"")</f>
        <v>10/4-10/10</v>
      </c>
      <c r="P743" s="9" t="str">
        <f t="array" ref="P743">IFERROR(INDEX(dim_kpi!E:E,MATCH(D743,dim_kpi!C:C,0)),"")</f>
        <v>ratio</v>
      </c>
      <c r="Q743" s="9" t="str">
        <f t="array" ref="Q743">IFERROR(INDEX(dim_kpi!F:F,MATCH(D743,dim_kpi!C:C,0)),"")</f>
        <v>N</v>
      </c>
    </row>
    <row r="744" ht="12.75" customHeight="1">
      <c r="A744" s="20" t="str">
        <f>fact_kpi_weekly!A744</f>
        <v>261011</v>
      </c>
      <c r="B744" s="21">
        <f>fact_kpi_weekly!B744</f>
        <v>46306</v>
      </c>
      <c r="C744" s="9" t="str">
        <f>fact_kpi_weekly!C744</f>
        <v>Growth</v>
      </c>
      <c r="D744" s="9" t="str">
        <f>fact_kpi_weekly!D744</f>
        <v>Activation Call Conversions (per rep per hour)</v>
      </c>
      <c r="E744" s="9" t="str">
        <f>fact_kpi_weekly!E744</f>
        <v>Goal</v>
      </c>
      <c r="F744" s="9" t="str">
        <f>IF(fact_kpi_weekly!F744="","",fact_kpi_weekly!F744)</f>
        <v/>
      </c>
      <c r="G744" s="9" t="str">
        <f>fact_kpi_weekly!G744</f>
        <v>N/A</v>
      </c>
      <c r="H744" s="9" t="str">
        <f>fact_kpi_weekly!H744</f>
        <v>Luke</v>
      </c>
      <c r="I744" s="9">
        <f>fact_kpi_weekly!I744</f>
        <v>1.45</v>
      </c>
      <c r="J744" s="22">
        <f>fact_kpi_weekly!J744</f>
        <v>1.45</v>
      </c>
      <c r="K744" s="20" t="str">
        <f t="array" ref="K744">IFERROR(INDEX(dim_date!H:H,MATCH(A744,dim_date!A:A,0)),"")</f>
        <v>Oct</v>
      </c>
      <c r="L744" s="20" t="str">
        <f t="array" ref="L744">IFERROR(INDEX(dim_date!G:G,MATCH(A744,dim_date!A:A,0)),"")</f>
        <v>10</v>
      </c>
      <c r="M744" s="9" t="str">
        <f t="array" ref="M744">IFERROR(INDEX(dim_date!I:I,MATCH(A744,dim_date!A:A,0)),"")</f>
        <v>Q4</v>
      </c>
      <c r="N744" s="20" t="str">
        <f t="array" ref="N744">IFERROR(INDEX(dim_date!K:K,MATCH(A744,dim_date!A:A,0)),"")</f>
        <v>42</v>
      </c>
      <c r="O744" s="9" t="str">
        <f t="array" ref="O744">IFERROR(INDEX(dim_date!F:F,MATCH(A744,dim_date!A:A,0)),"")</f>
        <v>10/11-10/17</v>
      </c>
      <c r="P744" s="9" t="str">
        <f t="array" ref="P744">IFERROR(INDEX(dim_kpi!E:E,MATCH(D744,dim_kpi!C:C,0)),"")</f>
        <v>ratio</v>
      </c>
      <c r="Q744" s="9" t="str">
        <f t="array" ref="Q744">IFERROR(INDEX(dim_kpi!F:F,MATCH(D744,dim_kpi!C:C,0)),"")</f>
        <v>N</v>
      </c>
    </row>
    <row r="745" ht="12.75" customHeight="1">
      <c r="A745" s="20" t="str">
        <f>fact_kpi_weekly!A745</f>
        <v>261018</v>
      </c>
      <c r="B745" s="21">
        <f>fact_kpi_weekly!B745</f>
        <v>46313</v>
      </c>
      <c r="C745" s="9" t="str">
        <f>fact_kpi_weekly!C745</f>
        <v>Growth</v>
      </c>
      <c r="D745" s="9" t="str">
        <f>fact_kpi_weekly!D745</f>
        <v>Activation Call Conversions (per rep per hour)</v>
      </c>
      <c r="E745" s="9" t="str">
        <f>fact_kpi_weekly!E745</f>
        <v>Goal</v>
      </c>
      <c r="F745" s="9" t="str">
        <f>IF(fact_kpi_weekly!F745="","",fact_kpi_weekly!F745)</f>
        <v/>
      </c>
      <c r="G745" s="9" t="str">
        <f>fact_kpi_weekly!G745</f>
        <v>N/A</v>
      </c>
      <c r="H745" s="9" t="str">
        <f>fact_kpi_weekly!H745</f>
        <v>Luke</v>
      </c>
      <c r="I745" s="9">
        <f>fact_kpi_weekly!I745</f>
        <v>1.45</v>
      </c>
      <c r="J745" s="22">
        <f>fact_kpi_weekly!J745</f>
        <v>1.45</v>
      </c>
      <c r="K745" s="20" t="str">
        <f t="array" ref="K745">IFERROR(INDEX(dim_date!H:H,MATCH(A745,dim_date!A:A,0)),"")</f>
        <v>Oct</v>
      </c>
      <c r="L745" s="20" t="str">
        <f t="array" ref="L745">IFERROR(INDEX(dim_date!G:G,MATCH(A745,dim_date!A:A,0)),"")</f>
        <v>10</v>
      </c>
      <c r="M745" s="9" t="str">
        <f t="array" ref="M745">IFERROR(INDEX(dim_date!I:I,MATCH(A745,dim_date!A:A,0)),"")</f>
        <v>Q4</v>
      </c>
      <c r="N745" s="20" t="str">
        <f t="array" ref="N745">IFERROR(INDEX(dim_date!K:K,MATCH(A745,dim_date!A:A,0)),"")</f>
        <v>43</v>
      </c>
      <c r="O745" s="9" t="str">
        <f t="array" ref="O745">IFERROR(INDEX(dim_date!F:F,MATCH(A745,dim_date!A:A,0)),"")</f>
        <v>10/18-10/24</v>
      </c>
      <c r="P745" s="9" t="str">
        <f t="array" ref="P745">IFERROR(INDEX(dim_kpi!E:E,MATCH(D745,dim_kpi!C:C,0)),"")</f>
        <v>ratio</v>
      </c>
      <c r="Q745" s="9" t="str">
        <f t="array" ref="Q745">IFERROR(INDEX(dim_kpi!F:F,MATCH(D745,dim_kpi!C:C,0)),"")</f>
        <v>N</v>
      </c>
    </row>
    <row r="746" ht="12.75" customHeight="1">
      <c r="A746" s="20" t="str">
        <f>fact_kpi_weekly!A746</f>
        <v>261025</v>
      </c>
      <c r="B746" s="21">
        <f>fact_kpi_weekly!B746</f>
        <v>46320</v>
      </c>
      <c r="C746" s="9" t="str">
        <f>fact_kpi_weekly!C746</f>
        <v>Growth</v>
      </c>
      <c r="D746" s="9" t="str">
        <f>fact_kpi_weekly!D746</f>
        <v>Activation Call Conversions (per rep per hour)</v>
      </c>
      <c r="E746" s="9" t="str">
        <f>fact_kpi_weekly!E746</f>
        <v>Goal</v>
      </c>
      <c r="F746" s="9" t="str">
        <f>IF(fact_kpi_weekly!F746="","",fact_kpi_weekly!F746)</f>
        <v/>
      </c>
      <c r="G746" s="9" t="str">
        <f>fact_kpi_weekly!G746</f>
        <v>N/A</v>
      </c>
      <c r="H746" s="9" t="str">
        <f>fact_kpi_weekly!H746</f>
        <v>Luke</v>
      </c>
      <c r="I746" s="9">
        <f>fact_kpi_weekly!I746</f>
        <v>1.45</v>
      </c>
      <c r="J746" s="22">
        <f>fact_kpi_weekly!J746</f>
        <v>1.45</v>
      </c>
      <c r="K746" s="20" t="str">
        <f t="array" ref="K746">IFERROR(INDEX(dim_date!H:H,MATCH(A746,dim_date!A:A,0)),"")</f>
        <v>Oct</v>
      </c>
      <c r="L746" s="20" t="str">
        <f t="array" ref="L746">IFERROR(INDEX(dim_date!G:G,MATCH(A746,dim_date!A:A,0)),"")</f>
        <v>10</v>
      </c>
      <c r="M746" s="9" t="str">
        <f t="array" ref="M746">IFERROR(INDEX(dim_date!I:I,MATCH(A746,dim_date!A:A,0)),"")</f>
        <v>Q4</v>
      </c>
      <c r="N746" s="20" t="str">
        <f t="array" ref="N746">IFERROR(INDEX(dim_date!K:K,MATCH(A746,dim_date!A:A,0)),"")</f>
        <v>44</v>
      </c>
      <c r="O746" s="9" t="str">
        <f t="array" ref="O746">IFERROR(INDEX(dim_date!F:F,MATCH(A746,dim_date!A:A,0)),"")</f>
        <v>10/25-10/31</v>
      </c>
      <c r="P746" s="9" t="str">
        <f t="array" ref="P746">IFERROR(INDEX(dim_kpi!E:E,MATCH(D746,dim_kpi!C:C,0)),"")</f>
        <v>ratio</v>
      </c>
      <c r="Q746" s="9" t="str">
        <f t="array" ref="Q746">IFERROR(INDEX(dim_kpi!F:F,MATCH(D746,dim_kpi!C:C,0)),"")</f>
        <v>N</v>
      </c>
    </row>
    <row r="747" ht="12.75" customHeight="1">
      <c r="A747" s="20" t="str">
        <f>fact_kpi_weekly!A747</f>
        <v>261101</v>
      </c>
      <c r="B747" s="21">
        <f>fact_kpi_weekly!B747</f>
        <v>46327</v>
      </c>
      <c r="C747" s="9" t="str">
        <f>fact_kpi_weekly!C747</f>
        <v>Growth</v>
      </c>
      <c r="D747" s="9" t="str">
        <f>fact_kpi_weekly!D747</f>
        <v>Activation Call Conversions (per rep per hour)</v>
      </c>
      <c r="E747" s="9" t="str">
        <f>fact_kpi_weekly!E747</f>
        <v>Goal</v>
      </c>
      <c r="F747" s="9" t="str">
        <f>IF(fact_kpi_weekly!F747="","",fact_kpi_weekly!F747)</f>
        <v/>
      </c>
      <c r="G747" s="9" t="str">
        <f>fact_kpi_weekly!G747</f>
        <v>N/A</v>
      </c>
      <c r="H747" s="9" t="str">
        <f>fact_kpi_weekly!H747</f>
        <v>Luke</v>
      </c>
      <c r="I747" s="9">
        <f>fact_kpi_weekly!I747</f>
        <v>1.68</v>
      </c>
      <c r="J747" s="22">
        <f>fact_kpi_weekly!J747</f>
        <v>1.68</v>
      </c>
      <c r="K747" s="20" t="str">
        <f t="array" ref="K747">IFERROR(INDEX(dim_date!H:H,MATCH(A747,dim_date!A:A,0)),"")</f>
        <v>Nov</v>
      </c>
      <c r="L747" s="20" t="str">
        <f t="array" ref="L747">IFERROR(INDEX(dim_date!G:G,MATCH(A747,dim_date!A:A,0)),"")</f>
        <v>11</v>
      </c>
      <c r="M747" s="9" t="str">
        <f t="array" ref="M747">IFERROR(INDEX(dim_date!I:I,MATCH(A747,dim_date!A:A,0)),"")</f>
        <v>Q4</v>
      </c>
      <c r="N747" s="20" t="str">
        <f t="array" ref="N747">IFERROR(INDEX(dim_date!K:K,MATCH(A747,dim_date!A:A,0)),"")</f>
        <v>45</v>
      </c>
      <c r="O747" s="9" t="str">
        <f t="array" ref="O747">IFERROR(INDEX(dim_date!F:F,MATCH(A747,dim_date!A:A,0)),"")</f>
        <v>11/1-11/7</v>
      </c>
      <c r="P747" s="9" t="str">
        <f t="array" ref="P747">IFERROR(INDEX(dim_kpi!E:E,MATCH(D747,dim_kpi!C:C,0)),"")</f>
        <v>ratio</v>
      </c>
      <c r="Q747" s="9" t="str">
        <f t="array" ref="Q747">IFERROR(INDEX(dim_kpi!F:F,MATCH(D747,dim_kpi!C:C,0)),"")</f>
        <v>N</v>
      </c>
    </row>
    <row r="748" ht="12.75" customHeight="1">
      <c r="A748" s="20" t="str">
        <f>fact_kpi_weekly!A748</f>
        <v>261108</v>
      </c>
      <c r="B748" s="21">
        <f>fact_kpi_weekly!B748</f>
        <v>46334</v>
      </c>
      <c r="C748" s="9" t="str">
        <f>fact_kpi_weekly!C748</f>
        <v>Growth</v>
      </c>
      <c r="D748" s="9" t="str">
        <f>fact_kpi_weekly!D748</f>
        <v>Activation Call Conversions (per rep per hour)</v>
      </c>
      <c r="E748" s="9" t="str">
        <f>fact_kpi_weekly!E748</f>
        <v>Goal</v>
      </c>
      <c r="F748" s="9" t="str">
        <f>IF(fact_kpi_weekly!F748="","",fact_kpi_weekly!F748)</f>
        <v/>
      </c>
      <c r="G748" s="9" t="str">
        <f>fact_kpi_weekly!G748</f>
        <v>N/A</v>
      </c>
      <c r="H748" s="9" t="str">
        <f>fact_kpi_weekly!H748</f>
        <v>Luke</v>
      </c>
      <c r="I748" s="9">
        <f>fact_kpi_weekly!I748</f>
        <v>1.68</v>
      </c>
      <c r="J748" s="22">
        <f>fact_kpi_weekly!J748</f>
        <v>1.68</v>
      </c>
      <c r="K748" s="20" t="str">
        <f t="array" ref="K748">IFERROR(INDEX(dim_date!H:H,MATCH(A748,dim_date!A:A,0)),"")</f>
        <v>Nov</v>
      </c>
      <c r="L748" s="20" t="str">
        <f t="array" ref="L748">IFERROR(INDEX(dim_date!G:G,MATCH(A748,dim_date!A:A,0)),"")</f>
        <v>11</v>
      </c>
      <c r="M748" s="9" t="str">
        <f t="array" ref="M748">IFERROR(INDEX(dim_date!I:I,MATCH(A748,dim_date!A:A,0)),"")</f>
        <v>Q4</v>
      </c>
      <c r="N748" s="20" t="str">
        <f t="array" ref="N748">IFERROR(INDEX(dim_date!K:K,MATCH(A748,dim_date!A:A,0)),"")</f>
        <v>46</v>
      </c>
      <c r="O748" s="9" t="str">
        <f t="array" ref="O748">IFERROR(INDEX(dim_date!F:F,MATCH(A748,dim_date!A:A,0)),"")</f>
        <v>11/8-11/14</v>
      </c>
      <c r="P748" s="9" t="str">
        <f t="array" ref="P748">IFERROR(INDEX(dim_kpi!E:E,MATCH(D748,dim_kpi!C:C,0)),"")</f>
        <v>ratio</v>
      </c>
      <c r="Q748" s="9" t="str">
        <f t="array" ref="Q748">IFERROR(INDEX(dim_kpi!F:F,MATCH(D748,dim_kpi!C:C,0)),"")</f>
        <v>N</v>
      </c>
    </row>
    <row r="749" ht="12.75" customHeight="1">
      <c r="A749" s="20" t="str">
        <f>fact_kpi_weekly!A749</f>
        <v>261115</v>
      </c>
      <c r="B749" s="21">
        <f>fact_kpi_weekly!B749</f>
        <v>46341</v>
      </c>
      <c r="C749" s="9" t="str">
        <f>fact_kpi_weekly!C749</f>
        <v>Growth</v>
      </c>
      <c r="D749" s="9" t="str">
        <f>fact_kpi_weekly!D749</f>
        <v>Activation Call Conversions (per rep per hour)</v>
      </c>
      <c r="E749" s="9" t="str">
        <f>fact_kpi_weekly!E749</f>
        <v>Goal</v>
      </c>
      <c r="F749" s="9" t="str">
        <f>IF(fact_kpi_weekly!F749="","",fact_kpi_weekly!F749)</f>
        <v/>
      </c>
      <c r="G749" s="9" t="str">
        <f>fact_kpi_weekly!G749</f>
        <v>N/A</v>
      </c>
      <c r="H749" s="9" t="str">
        <f>fact_kpi_weekly!H749</f>
        <v>Luke</v>
      </c>
      <c r="I749" s="9">
        <f>fact_kpi_weekly!I749</f>
        <v>1.68</v>
      </c>
      <c r="J749" s="22">
        <f>fact_kpi_weekly!J749</f>
        <v>1.68</v>
      </c>
      <c r="K749" s="20" t="str">
        <f t="array" ref="K749">IFERROR(INDEX(dim_date!H:H,MATCH(A749,dim_date!A:A,0)),"")</f>
        <v>Nov</v>
      </c>
      <c r="L749" s="20" t="str">
        <f t="array" ref="L749">IFERROR(INDEX(dim_date!G:G,MATCH(A749,dim_date!A:A,0)),"")</f>
        <v>11</v>
      </c>
      <c r="M749" s="9" t="str">
        <f t="array" ref="M749">IFERROR(INDEX(dim_date!I:I,MATCH(A749,dim_date!A:A,0)),"")</f>
        <v>Q4</v>
      </c>
      <c r="N749" s="20" t="str">
        <f t="array" ref="N749">IFERROR(INDEX(dim_date!K:K,MATCH(A749,dim_date!A:A,0)),"")</f>
        <v>47</v>
      </c>
      <c r="O749" s="9" t="str">
        <f t="array" ref="O749">IFERROR(INDEX(dim_date!F:F,MATCH(A749,dim_date!A:A,0)),"")</f>
        <v>11/15-11/21</v>
      </c>
      <c r="P749" s="9" t="str">
        <f t="array" ref="P749">IFERROR(INDEX(dim_kpi!E:E,MATCH(D749,dim_kpi!C:C,0)),"")</f>
        <v>ratio</v>
      </c>
      <c r="Q749" s="9" t="str">
        <f t="array" ref="Q749">IFERROR(INDEX(dim_kpi!F:F,MATCH(D749,dim_kpi!C:C,0)),"")</f>
        <v>N</v>
      </c>
    </row>
    <row r="750" ht="12.75" customHeight="1">
      <c r="A750" s="20" t="str">
        <f>fact_kpi_weekly!A750</f>
        <v>261122</v>
      </c>
      <c r="B750" s="21">
        <f>fact_kpi_weekly!B750</f>
        <v>46348</v>
      </c>
      <c r="C750" s="9" t="str">
        <f>fact_kpi_weekly!C750</f>
        <v>Growth</v>
      </c>
      <c r="D750" s="9" t="str">
        <f>fact_kpi_weekly!D750</f>
        <v>Activation Call Conversions (per rep per hour)</v>
      </c>
      <c r="E750" s="9" t="str">
        <f>fact_kpi_weekly!E750</f>
        <v>Goal</v>
      </c>
      <c r="F750" s="9" t="str">
        <f>IF(fact_kpi_weekly!F750="","",fact_kpi_weekly!F750)</f>
        <v/>
      </c>
      <c r="G750" s="9" t="str">
        <f>fact_kpi_weekly!G750</f>
        <v>N/A</v>
      </c>
      <c r="H750" s="9" t="str">
        <f>fact_kpi_weekly!H750</f>
        <v>Luke</v>
      </c>
      <c r="I750" s="9">
        <f>fact_kpi_weekly!I750</f>
        <v>1.68</v>
      </c>
      <c r="J750" s="22">
        <f>fact_kpi_weekly!J750</f>
        <v>1.68</v>
      </c>
      <c r="K750" s="20" t="str">
        <f t="array" ref="K750">IFERROR(INDEX(dim_date!H:H,MATCH(A750,dim_date!A:A,0)),"")</f>
        <v>Nov</v>
      </c>
      <c r="L750" s="20" t="str">
        <f t="array" ref="L750">IFERROR(INDEX(dim_date!G:G,MATCH(A750,dim_date!A:A,0)),"")</f>
        <v>11</v>
      </c>
      <c r="M750" s="9" t="str">
        <f t="array" ref="M750">IFERROR(INDEX(dim_date!I:I,MATCH(A750,dim_date!A:A,0)),"")</f>
        <v>Q4</v>
      </c>
      <c r="N750" s="20" t="str">
        <f t="array" ref="N750">IFERROR(INDEX(dim_date!K:K,MATCH(A750,dim_date!A:A,0)),"")</f>
        <v>48</v>
      </c>
      <c r="O750" s="9" t="str">
        <f t="array" ref="O750">IFERROR(INDEX(dim_date!F:F,MATCH(A750,dim_date!A:A,0)),"")</f>
        <v>11/22-11/28</v>
      </c>
      <c r="P750" s="9" t="str">
        <f t="array" ref="P750">IFERROR(INDEX(dim_kpi!E:E,MATCH(D750,dim_kpi!C:C,0)),"")</f>
        <v>ratio</v>
      </c>
      <c r="Q750" s="9" t="str">
        <f t="array" ref="Q750">IFERROR(INDEX(dim_kpi!F:F,MATCH(D750,dim_kpi!C:C,0)),"")</f>
        <v>N</v>
      </c>
    </row>
    <row r="751" ht="12.75" customHeight="1">
      <c r="A751" s="20" t="str">
        <f>fact_kpi_weekly!A751</f>
        <v>261129</v>
      </c>
      <c r="B751" s="21">
        <f>fact_kpi_weekly!B751</f>
        <v>46355</v>
      </c>
      <c r="C751" s="9" t="str">
        <f>fact_kpi_weekly!C751</f>
        <v>Growth</v>
      </c>
      <c r="D751" s="9" t="str">
        <f>fact_kpi_weekly!D751</f>
        <v>Activation Call Conversions (per rep per hour)</v>
      </c>
      <c r="E751" s="9" t="str">
        <f>fact_kpi_weekly!E751</f>
        <v>Goal</v>
      </c>
      <c r="F751" s="9" t="str">
        <f>IF(fact_kpi_weekly!F751="","",fact_kpi_weekly!F751)</f>
        <v/>
      </c>
      <c r="G751" s="9" t="str">
        <f>fact_kpi_weekly!G751</f>
        <v>N/A</v>
      </c>
      <c r="H751" s="9" t="str">
        <f>fact_kpi_weekly!H751</f>
        <v>Luke</v>
      </c>
      <c r="I751" s="9">
        <f>fact_kpi_weekly!I751</f>
        <v>1.68</v>
      </c>
      <c r="J751" s="22">
        <f>fact_kpi_weekly!J751</f>
        <v>1.68</v>
      </c>
      <c r="K751" s="20" t="str">
        <f t="array" ref="K751">IFERROR(INDEX(dim_date!H:H,MATCH(A751,dim_date!A:A,0)),"")</f>
        <v>Nov</v>
      </c>
      <c r="L751" s="20" t="str">
        <f t="array" ref="L751">IFERROR(INDEX(dim_date!G:G,MATCH(A751,dim_date!A:A,0)),"")</f>
        <v>11</v>
      </c>
      <c r="M751" s="9" t="str">
        <f t="array" ref="M751">IFERROR(INDEX(dim_date!I:I,MATCH(A751,dim_date!A:A,0)),"")</f>
        <v>Q4</v>
      </c>
      <c r="N751" s="20" t="str">
        <f t="array" ref="N751">IFERROR(INDEX(dim_date!K:K,MATCH(A751,dim_date!A:A,0)),"")</f>
        <v>49</v>
      </c>
      <c r="O751" s="9" t="str">
        <f t="array" ref="O751">IFERROR(INDEX(dim_date!F:F,MATCH(A751,dim_date!A:A,0)),"")</f>
        <v>11/29-12/5</v>
      </c>
      <c r="P751" s="9" t="str">
        <f t="array" ref="P751">IFERROR(INDEX(dim_kpi!E:E,MATCH(D751,dim_kpi!C:C,0)),"")</f>
        <v>ratio</v>
      </c>
      <c r="Q751" s="9" t="str">
        <f t="array" ref="Q751">IFERROR(INDEX(dim_kpi!F:F,MATCH(D751,dim_kpi!C:C,0)),"")</f>
        <v>N</v>
      </c>
    </row>
    <row r="752" ht="12.75" customHeight="1">
      <c r="A752" s="20" t="str">
        <f>fact_kpi_weekly!A752</f>
        <v>261206</v>
      </c>
      <c r="B752" s="21">
        <f>fact_kpi_weekly!B752</f>
        <v>46362</v>
      </c>
      <c r="C752" s="9" t="str">
        <f>fact_kpi_weekly!C752</f>
        <v>Growth</v>
      </c>
      <c r="D752" s="9" t="str">
        <f>fact_kpi_weekly!D752</f>
        <v>Activation Call Conversions (per rep per hour)</v>
      </c>
      <c r="E752" s="9" t="str">
        <f>fact_kpi_weekly!E752</f>
        <v>Goal</v>
      </c>
      <c r="F752" s="9" t="str">
        <f>IF(fact_kpi_weekly!F752="","",fact_kpi_weekly!F752)</f>
        <v/>
      </c>
      <c r="G752" s="9" t="str">
        <f>fact_kpi_weekly!G752</f>
        <v>N/A</v>
      </c>
      <c r="H752" s="9" t="str">
        <f>fact_kpi_weekly!H752</f>
        <v>Luke</v>
      </c>
      <c r="I752" s="9">
        <f>fact_kpi_weekly!I752</f>
        <v>1.39</v>
      </c>
      <c r="J752" s="22">
        <f>fact_kpi_weekly!J752</f>
        <v>1.39</v>
      </c>
      <c r="K752" s="20" t="str">
        <f t="array" ref="K752">IFERROR(INDEX(dim_date!H:H,MATCH(A752,dim_date!A:A,0)),"")</f>
        <v>Dec</v>
      </c>
      <c r="L752" s="20" t="str">
        <f t="array" ref="L752">IFERROR(INDEX(dim_date!G:G,MATCH(A752,dim_date!A:A,0)),"")</f>
        <v>12</v>
      </c>
      <c r="M752" s="9" t="str">
        <f t="array" ref="M752">IFERROR(INDEX(dim_date!I:I,MATCH(A752,dim_date!A:A,0)),"")</f>
        <v>Q4</v>
      </c>
      <c r="N752" s="20" t="str">
        <f t="array" ref="N752">IFERROR(INDEX(dim_date!K:K,MATCH(A752,dim_date!A:A,0)),"")</f>
        <v>50</v>
      </c>
      <c r="O752" s="9" t="str">
        <f t="array" ref="O752">IFERROR(INDEX(dim_date!F:F,MATCH(A752,dim_date!A:A,0)),"")</f>
        <v>12/6-12/12</v>
      </c>
      <c r="P752" s="9" t="str">
        <f t="array" ref="P752">IFERROR(INDEX(dim_kpi!E:E,MATCH(D752,dim_kpi!C:C,0)),"")</f>
        <v>ratio</v>
      </c>
      <c r="Q752" s="9" t="str">
        <f t="array" ref="Q752">IFERROR(INDEX(dim_kpi!F:F,MATCH(D752,dim_kpi!C:C,0)),"")</f>
        <v>N</v>
      </c>
    </row>
    <row r="753" ht="12.75" customHeight="1">
      <c r="A753" s="20" t="str">
        <f>fact_kpi_weekly!A753</f>
        <v>261213</v>
      </c>
      <c r="B753" s="21">
        <f>fact_kpi_weekly!B753</f>
        <v>46369</v>
      </c>
      <c r="C753" s="9" t="str">
        <f>fact_kpi_weekly!C753</f>
        <v>Growth</v>
      </c>
      <c r="D753" s="9" t="str">
        <f>fact_kpi_weekly!D753</f>
        <v>Activation Call Conversions (per rep per hour)</v>
      </c>
      <c r="E753" s="9" t="str">
        <f>fact_kpi_weekly!E753</f>
        <v>Goal</v>
      </c>
      <c r="F753" s="9" t="str">
        <f>IF(fact_kpi_weekly!F753="","",fact_kpi_weekly!F753)</f>
        <v/>
      </c>
      <c r="G753" s="9" t="str">
        <f>fact_kpi_weekly!G753</f>
        <v>N/A</v>
      </c>
      <c r="H753" s="9" t="str">
        <f>fact_kpi_weekly!H753</f>
        <v>Luke</v>
      </c>
      <c r="I753" s="9">
        <f>fact_kpi_weekly!I753</f>
        <v>1.39</v>
      </c>
      <c r="J753" s="22">
        <f>fact_kpi_weekly!J753</f>
        <v>1.39</v>
      </c>
      <c r="K753" s="20" t="str">
        <f t="array" ref="K753">IFERROR(INDEX(dim_date!H:H,MATCH(A753,dim_date!A:A,0)),"")</f>
        <v>Dec</v>
      </c>
      <c r="L753" s="20" t="str">
        <f t="array" ref="L753">IFERROR(INDEX(dim_date!G:G,MATCH(A753,dim_date!A:A,0)),"")</f>
        <v>12</v>
      </c>
      <c r="M753" s="9" t="str">
        <f t="array" ref="M753">IFERROR(INDEX(dim_date!I:I,MATCH(A753,dim_date!A:A,0)),"")</f>
        <v>Q4</v>
      </c>
      <c r="N753" s="20" t="str">
        <f t="array" ref="N753">IFERROR(INDEX(dim_date!K:K,MATCH(A753,dim_date!A:A,0)),"")</f>
        <v>51</v>
      </c>
      <c r="O753" s="9" t="str">
        <f t="array" ref="O753">IFERROR(INDEX(dim_date!F:F,MATCH(A753,dim_date!A:A,0)),"")</f>
        <v>12/13-12/19</v>
      </c>
      <c r="P753" s="9" t="str">
        <f t="array" ref="P753">IFERROR(INDEX(dim_kpi!E:E,MATCH(D753,dim_kpi!C:C,0)),"")</f>
        <v>ratio</v>
      </c>
      <c r="Q753" s="9" t="str">
        <f t="array" ref="Q753">IFERROR(INDEX(dim_kpi!F:F,MATCH(D753,dim_kpi!C:C,0)),"")</f>
        <v>N</v>
      </c>
    </row>
    <row r="754" ht="12.75" customHeight="1">
      <c r="A754" s="20" t="str">
        <f>fact_kpi_weekly!A754</f>
        <v>261220</v>
      </c>
      <c r="B754" s="21">
        <f>fact_kpi_weekly!B754</f>
        <v>46376</v>
      </c>
      <c r="C754" s="9" t="str">
        <f>fact_kpi_weekly!C754</f>
        <v>Growth</v>
      </c>
      <c r="D754" s="9" t="str">
        <f>fact_kpi_weekly!D754</f>
        <v>Activation Call Conversions (per rep per hour)</v>
      </c>
      <c r="E754" s="9" t="str">
        <f>fact_kpi_weekly!E754</f>
        <v>Goal</v>
      </c>
      <c r="F754" s="9" t="str">
        <f>IF(fact_kpi_weekly!F754="","",fact_kpi_weekly!F754)</f>
        <v/>
      </c>
      <c r="G754" s="9" t="str">
        <f>fact_kpi_weekly!G754</f>
        <v>N/A</v>
      </c>
      <c r="H754" s="9" t="str">
        <f>fact_kpi_weekly!H754</f>
        <v>Luke</v>
      </c>
      <c r="I754" s="9">
        <f>fact_kpi_weekly!I754</f>
        <v>1.39</v>
      </c>
      <c r="J754" s="22">
        <f>fact_kpi_weekly!J754</f>
        <v>1.39</v>
      </c>
      <c r="K754" s="20" t="str">
        <f t="array" ref="K754">IFERROR(INDEX(dim_date!H:H,MATCH(A754,dim_date!A:A,0)),"")</f>
        <v>Dec</v>
      </c>
      <c r="L754" s="20" t="str">
        <f t="array" ref="L754">IFERROR(INDEX(dim_date!G:G,MATCH(A754,dim_date!A:A,0)),"")</f>
        <v>12</v>
      </c>
      <c r="M754" s="9" t="str">
        <f t="array" ref="M754">IFERROR(INDEX(dim_date!I:I,MATCH(A754,dim_date!A:A,0)),"")</f>
        <v>Q4</v>
      </c>
      <c r="N754" s="20" t="str">
        <f t="array" ref="N754">IFERROR(INDEX(dim_date!K:K,MATCH(A754,dim_date!A:A,0)),"")</f>
        <v>52</v>
      </c>
      <c r="O754" s="9" t="str">
        <f t="array" ref="O754">IFERROR(INDEX(dim_date!F:F,MATCH(A754,dim_date!A:A,0)),"")</f>
        <v>12/20-12/26</v>
      </c>
      <c r="P754" s="9" t="str">
        <f t="array" ref="P754">IFERROR(INDEX(dim_kpi!E:E,MATCH(D754,dim_kpi!C:C,0)),"")</f>
        <v>ratio</v>
      </c>
      <c r="Q754" s="9" t="str">
        <f t="array" ref="Q754">IFERROR(INDEX(dim_kpi!F:F,MATCH(D754,dim_kpi!C:C,0)),"")</f>
        <v>N</v>
      </c>
    </row>
    <row r="755" ht="12.75" customHeight="1">
      <c r="A755" s="20" t="str">
        <f>fact_kpi_weekly!A755</f>
        <v>261227</v>
      </c>
      <c r="B755" s="21">
        <f>fact_kpi_weekly!B755</f>
        <v>46383</v>
      </c>
      <c r="C755" s="9" t="str">
        <f>fact_kpi_weekly!C755</f>
        <v>Growth</v>
      </c>
      <c r="D755" s="9" t="str">
        <f>fact_kpi_weekly!D755</f>
        <v>Activation Call Conversions (per rep per hour)</v>
      </c>
      <c r="E755" s="9" t="str">
        <f>fact_kpi_weekly!E755</f>
        <v>Goal</v>
      </c>
      <c r="F755" s="9" t="str">
        <f>IF(fact_kpi_weekly!F755="","",fact_kpi_weekly!F755)</f>
        <v/>
      </c>
      <c r="G755" s="9" t="str">
        <f>fact_kpi_weekly!G755</f>
        <v>N/A</v>
      </c>
      <c r="H755" s="9" t="str">
        <f>fact_kpi_weekly!H755</f>
        <v>Luke</v>
      </c>
      <c r="I755" s="9">
        <f>fact_kpi_weekly!I755</f>
        <v>1.39</v>
      </c>
      <c r="J755" s="22">
        <f>fact_kpi_weekly!J755</f>
        <v>1.39</v>
      </c>
      <c r="K755" s="20" t="str">
        <f t="array" ref="K755">IFERROR(INDEX(dim_date!H:H,MATCH(A755,dim_date!A:A,0)),"")</f>
        <v>Dec</v>
      </c>
      <c r="L755" s="20" t="str">
        <f t="array" ref="L755">IFERROR(INDEX(dim_date!G:G,MATCH(A755,dim_date!A:A,0)),"")</f>
        <v>12</v>
      </c>
      <c r="M755" s="9" t="str">
        <f t="array" ref="M755">IFERROR(INDEX(dim_date!I:I,MATCH(A755,dim_date!A:A,0)),"")</f>
        <v>Q4</v>
      </c>
      <c r="N755" s="20" t="str">
        <f t="array" ref="N755">IFERROR(INDEX(dim_date!K:K,MATCH(A755,dim_date!A:A,0)),"")</f>
        <v>53</v>
      </c>
      <c r="O755" s="9" t="str">
        <f t="array" ref="O755">IFERROR(INDEX(dim_date!F:F,MATCH(A755,dim_date!A:A,0)),"")</f>
        <v>12/27-1/2</v>
      </c>
      <c r="P755" s="9" t="str">
        <f t="array" ref="P755">IFERROR(INDEX(dim_kpi!E:E,MATCH(D755,dim_kpi!C:C,0)),"")</f>
        <v>ratio</v>
      </c>
      <c r="Q755" s="9" t="str">
        <f t="array" ref="Q755">IFERROR(INDEX(dim_kpi!F:F,MATCH(D755,dim_kpi!C:C,0)),"")</f>
        <v>N</v>
      </c>
    </row>
    <row r="756" ht="12.75" customHeight="1">
      <c r="A756" s="20" t="str">
        <f>fact_kpi_weekly!A756</f>
        <v>260301</v>
      </c>
      <c r="B756" s="21">
        <f>fact_kpi_weekly!B756</f>
        <v>46082</v>
      </c>
      <c r="C756" s="9" t="str">
        <f>fact_kpi_weekly!C756</f>
        <v>Growth</v>
      </c>
      <c r="D756" s="9" t="str">
        <f>fact_kpi_weekly!D756</f>
        <v>Non-Agent Related Enrollment &amp; Activation</v>
      </c>
      <c r="E756" s="9" t="str">
        <f>fact_kpi_weekly!E756</f>
        <v>Goal</v>
      </c>
      <c r="F756" s="9" t="str">
        <f>IF(fact_kpi_weekly!F756="","",fact_kpi_weekly!F756)</f>
        <v/>
      </c>
      <c r="G756" s="9" t="str">
        <f>fact_kpi_weekly!G756</f>
        <v>N/A</v>
      </c>
      <c r="H756" s="9" t="str">
        <f>fact_kpi_weekly!H756</f>
        <v>Luke</v>
      </c>
      <c r="I756" s="9">
        <f>fact_kpi_weekly!I756</f>
        <v>0.07</v>
      </c>
      <c r="J756" s="22">
        <f>fact_kpi_weekly!J756</f>
        <v>0.07</v>
      </c>
      <c r="K756" s="20" t="str">
        <f t="array" ref="K756">IFERROR(INDEX(dim_date!H:H,MATCH(A756,dim_date!A:A,0)),"")</f>
        <v>Mar</v>
      </c>
      <c r="L756" s="20" t="str">
        <f t="array" ref="L756">IFERROR(INDEX(dim_date!G:G,MATCH(A756,dim_date!A:A,0)),"")</f>
        <v>03</v>
      </c>
      <c r="M756" s="9" t="str">
        <f t="array" ref="M756">IFERROR(INDEX(dim_date!I:I,MATCH(A756,dim_date!A:A,0)),"")</f>
        <v>Q1</v>
      </c>
      <c r="N756" s="20" t="str">
        <f t="array" ref="N756">IFERROR(INDEX(dim_date!K:K,MATCH(A756,dim_date!A:A,0)),"")</f>
        <v>10</v>
      </c>
      <c r="O756" s="9" t="str">
        <f t="array" ref="O756">IFERROR(INDEX(dim_date!F:F,MATCH(A756,dim_date!A:A,0)),"")</f>
        <v>3/1-3/7</v>
      </c>
      <c r="P756" s="9" t="str">
        <f t="array" ref="P756">IFERROR(INDEX(dim_kpi!E:E,MATCH(D756,dim_kpi!C:C,0)),"")</f>
        <v>%</v>
      </c>
      <c r="Q756" s="9" t="str">
        <f t="array" ref="Q756">IFERROR(INDEX(dim_kpi!F:F,MATCH(D756,dim_kpi!C:C,0)),"")</f>
        <v>N</v>
      </c>
    </row>
    <row r="757" ht="12.75" customHeight="1">
      <c r="A757" s="20" t="str">
        <f>fact_kpi_weekly!A757</f>
        <v>260308</v>
      </c>
      <c r="B757" s="21">
        <f>fact_kpi_weekly!B757</f>
        <v>46089</v>
      </c>
      <c r="C757" s="9" t="str">
        <f>fact_kpi_weekly!C757</f>
        <v>Growth</v>
      </c>
      <c r="D757" s="9" t="str">
        <f>fact_kpi_weekly!D757</f>
        <v>Non-Agent Related Enrollment &amp; Activation</v>
      </c>
      <c r="E757" s="9" t="str">
        <f>fact_kpi_weekly!E757</f>
        <v>Goal</v>
      </c>
      <c r="F757" s="9" t="str">
        <f>IF(fact_kpi_weekly!F757="","",fact_kpi_weekly!F757)</f>
        <v/>
      </c>
      <c r="G757" s="9" t="str">
        <f>fact_kpi_weekly!G757</f>
        <v>N/A</v>
      </c>
      <c r="H757" s="9" t="str">
        <f>fact_kpi_weekly!H757</f>
        <v>Luke</v>
      </c>
      <c r="I757" s="9">
        <f>fact_kpi_weekly!I757</f>
        <v>0.07</v>
      </c>
      <c r="J757" s="22">
        <f>fact_kpi_weekly!J757</f>
        <v>0.07</v>
      </c>
      <c r="K757" s="20" t="str">
        <f t="array" ref="K757">IFERROR(INDEX(dim_date!H:H,MATCH(A757,dim_date!A:A,0)),"")</f>
        <v>Mar</v>
      </c>
      <c r="L757" s="20" t="str">
        <f t="array" ref="L757">IFERROR(INDEX(dim_date!G:G,MATCH(A757,dim_date!A:A,0)),"")</f>
        <v>03</v>
      </c>
      <c r="M757" s="9" t="str">
        <f t="array" ref="M757">IFERROR(INDEX(dim_date!I:I,MATCH(A757,dim_date!A:A,0)),"")</f>
        <v>Q1</v>
      </c>
      <c r="N757" s="20" t="str">
        <f t="array" ref="N757">IFERROR(INDEX(dim_date!K:K,MATCH(A757,dim_date!A:A,0)),"")</f>
        <v>11</v>
      </c>
      <c r="O757" s="9" t="str">
        <f t="array" ref="O757">IFERROR(INDEX(dim_date!F:F,MATCH(A757,dim_date!A:A,0)),"")</f>
        <v>3/8-3/14</v>
      </c>
      <c r="P757" s="9" t="str">
        <f t="array" ref="P757">IFERROR(INDEX(dim_kpi!E:E,MATCH(D757,dim_kpi!C:C,0)),"")</f>
        <v>%</v>
      </c>
      <c r="Q757" s="9" t="str">
        <f t="array" ref="Q757">IFERROR(INDEX(dim_kpi!F:F,MATCH(D757,dim_kpi!C:C,0)),"")</f>
        <v>N</v>
      </c>
    </row>
    <row r="758" ht="12.75" customHeight="1">
      <c r="A758" s="20" t="str">
        <f>fact_kpi_weekly!A758</f>
        <v>260315</v>
      </c>
      <c r="B758" s="21">
        <f>fact_kpi_weekly!B758</f>
        <v>46096</v>
      </c>
      <c r="C758" s="9" t="str">
        <f>fact_kpi_weekly!C758</f>
        <v>Growth</v>
      </c>
      <c r="D758" s="9" t="str">
        <f>fact_kpi_weekly!D758</f>
        <v>Non-Agent Related Enrollment &amp; Activation</v>
      </c>
      <c r="E758" s="9" t="str">
        <f>fact_kpi_weekly!E758</f>
        <v>Goal</v>
      </c>
      <c r="F758" s="9" t="str">
        <f>IF(fact_kpi_weekly!F758="","",fact_kpi_weekly!F758)</f>
        <v/>
      </c>
      <c r="G758" s="9" t="str">
        <f>fact_kpi_weekly!G758</f>
        <v>N/A</v>
      </c>
      <c r="H758" s="9" t="str">
        <f>fact_kpi_weekly!H758</f>
        <v>Luke</v>
      </c>
      <c r="I758" s="9">
        <f>fact_kpi_weekly!I758</f>
        <v>0.07</v>
      </c>
      <c r="J758" s="22">
        <f>fact_kpi_weekly!J758</f>
        <v>0.07</v>
      </c>
      <c r="K758" s="20" t="str">
        <f t="array" ref="K758">IFERROR(INDEX(dim_date!H:H,MATCH(A758,dim_date!A:A,0)),"")</f>
        <v>Mar</v>
      </c>
      <c r="L758" s="20" t="str">
        <f t="array" ref="L758">IFERROR(INDEX(dim_date!G:G,MATCH(A758,dim_date!A:A,0)),"")</f>
        <v>03</v>
      </c>
      <c r="M758" s="9" t="str">
        <f t="array" ref="M758">IFERROR(INDEX(dim_date!I:I,MATCH(A758,dim_date!A:A,0)),"")</f>
        <v>Q1</v>
      </c>
      <c r="N758" s="20" t="str">
        <f t="array" ref="N758">IFERROR(INDEX(dim_date!K:K,MATCH(A758,dim_date!A:A,0)),"")</f>
        <v>12</v>
      </c>
      <c r="O758" s="9" t="str">
        <f t="array" ref="O758">IFERROR(INDEX(dim_date!F:F,MATCH(A758,dim_date!A:A,0)),"")</f>
        <v>3/15-3/21</v>
      </c>
      <c r="P758" s="9" t="str">
        <f t="array" ref="P758">IFERROR(INDEX(dim_kpi!E:E,MATCH(D758,dim_kpi!C:C,0)),"")</f>
        <v>%</v>
      </c>
      <c r="Q758" s="9" t="str">
        <f t="array" ref="Q758">IFERROR(INDEX(dim_kpi!F:F,MATCH(D758,dim_kpi!C:C,0)),"")</f>
        <v>N</v>
      </c>
    </row>
    <row r="759" ht="12.75" customHeight="1">
      <c r="A759" s="20" t="str">
        <f>fact_kpi_weekly!A759</f>
        <v>260322</v>
      </c>
      <c r="B759" s="21">
        <f>fact_kpi_weekly!B759</f>
        <v>46103</v>
      </c>
      <c r="C759" s="9" t="str">
        <f>fact_kpi_weekly!C759</f>
        <v>Growth</v>
      </c>
      <c r="D759" s="9" t="str">
        <f>fact_kpi_weekly!D759</f>
        <v>Non-Agent Related Enrollment &amp; Activation</v>
      </c>
      <c r="E759" s="9" t="str">
        <f>fact_kpi_weekly!E759</f>
        <v>Goal</v>
      </c>
      <c r="F759" s="9" t="str">
        <f>IF(fact_kpi_weekly!F759="","",fact_kpi_weekly!F759)</f>
        <v/>
      </c>
      <c r="G759" s="9" t="str">
        <f>fact_kpi_weekly!G759</f>
        <v>N/A</v>
      </c>
      <c r="H759" s="9" t="str">
        <f>fact_kpi_weekly!H759</f>
        <v>Luke</v>
      </c>
      <c r="I759" s="9">
        <f>fact_kpi_weekly!I759</f>
        <v>0.07</v>
      </c>
      <c r="J759" s="22">
        <f>fact_kpi_weekly!J759</f>
        <v>0.07</v>
      </c>
      <c r="K759" s="20" t="str">
        <f t="array" ref="K759">IFERROR(INDEX(dim_date!H:H,MATCH(A759,dim_date!A:A,0)),"")</f>
        <v>Mar</v>
      </c>
      <c r="L759" s="20" t="str">
        <f t="array" ref="L759">IFERROR(INDEX(dim_date!G:G,MATCH(A759,dim_date!A:A,0)),"")</f>
        <v>03</v>
      </c>
      <c r="M759" s="9" t="str">
        <f t="array" ref="M759">IFERROR(INDEX(dim_date!I:I,MATCH(A759,dim_date!A:A,0)),"")</f>
        <v>Q1</v>
      </c>
      <c r="N759" s="20" t="str">
        <f t="array" ref="N759">IFERROR(INDEX(dim_date!K:K,MATCH(A759,dim_date!A:A,0)),"")</f>
        <v>13</v>
      </c>
      <c r="O759" s="9" t="str">
        <f t="array" ref="O759">IFERROR(INDEX(dim_date!F:F,MATCH(A759,dim_date!A:A,0)),"")</f>
        <v>3/22-3/28</v>
      </c>
      <c r="P759" s="9" t="str">
        <f t="array" ref="P759">IFERROR(INDEX(dim_kpi!E:E,MATCH(D759,dim_kpi!C:C,0)),"")</f>
        <v>%</v>
      </c>
      <c r="Q759" s="9" t="str">
        <f t="array" ref="Q759">IFERROR(INDEX(dim_kpi!F:F,MATCH(D759,dim_kpi!C:C,0)),"")</f>
        <v>N</v>
      </c>
    </row>
    <row r="760" ht="12.75" customHeight="1">
      <c r="A760" s="20" t="str">
        <f>fact_kpi_weekly!A760</f>
        <v>260329</v>
      </c>
      <c r="B760" s="21">
        <f>fact_kpi_weekly!B760</f>
        <v>46110</v>
      </c>
      <c r="C760" s="9" t="str">
        <f>fact_kpi_weekly!C760</f>
        <v>Growth</v>
      </c>
      <c r="D760" s="9" t="str">
        <f>fact_kpi_weekly!D760</f>
        <v>Non-Agent Related Enrollment &amp; Activation</v>
      </c>
      <c r="E760" s="9" t="str">
        <f>fact_kpi_weekly!E760</f>
        <v>Goal</v>
      </c>
      <c r="F760" s="9" t="str">
        <f>IF(fact_kpi_weekly!F760="","",fact_kpi_weekly!F760)</f>
        <v/>
      </c>
      <c r="G760" s="9" t="str">
        <f>fact_kpi_weekly!G760</f>
        <v>N/A</v>
      </c>
      <c r="H760" s="9" t="str">
        <f>fact_kpi_weekly!H760</f>
        <v>Luke</v>
      </c>
      <c r="I760" s="9">
        <f>fact_kpi_weekly!I760</f>
        <v>0.07</v>
      </c>
      <c r="J760" s="22">
        <f>fact_kpi_weekly!J760</f>
        <v>0.07</v>
      </c>
      <c r="K760" s="20" t="str">
        <f t="array" ref="K760">IFERROR(INDEX(dim_date!H:H,MATCH(A760,dim_date!A:A,0)),"")</f>
        <v>Mar</v>
      </c>
      <c r="L760" s="20" t="str">
        <f t="array" ref="L760">IFERROR(INDEX(dim_date!G:G,MATCH(A760,dim_date!A:A,0)),"")</f>
        <v>03</v>
      </c>
      <c r="M760" s="9" t="str">
        <f t="array" ref="M760">IFERROR(INDEX(dim_date!I:I,MATCH(A760,dim_date!A:A,0)),"")</f>
        <v>Q1</v>
      </c>
      <c r="N760" s="20" t="str">
        <f t="array" ref="N760">IFERROR(INDEX(dim_date!K:K,MATCH(A760,dim_date!A:A,0)),"")</f>
        <v>14</v>
      </c>
      <c r="O760" s="9" t="str">
        <f t="array" ref="O760">IFERROR(INDEX(dim_date!F:F,MATCH(A760,dim_date!A:A,0)),"")</f>
        <v>3/29-4/4</v>
      </c>
      <c r="P760" s="9" t="str">
        <f t="array" ref="P760">IFERROR(INDEX(dim_kpi!E:E,MATCH(D760,dim_kpi!C:C,0)),"")</f>
        <v>%</v>
      </c>
      <c r="Q760" s="9" t="str">
        <f t="array" ref="Q760">IFERROR(INDEX(dim_kpi!F:F,MATCH(D760,dim_kpi!C:C,0)),"")</f>
        <v>N</v>
      </c>
    </row>
    <row r="761" ht="12.75" customHeight="1">
      <c r="A761" s="20" t="str">
        <f>fact_kpi_weekly!A761</f>
        <v>260405</v>
      </c>
      <c r="B761" s="21">
        <f>fact_kpi_weekly!B761</f>
        <v>46117</v>
      </c>
      <c r="C761" s="9" t="str">
        <f>fact_kpi_weekly!C761</f>
        <v>Growth</v>
      </c>
      <c r="D761" s="9" t="str">
        <f>fact_kpi_weekly!D761</f>
        <v>Non-Agent Related Enrollment &amp; Activation</v>
      </c>
      <c r="E761" s="9" t="str">
        <f>fact_kpi_weekly!E761</f>
        <v>Goal</v>
      </c>
      <c r="F761" s="9" t="str">
        <f>IF(fact_kpi_weekly!F761="","",fact_kpi_weekly!F761)</f>
        <v/>
      </c>
      <c r="G761" s="9" t="str">
        <f>fact_kpi_weekly!G761</f>
        <v>N/A</v>
      </c>
      <c r="H761" s="9" t="str">
        <f>fact_kpi_weekly!H761</f>
        <v>Luke</v>
      </c>
      <c r="I761" s="9">
        <f>fact_kpi_weekly!I761</f>
        <v>0.08</v>
      </c>
      <c r="J761" s="22">
        <f>fact_kpi_weekly!J761</f>
        <v>0.08</v>
      </c>
      <c r="K761" s="20" t="str">
        <f t="array" ref="K761">IFERROR(INDEX(dim_date!H:H,MATCH(A761,dim_date!A:A,0)),"")</f>
        <v>Apr</v>
      </c>
      <c r="L761" s="20" t="str">
        <f t="array" ref="L761">IFERROR(INDEX(dim_date!G:G,MATCH(A761,dim_date!A:A,0)),"")</f>
        <v>04</v>
      </c>
      <c r="M761" s="9" t="str">
        <f t="array" ref="M761">IFERROR(INDEX(dim_date!I:I,MATCH(A761,dim_date!A:A,0)),"")</f>
        <v>Q2</v>
      </c>
      <c r="N761" s="20" t="str">
        <f t="array" ref="N761">IFERROR(INDEX(dim_date!K:K,MATCH(A761,dim_date!A:A,0)),"")</f>
        <v>15</v>
      </c>
      <c r="O761" s="9" t="str">
        <f t="array" ref="O761">IFERROR(INDEX(dim_date!F:F,MATCH(A761,dim_date!A:A,0)),"")</f>
        <v>4/5-4/11</v>
      </c>
      <c r="P761" s="9" t="str">
        <f t="array" ref="P761">IFERROR(INDEX(dim_kpi!E:E,MATCH(D761,dim_kpi!C:C,0)),"")</f>
        <v>%</v>
      </c>
      <c r="Q761" s="9" t="str">
        <f t="array" ref="Q761">IFERROR(INDEX(dim_kpi!F:F,MATCH(D761,dim_kpi!C:C,0)),"")</f>
        <v>N</v>
      </c>
    </row>
    <row r="762" ht="12.75" customHeight="1">
      <c r="A762" s="20" t="str">
        <f>fact_kpi_weekly!A762</f>
        <v>260412</v>
      </c>
      <c r="B762" s="21">
        <f>fact_kpi_weekly!B762</f>
        <v>46124</v>
      </c>
      <c r="C762" s="9" t="str">
        <f>fact_kpi_weekly!C762</f>
        <v>Growth</v>
      </c>
      <c r="D762" s="9" t="str">
        <f>fact_kpi_weekly!D762</f>
        <v>Non-Agent Related Enrollment &amp; Activation</v>
      </c>
      <c r="E762" s="9" t="str">
        <f>fact_kpi_weekly!E762</f>
        <v>Goal</v>
      </c>
      <c r="F762" s="9" t="str">
        <f>IF(fact_kpi_weekly!F762="","",fact_kpi_weekly!F762)</f>
        <v/>
      </c>
      <c r="G762" s="9" t="str">
        <f>fact_kpi_weekly!G762</f>
        <v>N/A</v>
      </c>
      <c r="H762" s="9" t="str">
        <f>fact_kpi_weekly!H762</f>
        <v>Luke</v>
      </c>
      <c r="I762" s="9">
        <f>fact_kpi_weekly!I762</f>
        <v>0.08</v>
      </c>
      <c r="J762" s="22">
        <f>fact_kpi_weekly!J762</f>
        <v>0.08</v>
      </c>
      <c r="K762" s="20" t="str">
        <f t="array" ref="K762">IFERROR(INDEX(dim_date!H:H,MATCH(A762,dim_date!A:A,0)),"")</f>
        <v>Apr</v>
      </c>
      <c r="L762" s="20" t="str">
        <f t="array" ref="L762">IFERROR(INDEX(dim_date!G:G,MATCH(A762,dim_date!A:A,0)),"")</f>
        <v>04</v>
      </c>
      <c r="M762" s="9" t="str">
        <f t="array" ref="M762">IFERROR(INDEX(dim_date!I:I,MATCH(A762,dim_date!A:A,0)),"")</f>
        <v>Q2</v>
      </c>
      <c r="N762" s="20" t="str">
        <f t="array" ref="N762">IFERROR(INDEX(dim_date!K:K,MATCH(A762,dim_date!A:A,0)),"")</f>
        <v>16</v>
      </c>
      <c r="O762" s="9" t="str">
        <f t="array" ref="O762">IFERROR(INDEX(dim_date!F:F,MATCH(A762,dim_date!A:A,0)),"")</f>
        <v>4/12-4/18</v>
      </c>
      <c r="P762" s="9" t="str">
        <f t="array" ref="P762">IFERROR(INDEX(dim_kpi!E:E,MATCH(D762,dim_kpi!C:C,0)),"")</f>
        <v>%</v>
      </c>
      <c r="Q762" s="9" t="str">
        <f t="array" ref="Q762">IFERROR(INDEX(dim_kpi!F:F,MATCH(D762,dim_kpi!C:C,0)),"")</f>
        <v>N</v>
      </c>
    </row>
    <row r="763" ht="12.75" customHeight="1">
      <c r="A763" s="20" t="str">
        <f>fact_kpi_weekly!A763</f>
        <v>260419</v>
      </c>
      <c r="B763" s="21">
        <f>fact_kpi_weekly!B763</f>
        <v>46131</v>
      </c>
      <c r="C763" s="9" t="str">
        <f>fact_kpi_weekly!C763</f>
        <v>Growth</v>
      </c>
      <c r="D763" s="9" t="str">
        <f>fact_kpi_weekly!D763</f>
        <v>Non-Agent Related Enrollment &amp; Activation</v>
      </c>
      <c r="E763" s="9" t="str">
        <f>fact_kpi_weekly!E763</f>
        <v>Goal</v>
      </c>
      <c r="F763" s="9" t="str">
        <f>IF(fact_kpi_weekly!F763="","",fact_kpi_weekly!F763)</f>
        <v/>
      </c>
      <c r="G763" s="9" t="str">
        <f>fact_kpi_weekly!G763</f>
        <v>N/A</v>
      </c>
      <c r="H763" s="9" t="str">
        <f>fact_kpi_weekly!H763</f>
        <v>Luke</v>
      </c>
      <c r="I763" s="9">
        <f>fact_kpi_weekly!I763</f>
        <v>0.08</v>
      </c>
      <c r="J763" s="22">
        <f>fact_kpi_weekly!J763</f>
        <v>0.08</v>
      </c>
      <c r="K763" s="20" t="str">
        <f t="array" ref="K763">IFERROR(INDEX(dim_date!H:H,MATCH(A763,dim_date!A:A,0)),"")</f>
        <v>Apr</v>
      </c>
      <c r="L763" s="20" t="str">
        <f t="array" ref="L763">IFERROR(INDEX(dim_date!G:G,MATCH(A763,dim_date!A:A,0)),"")</f>
        <v>04</v>
      </c>
      <c r="M763" s="9" t="str">
        <f t="array" ref="M763">IFERROR(INDEX(dim_date!I:I,MATCH(A763,dim_date!A:A,0)),"")</f>
        <v>Q2</v>
      </c>
      <c r="N763" s="20" t="str">
        <f t="array" ref="N763">IFERROR(INDEX(dim_date!K:K,MATCH(A763,dim_date!A:A,0)),"")</f>
        <v>17</v>
      </c>
      <c r="O763" s="9" t="str">
        <f t="array" ref="O763">IFERROR(INDEX(dim_date!F:F,MATCH(A763,dim_date!A:A,0)),"")</f>
        <v>4/19-4/25</v>
      </c>
      <c r="P763" s="9" t="str">
        <f t="array" ref="P763">IFERROR(INDEX(dim_kpi!E:E,MATCH(D763,dim_kpi!C:C,0)),"")</f>
        <v>%</v>
      </c>
      <c r="Q763" s="9" t="str">
        <f t="array" ref="Q763">IFERROR(INDEX(dim_kpi!F:F,MATCH(D763,dim_kpi!C:C,0)),"")</f>
        <v>N</v>
      </c>
    </row>
    <row r="764" ht="12.75" customHeight="1">
      <c r="A764" s="20" t="str">
        <f>fact_kpi_weekly!A764</f>
        <v>260426</v>
      </c>
      <c r="B764" s="21">
        <f>fact_kpi_weekly!B764</f>
        <v>46138</v>
      </c>
      <c r="C764" s="9" t="str">
        <f>fact_kpi_weekly!C764</f>
        <v>Growth</v>
      </c>
      <c r="D764" s="9" t="str">
        <f>fact_kpi_weekly!D764</f>
        <v>Non-Agent Related Enrollment &amp; Activation</v>
      </c>
      <c r="E764" s="9" t="str">
        <f>fact_kpi_weekly!E764</f>
        <v>Goal</v>
      </c>
      <c r="F764" s="9" t="str">
        <f>IF(fact_kpi_weekly!F764="","",fact_kpi_weekly!F764)</f>
        <v/>
      </c>
      <c r="G764" s="9" t="str">
        <f>fact_kpi_weekly!G764</f>
        <v>N/A</v>
      </c>
      <c r="H764" s="9" t="str">
        <f>fact_kpi_weekly!H764</f>
        <v>Luke</v>
      </c>
      <c r="I764" s="9">
        <f>fact_kpi_weekly!I764</f>
        <v>0.08</v>
      </c>
      <c r="J764" s="22">
        <f>fact_kpi_weekly!J764</f>
        <v>0.08</v>
      </c>
      <c r="K764" s="20" t="str">
        <f t="array" ref="K764">IFERROR(INDEX(dim_date!H:H,MATCH(A764,dim_date!A:A,0)),"")</f>
        <v>Apr</v>
      </c>
      <c r="L764" s="20" t="str">
        <f t="array" ref="L764">IFERROR(INDEX(dim_date!G:G,MATCH(A764,dim_date!A:A,0)),"")</f>
        <v>04</v>
      </c>
      <c r="M764" s="9" t="str">
        <f t="array" ref="M764">IFERROR(INDEX(dim_date!I:I,MATCH(A764,dim_date!A:A,0)),"")</f>
        <v>Q2</v>
      </c>
      <c r="N764" s="20" t="str">
        <f t="array" ref="N764">IFERROR(INDEX(dim_date!K:K,MATCH(A764,dim_date!A:A,0)),"")</f>
        <v>18</v>
      </c>
      <c r="O764" s="9" t="str">
        <f t="array" ref="O764">IFERROR(INDEX(dim_date!F:F,MATCH(A764,dim_date!A:A,0)),"")</f>
        <v>4/26-5/2</v>
      </c>
      <c r="P764" s="9" t="str">
        <f t="array" ref="P764">IFERROR(INDEX(dim_kpi!E:E,MATCH(D764,dim_kpi!C:C,0)),"")</f>
        <v>%</v>
      </c>
      <c r="Q764" s="9" t="str">
        <f t="array" ref="Q764">IFERROR(INDEX(dim_kpi!F:F,MATCH(D764,dim_kpi!C:C,0)),"")</f>
        <v>N</v>
      </c>
    </row>
    <row r="765" ht="12.75" customHeight="1">
      <c r="A765" s="20" t="str">
        <f>fact_kpi_weekly!A765</f>
        <v>260503</v>
      </c>
      <c r="B765" s="21">
        <f>fact_kpi_weekly!B765</f>
        <v>46145</v>
      </c>
      <c r="C765" s="9" t="str">
        <f>fact_kpi_weekly!C765</f>
        <v>Growth</v>
      </c>
      <c r="D765" s="9" t="str">
        <f>fact_kpi_weekly!D765</f>
        <v>Non-Agent Related Enrollment &amp; Activation</v>
      </c>
      <c r="E765" s="9" t="str">
        <f>fact_kpi_weekly!E765</f>
        <v>Goal</v>
      </c>
      <c r="F765" s="9" t="str">
        <f>IF(fact_kpi_weekly!F765="","",fact_kpi_weekly!F765)</f>
        <v/>
      </c>
      <c r="G765" s="9" t="str">
        <f>fact_kpi_weekly!G765</f>
        <v>N/A</v>
      </c>
      <c r="H765" s="9" t="str">
        <f>fact_kpi_weekly!H765</f>
        <v>Luke</v>
      </c>
      <c r="I765" s="9">
        <f>fact_kpi_weekly!I765</f>
        <v>0.09</v>
      </c>
      <c r="J765" s="22">
        <f>fact_kpi_weekly!J765</f>
        <v>0.09</v>
      </c>
      <c r="K765" s="20" t="str">
        <f t="array" ref="K765">IFERROR(INDEX(dim_date!H:H,MATCH(A765,dim_date!A:A,0)),"")</f>
        <v>May</v>
      </c>
      <c r="L765" s="20" t="str">
        <f t="array" ref="L765">IFERROR(INDEX(dim_date!G:G,MATCH(A765,dim_date!A:A,0)),"")</f>
        <v>05</v>
      </c>
      <c r="M765" s="9" t="str">
        <f t="array" ref="M765">IFERROR(INDEX(dim_date!I:I,MATCH(A765,dim_date!A:A,0)),"")</f>
        <v>Q2</v>
      </c>
      <c r="N765" s="20" t="str">
        <f t="array" ref="N765">IFERROR(INDEX(dim_date!K:K,MATCH(A765,dim_date!A:A,0)),"")</f>
        <v>19</v>
      </c>
      <c r="O765" s="9" t="str">
        <f t="array" ref="O765">IFERROR(INDEX(dim_date!F:F,MATCH(A765,dim_date!A:A,0)),"")</f>
        <v>5/3-5/9</v>
      </c>
      <c r="P765" s="9" t="str">
        <f t="array" ref="P765">IFERROR(INDEX(dim_kpi!E:E,MATCH(D765,dim_kpi!C:C,0)),"")</f>
        <v>%</v>
      </c>
      <c r="Q765" s="9" t="str">
        <f t="array" ref="Q765">IFERROR(INDEX(dim_kpi!F:F,MATCH(D765,dim_kpi!C:C,0)),"")</f>
        <v>N</v>
      </c>
    </row>
    <row r="766" ht="12.75" customHeight="1">
      <c r="A766" s="20" t="str">
        <f>fact_kpi_weekly!A766</f>
        <v>260510</v>
      </c>
      <c r="B766" s="21">
        <f>fact_kpi_weekly!B766</f>
        <v>46152</v>
      </c>
      <c r="C766" s="9" t="str">
        <f>fact_kpi_weekly!C766</f>
        <v>Growth</v>
      </c>
      <c r="D766" s="9" t="str">
        <f>fact_kpi_weekly!D766</f>
        <v>Non-Agent Related Enrollment &amp; Activation</v>
      </c>
      <c r="E766" s="9" t="str">
        <f>fact_kpi_weekly!E766</f>
        <v>Goal</v>
      </c>
      <c r="F766" s="9" t="str">
        <f>IF(fact_kpi_weekly!F766="","",fact_kpi_weekly!F766)</f>
        <v/>
      </c>
      <c r="G766" s="9" t="str">
        <f>fact_kpi_weekly!G766</f>
        <v>N/A</v>
      </c>
      <c r="H766" s="9" t="str">
        <f>fact_kpi_weekly!H766</f>
        <v>Luke</v>
      </c>
      <c r="I766" s="9">
        <f>fact_kpi_weekly!I766</f>
        <v>0.09</v>
      </c>
      <c r="J766" s="22">
        <f>fact_kpi_weekly!J766</f>
        <v>0.09</v>
      </c>
      <c r="K766" s="20" t="str">
        <f t="array" ref="K766">IFERROR(INDEX(dim_date!H:H,MATCH(A766,dim_date!A:A,0)),"")</f>
        <v>May</v>
      </c>
      <c r="L766" s="20" t="str">
        <f t="array" ref="L766">IFERROR(INDEX(dim_date!G:G,MATCH(A766,dim_date!A:A,0)),"")</f>
        <v>05</v>
      </c>
      <c r="M766" s="9" t="str">
        <f t="array" ref="M766">IFERROR(INDEX(dim_date!I:I,MATCH(A766,dim_date!A:A,0)),"")</f>
        <v>Q2</v>
      </c>
      <c r="N766" s="20" t="str">
        <f t="array" ref="N766">IFERROR(INDEX(dim_date!K:K,MATCH(A766,dim_date!A:A,0)),"")</f>
        <v>20</v>
      </c>
      <c r="O766" s="9" t="str">
        <f t="array" ref="O766">IFERROR(INDEX(dim_date!F:F,MATCH(A766,dim_date!A:A,0)),"")</f>
        <v>5/10-5/16</v>
      </c>
      <c r="P766" s="9" t="str">
        <f t="array" ref="P766">IFERROR(INDEX(dim_kpi!E:E,MATCH(D766,dim_kpi!C:C,0)),"")</f>
        <v>%</v>
      </c>
      <c r="Q766" s="9" t="str">
        <f t="array" ref="Q766">IFERROR(INDEX(dim_kpi!F:F,MATCH(D766,dim_kpi!C:C,0)),"")</f>
        <v>N</v>
      </c>
    </row>
    <row r="767" ht="12.75" customHeight="1">
      <c r="A767" s="20" t="str">
        <f>fact_kpi_weekly!A767</f>
        <v>260517</v>
      </c>
      <c r="B767" s="21">
        <f>fact_kpi_weekly!B767</f>
        <v>46159</v>
      </c>
      <c r="C767" s="9" t="str">
        <f>fact_kpi_weekly!C767</f>
        <v>Growth</v>
      </c>
      <c r="D767" s="9" t="str">
        <f>fact_kpi_weekly!D767</f>
        <v>Non-Agent Related Enrollment &amp; Activation</v>
      </c>
      <c r="E767" s="9" t="str">
        <f>fact_kpi_weekly!E767</f>
        <v>Goal</v>
      </c>
      <c r="F767" s="9" t="str">
        <f>IF(fact_kpi_weekly!F767="","",fact_kpi_weekly!F767)</f>
        <v/>
      </c>
      <c r="G767" s="9" t="str">
        <f>fact_kpi_weekly!G767</f>
        <v>N/A</v>
      </c>
      <c r="H767" s="9" t="str">
        <f>fact_kpi_weekly!H767</f>
        <v>Luke</v>
      </c>
      <c r="I767" s="9">
        <f>fact_kpi_weekly!I767</f>
        <v>0.09</v>
      </c>
      <c r="J767" s="22">
        <f>fact_kpi_weekly!J767</f>
        <v>0.09</v>
      </c>
      <c r="K767" s="20" t="str">
        <f t="array" ref="K767">IFERROR(INDEX(dim_date!H:H,MATCH(A767,dim_date!A:A,0)),"")</f>
        <v>May</v>
      </c>
      <c r="L767" s="20" t="str">
        <f t="array" ref="L767">IFERROR(INDEX(dim_date!G:G,MATCH(A767,dim_date!A:A,0)),"")</f>
        <v>05</v>
      </c>
      <c r="M767" s="9" t="str">
        <f t="array" ref="M767">IFERROR(INDEX(dim_date!I:I,MATCH(A767,dim_date!A:A,0)),"")</f>
        <v>Q2</v>
      </c>
      <c r="N767" s="20" t="str">
        <f t="array" ref="N767">IFERROR(INDEX(dim_date!K:K,MATCH(A767,dim_date!A:A,0)),"")</f>
        <v>21</v>
      </c>
      <c r="O767" s="9" t="str">
        <f t="array" ref="O767">IFERROR(INDEX(dim_date!F:F,MATCH(A767,dim_date!A:A,0)),"")</f>
        <v>5/17-5/23</v>
      </c>
      <c r="P767" s="9" t="str">
        <f t="array" ref="P767">IFERROR(INDEX(dim_kpi!E:E,MATCH(D767,dim_kpi!C:C,0)),"")</f>
        <v>%</v>
      </c>
      <c r="Q767" s="9" t="str">
        <f t="array" ref="Q767">IFERROR(INDEX(dim_kpi!F:F,MATCH(D767,dim_kpi!C:C,0)),"")</f>
        <v>N</v>
      </c>
    </row>
    <row r="768" ht="12.75" customHeight="1">
      <c r="A768" s="20" t="str">
        <f>fact_kpi_weekly!A768</f>
        <v>260524</v>
      </c>
      <c r="B768" s="21">
        <f>fact_kpi_weekly!B768</f>
        <v>46166</v>
      </c>
      <c r="C768" s="9" t="str">
        <f>fact_kpi_weekly!C768</f>
        <v>Growth</v>
      </c>
      <c r="D768" s="9" t="str">
        <f>fact_kpi_weekly!D768</f>
        <v>Non-Agent Related Enrollment &amp; Activation</v>
      </c>
      <c r="E768" s="9" t="str">
        <f>fact_kpi_weekly!E768</f>
        <v>Goal</v>
      </c>
      <c r="F768" s="9" t="str">
        <f>IF(fact_kpi_weekly!F768="","",fact_kpi_weekly!F768)</f>
        <v/>
      </c>
      <c r="G768" s="9" t="str">
        <f>fact_kpi_weekly!G768</f>
        <v>N/A</v>
      </c>
      <c r="H768" s="9" t="str">
        <f>fact_kpi_weekly!H768</f>
        <v>Luke</v>
      </c>
      <c r="I768" s="9">
        <f>fact_kpi_weekly!I768</f>
        <v>0.09</v>
      </c>
      <c r="J768" s="22">
        <f>fact_kpi_weekly!J768</f>
        <v>0.09</v>
      </c>
      <c r="K768" s="20" t="str">
        <f t="array" ref="K768">IFERROR(INDEX(dim_date!H:H,MATCH(A768,dim_date!A:A,0)),"")</f>
        <v>May</v>
      </c>
      <c r="L768" s="20" t="str">
        <f t="array" ref="L768">IFERROR(INDEX(dim_date!G:G,MATCH(A768,dim_date!A:A,0)),"")</f>
        <v>05</v>
      </c>
      <c r="M768" s="9" t="str">
        <f t="array" ref="M768">IFERROR(INDEX(dim_date!I:I,MATCH(A768,dim_date!A:A,0)),"")</f>
        <v>Q2</v>
      </c>
      <c r="N768" s="20" t="str">
        <f t="array" ref="N768">IFERROR(INDEX(dim_date!K:K,MATCH(A768,dim_date!A:A,0)),"")</f>
        <v>22</v>
      </c>
      <c r="O768" s="9" t="str">
        <f t="array" ref="O768">IFERROR(INDEX(dim_date!F:F,MATCH(A768,dim_date!A:A,0)),"")</f>
        <v>5/24-5/30</v>
      </c>
      <c r="P768" s="9" t="str">
        <f t="array" ref="P768">IFERROR(INDEX(dim_kpi!E:E,MATCH(D768,dim_kpi!C:C,0)),"")</f>
        <v>%</v>
      </c>
      <c r="Q768" s="9" t="str">
        <f t="array" ref="Q768">IFERROR(INDEX(dim_kpi!F:F,MATCH(D768,dim_kpi!C:C,0)),"")</f>
        <v>N</v>
      </c>
    </row>
    <row r="769" ht="12.75" customHeight="1">
      <c r="A769" s="20" t="str">
        <f>fact_kpi_weekly!A769</f>
        <v>260601</v>
      </c>
      <c r="B769" s="21">
        <f>fact_kpi_weekly!B769</f>
        <v>46174</v>
      </c>
      <c r="C769" s="9" t="str">
        <f>fact_kpi_weekly!C769</f>
        <v>Growth</v>
      </c>
      <c r="D769" s="9" t="str">
        <f>fact_kpi_weekly!D769</f>
        <v>Non-Agent Related Enrollment &amp; Activation</v>
      </c>
      <c r="E769" s="9" t="str">
        <f>fact_kpi_weekly!E769</f>
        <v>Goal</v>
      </c>
      <c r="F769" s="9" t="str">
        <f>IF(fact_kpi_weekly!F769="","",fact_kpi_weekly!F769)</f>
        <v/>
      </c>
      <c r="G769" s="9" t="str">
        <f>fact_kpi_weekly!G769</f>
        <v>N/A</v>
      </c>
      <c r="H769" s="9" t="str">
        <f>fact_kpi_weekly!H769</f>
        <v>Luke</v>
      </c>
      <c r="I769" s="9">
        <f>fact_kpi_weekly!I769</f>
        <v>0.1</v>
      </c>
      <c r="J769" s="22">
        <f>fact_kpi_weekly!J769</f>
        <v>0.1</v>
      </c>
      <c r="K769" s="20" t="str">
        <f t="array" ref="K769">IFERROR(INDEX(dim_date!H:H,MATCH(A769,dim_date!A:A,0)),"")</f>
        <v>Jun</v>
      </c>
      <c r="L769" s="20" t="str">
        <f t="array" ref="L769">IFERROR(INDEX(dim_date!G:G,MATCH(A769,dim_date!A:A,0)),"")</f>
        <v>06</v>
      </c>
      <c r="M769" s="9" t="str">
        <f t="array" ref="M769">IFERROR(INDEX(dim_date!I:I,MATCH(A769,dim_date!A:A,0)),"")</f>
        <v>Q2</v>
      </c>
      <c r="N769" s="20" t="str">
        <f t="array" ref="N769">IFERROR(INDEX(dim_date!K:K,MATCH(A769,dim_date!A:A,0)),"")</f>
        <v>23</v>
      </c>
      <c r="O769" s="9" t="str">
        <f t="array" ref="O769">IFERROR(INDEX(dim_date!F:F,MATCH(A769,dim_date!A:A,0)),"")</f>
        <v>5/31-6/6</v>
      </c>
      <c r="P769" s="9" t="str">
        <f t="array" ref="P769">IFERROR(INDEX(dim_kpi!E:E,MATCH(D769,dim_kpi!C:C,0)),"")</f>
        <v>%</v>
      </c>
      <c r="Q769" s="9" t="str">
        <f t="array" ref="Q769">IFERROR(INDEX(dim_kpi!F:F,MATCH(D769,dim_kpi!C:C,0)),"")</f>
        <v>N</v>
      </c>
    </row>
    <row r="770" ht="12.75" customHeight="1">
      <c r="A770" s="20" t="str">
        <f>fact_kpi_weekly!A770</f>
        <v>260607</v>
      </c>
      <c r="B770" s="21">
        <f>fact_kpi_weekly!B770</f>
        <v>46180</v>
      </c>
      <c r="C770" s="9" t="str">
        <f>fact_kpi_weekly!C770</f>
        <v>Growth</v>
      </c>
      <c r="D770" s="9" t="str">
        <f>fact_kpi_weekly!D770</f>
        <v>Non-Agent Related Enrollment &amp; Activation</v>
      </c>
      <c r="E770" s="9" t="str">
        <f>fact_kpi_weekly!E770</f>
        <v>Goal</v>
      </c>
      <c r="F770" s="9" t="str">
        <f>IF(fact_kpi_weekly!F770="","",fact_kpi_weekly!F770)</f>
        <v/>
      </c>
      <c r="G770" s="9" t="str">
        <f>fact_kpi_weekly!G770</f>
        <v>N/A</v>
      </c>
      <c r="H770" s="9" t="str">
        <f>fact_kpi_weekly!H770</f>
        <v>Luke</v>
      </c>
      <c r="I770" s="9">
        <f>fact_kpi_weekly!I770</f>
        <v>0.1</v>
      </c>
      <c r="J770" s="22">
        <f>fact_kpi_weekly!J770</f>
        <v>0.1</v>
      </c>
      <c r="K770" s="20" t="str">
        <f t="array" ref="K770">IFERROR(INDEX(dim_date!H:H,MATCH(A770,dim_date!A:A,0)),"")</f>
        <v>Jun</v>
      </c>
      <c r="L770" s="20" t="str">
        <f t="array" ref="L770">IFERROR(INDEX(dim_date!G:G,MATCH(A770,dim_date!A:A,0)),"")</f>
        <v>06</v>
      </c>
      <c r="M770" s="9" t="str">
        <f t="array" ref="M770">IFERROR(INDEX(dim_date!I:I,MATCH(A770,dim_date!A:A,0)),"")</f>
        <v>Q2</v>
      </c>
      <c r="N770" s="20" t="str">
        <f t="array" ref="N770">IFERROR(INDEX(dim_date!K:K,MATCH(A770,dim_date!A:A,0)),"")</f>
        <v>24</v>
      </c>
      <c r="O770" s="9" t="str">
        <f t="array" ref="O770">IFERROR(INDEX(dim_date!F:F,MATCH(A770,dim_date!A:A,0)),"")</f>
        <v>6/7-6/13</v>
      </c>
      <c r="P770" s="9" t="str">
        <f t="array" ref="P770">IFERROR(INDEX(dim_kpi!E:E,MATCH(D770,dim_kpi!C:C,0)),"")</f>
        <v>%</v>
      </c>
      <c r="Q770" s="9" t="str">
        <f t="array" ref="Q770">IFERROR(INDEX(dim_kpi!F:F,MATCH(D770,dim_kpi!C:C,0)),"")</f>
        <v>N</v>
      </c>
    </row>
    <row r="771" ht="12.75" customHeight="1">
      <c r="A771" s="20" t="str">
        <f>fact_kpi_weekly!A771</f>
        <v>260614</v>
      </c>
      <c r="B771" s="21">
        <f>fact_kpi_weekly!B771</f>
        <v>46187</v>
      </c>
      <c r="C771" s="9" t="str">
        <f>fact_kpi_weekly!C771</f>
        <v>Growth</v>
      </c>
      <c r="D771" s="9" t="str">
        <f>fact_kpi_weekly!D771</f>
        <v>Non-Agent Related Enrollment &amp; Activation</v>
      </c>
      <c r="E771" s="9" t="str">
        <f>fact_kpi_weekly!E771</f>
        <v>Goal</v>
      </c>
      <c r="F771" s="9" t="str">
        <f>IF(fact_kpi_weekly!F771="","",fact_kpi_weekly!F771)</f>
        <v/>
      </c>
      <c r="G771" s="9" t="str">
        <f>fact_kpi_weekly!G771</f>
        <v>N/A</v>
      </c>
      <c r="H771" s="9" t="str">
        <f>fact_kpi_weekly!H771</f>
        <v>Luke</v>
      </c>
      <c r="I771" s="9">
        <f>fact_kpi_weekly!I771</f>
        <v>0.1</v>
      </c>
      <c r="J771" s="22">
        <f>fact_kpi_weekly!J771</f>
        <v>0.1</v>
      </c>
      <c r="K771" s="20" t="str">
        <f t="array" ref="K771">IFERROR(INDEX(dim_date!H:H,MATCH(A771,dim_date!A:A,0)),"")</f>
        <v>Jun</v>
      </c>
      <c r="L771" s="20" t="str">
        <f t="array" ref="L771">IFERROR(INDEX(dim_date!G:G,MATCH(A771,dim_date!A:A,0)),"")</f>
        <v>06</v>
      </c>
      <c r="M771" s="9" t="str">
        <f t="array" ref="M771">IFERROR(INDEX(dim_date!I:I,MATCH(A771,dim_date!A:A,0)),"")</f>
        <v>Q2</v>
      </c>
      <c r="N771" s="20" t="str">
        <f t="array" ref="N771">IFERROR(INDEX(dim_date!K:K,MATCH(A771,dim_date!A:A,0)),"")</f>
        <v>25</v>
      </c>
      <c r="O771" s="9" t="str">
        <f t="array" ref="O771">IFERROR(INDEX(dim_date!F:F,MATCH(A771,dim_date!A:A,0)),"")</f>
        <v>6/14-6/20</v>
      </c>
      <c r="P771" s="9" t="str">
        <f t="array" ref="P771">IFERROR(INDEX(dim_kpi!E:E,MATCH(D771,dim_kpi!C:C,0)),"")</f>
        <v>%</v>
      </c>
      <c r="Q771" s="9" t="str">
        <f t="array" ref="Q771">IFERROR(INDEX(dim_kpi!F:F,MATCH(D771,dim_kpi!C:C,0)),"")</f>
        <v>N</v>
      </c>
    </row>
    <row r="772" ht="12.75" customHeight="1">
      <c r="A772" s="20" t="str">
        <f>fact_kpi_weekly!A772</f>
        <v>260621</v>
      </c>
      <c r="B772" s="21">
        <f>fact_kpi_weekly!B772</f>
        <v>46194</v>
      </c>
      <c r="C772" s="9" t="str">
        <f>fact_kpi_weekly!C772</f>
        <v>Growth</v>
      </c>
      <c r="D772" s="9" t="str">
        <f>fact_kpi_weekly!D772</f>
        <v>Non-Agent Related Enrollment &amp; Activation</v>
      </c>
      <c r="E772" s="9" t="str">
        <f>fact_kpi_weekly!E772</f>
        <v>Goal</v>
      </c>
      <c r="F772" s="9" t="str">
        <f>IF(fact_kpi_weekly!F772="","",fact_kpi_weekly!F772)</f>
        <v/>
      </c>
      <c r="G772" s="9" t="str">
        <f>fact_kpi_weekly!G772</f>
        <v>N/A</v>
      </c>
      <c r="H772" s="9" t="str">
        <f>fact_kpi_weekly!H772</f>
        <v>Luke</v>
      </c>
      <c r="I772" s="9">
        <f>fact_kpi_weekly!I772</f>
        <v>0.1</v>
      </c>
      <c r="J772" s="22">
        <f>fact_kpi_weekly!J772</f>
        <v>0.1</v>
      </c>
      <c r="K772" s="20" t="str">
        <f t="array" ref="K772">IFERROR(INDEX(dim_date!H:H,MATCH(A772,dim_date!A:A,0)),"")</f>
        <v>Jun</v>
      </c>
      <c r="L772" s="20" t="str">
        <f t="array" ref="L772">IFERROR(INDEX(dim_date!G:G,MATCH(A772,dim_date!A:A,0)),"")</f>
        <v>06</v>
      </c>
      <c r="M772" s="9" t="str">
        <f t="array" ref="M772">IFERROR(INDEX(dim_date!I:I,MATCH(A772,dim_date!A:A,0)),"")</f>
        <v>Q2</v>
      </c>
      <c r="N772" s="20" t="str">
        <f t="array" ref="N772">IFERROR(INDEX(dim_date!K:K,MATCH(A772,dim_date!A:A,0)),"")</f>
        <v>26</v>
      </c>
      <c r="O772" s="9" t="str">
        <f t="array" ref="O772">IFERROR(INDEX(dim_date!F:F,MATCH(A772,dim_date!A:A,0)),"")</f>
        <v>6/21-6/27</v>
      </c>
      <c r="P772" s="9" t="str">
        <f t="array" ref="P772">IFERROR(INDEX(dim_kpi!E:E,MATCH(D772,dim_kpi!C:C,0)),"")</f>
        <v>%</v>
      </c>
      <c r="Q772" s="9" t="str">
        <f t="array" ref="Q772">IFERROR(INDEX(dim_kpi!F:F,MATCH(D772,dim_kpi!C:C,0)),"")</f>
        <v>N</v>
      </c>
    </row>
    <row r="773" ht="12.75" customHeight="1">
      <c r="A773" s="20" t="str">
        <f>fact_kpi_weekly!A773</f>
        <v>260628</v>
      </c>
      <c r="B773" s="21">
        <f>fact_kpi_weekly!B773</f>
        <v>46201</v>
      </c>
      <c r="C773" s="9" t="str">
        <f>fact_kpi_weekly!C773</f>
        <v>Growth</v>
      </c>
      <c r="D773" s="9" t="str">
        <f>fact_kpi_weekly!D773</f>
        <v>Non-Agent Related Enrollment &amp; Activation</v>
      </c>
      <c r="E773" s="9" t="str">
        <f>fact_kpi_weekly!E773</f>
        <v>Goal</v>
      </c>
      <c r="F773" s="9" t="str">
        <f>IF(fact_kpi_weekly!F773="","",fact_kpi_weekly!F773)</f>
        <v/>
      </c>
      <c r="G773" s="9" t="str">
        <f>fact_kpi_weekly!G773</f>
        <v>N/A</v>
      </c>
      <c r="H773" s="9" t="str">
        <f>fact_kpi_weekly!H773</f>
        <v>Luke</v>
      </c>
      <c r="I773" s="9">
        <f>fact_kpi_weekly!I773</f>
        <v>0.1</v>
      </c>
      <c r="J773" s="22">
        <f>fact_kpi_weekly!J773</f>
        <v>0.1</v>
      </c>
      <c r="K773" s="20" t="str">
        <f t="array" ref="K773">IFERROR(INDEX(dim_date!H:H,MATCH(A773,dim_date!A:A,0)),"")</f>
        <v>Jun</v>
      </c>
      <c r="L773" s="20" t="str">
        <f t="array" ref="L773">IFERROR(INDEX(dim_date!G:G,MATCH(A773,dim_date!A:A,0)),"")</f>
        <v>06</v>
      </c>
      <c r="M773" s="9" t="str">
        <f t="array" ref="M773">IFERROR(INDEX(dim_date!I:I,MATCH(A773,dim_date!A:A,0)),"")</f>
        <v>Q2</v>
      </c>
      <c r="N773" s="20" t="str">
        <f t="array" ref="N773">IFERROR(INDEX(dim_date!K:K,MATCH(A773,dim_date!A:A,0)),"")</f>
        <v>27</v>
      </c>
      <c r="O773" s="9" t="str">
        <f t="array" ref="O773">IFERROR(INDEX(dim_date!F:F,MATCH(A773,dim_date!A:A,0)),"")</f>
        <v>6/28-7/4</v>
      </c>
      <c r="P773" s="9" t="str">
        <f t="array" ref="P773">IFERROR(INDEX(dim_kpi!E:E,MATCH(D773,dim_kpi!C:C,0)),"")</f>
        <v>%</v>
      </c>
      <c r="Q773" s="9" t="str">
        <f t="array" ref="Q773">IFERROR(INDEX(dim_kpi!F:F,MATCH(D773,dim_kpi!C:C,0)),"")</f>
        <v>N</v>
      </c>
    </row>
    <row r="774" ht="12.75" customHeight="1">
      <c r="A774" s="20" t="str">
        <f>fact_kpi_weekly!A774</f>
        <v>260705</v>
      </c>
      <c r="B774" s="21">
        <f>fact_kpi_weekly!B774</f>
        <v>46208</v>
      </c>
      <c r="C774" s="9" t="str">
        <f>fact_kpi_weekly!C774</f>
        <v>Growth</v>
      </c>
      <c r="D774" s="9" t="str">
        <f>fact_kpi_weekly!D774</f>
        <v>Non-Agent Related Enrollment &amp; Activation</v>
      </c>
      <c r="E774" s="9" t="str">
        <f>fact_kpi_weekly!E774</f>
        <v>Goal</v>
      </c>
      <c r="F774" s="9" t="str">
        <f>IF(fact_kpi_weekly!F774="","",fact_kpi_weekly!F774)</f>
        <v/>
      </c>
      <c r="G774" s="9" t="str">
        <f>fact_kpi_weekly!G774</f>
        <v>N/A</v>
      </c>
      <c r="H774" s="9" t="str">
        <f>fact_kpi_weekly!H774</f>
        <v>Luke</v>
      </c>
      <c r="I774" s="9">
        <f>fact_kpi_weekly!I774</f>
        <v>0.11</v>
      </c>
      <c r="J774" s="22">
        <f>fact_kpi_weekly!J774</f>
        <v>0.11</v>
      </c>
      <c r="K774" s="20" t="str">
        <f t="array" ref="K774">IFERROR(INDEX(dim_date!H:H,MATCH(A774,dim_date!A:A,0)),"")</f>
        <v>Jul</v>
      </c>
      <c r="L774" s="20" t="str">
        <f t="array" ref="L774">IFERROR(INDEX(dim_date!G:G,MATCH(A774,dim_date!A:A,0)),"")</f>
        <v>07</v>
      </c>
      <c r="M774" s="9" t="str">
        <f t="array" ref="M774">IFERROR(INDEX(dim_date!I:I,MATCH(A774,dim_date!A:A,0)),"")</f>
        <v>Q3</v>
      </c>
      <c r="N774" s="20" t="str">
        <f t="array" ref="N774">IFERROR(INDEX(dim_date!K:K,MATCH(A774,dim_date!A:A,0)),"")</f>
        <v>28</v>
      </c>
      <c r="O774" s="9" t="str">
        <f t="array" ref="O774">IFERROR(INDEX(dim_date!F:F,MATCH(A774,dim_date!A:A,0)),"")</f>
        <v>7/5-7/11</v>
      </c>
      <c r="P774" s="9" t="str">
        <f t="array" ref="P774">IFERROR(INDEX(dim_kpi!E:E,MATCH(D774,dim_kpi!C:C,0)),"")</f>
        <v>%</v>
      </c>
      <c r="Q774" s="9" t="str">
        <f t="array" ref="Q774">IFERROR(INDEX(dim_kpi!F:F,MATCH(D774,dim_kpi!C:C,0)),"")</f>
        <v>N</v>
      </c>
    </row>
    <row r="775" ht="12.75" customHeight="1">
      <c r="A775" s="20" t="str">
        <f>fact_kpi_weekly!A775</f>
        <v>260712</v>
      </c>
      <c r="B775" s="21">
        <f>fact_kpi_weekly!B775</f>
        <v>46215</v>
      </c>
      <c r="C775" s="9" t="str">
        <f>fact_kpi_weekly!C775</f>
        <v>Growth</v>
      </c>
      <c r="D775" s="9" t="str">
        <f>fact_kpi_weekly!D775</f>
        <v>Non-Agent Related Enrollment &amp; Activation</v>
      </c>
      <c r="E775" s="9" t="str">
        <f>fact_kpi_weekly!E775</f>
        <v>Goal</v>
      </c>
      <c r="F775" s="9" t="str">
        <f>IF(fact_kpi_weekly!F775="","",fact_kpi_weekly!F775)</f>
        <v/>
      </c>
      <c r="G775" s="9" t="str">
        <f>fact_kpi_weekly!G775</f>
        <v>N/A</v>
      </c>
      <c r="H775" s="9" t="str">
        <f>fact_kpi_weekly!H775</f>
        <v>Luke</v>
      </c>
      <c r="I775" s="9">
        <f>fact_kpi_weekly!I775</f>
        <v>0.11</v>
      </c>
      <c r="J775" s="22">
        <f>fact_kpi_weekly!J775</f>
        <v>0.11</v>
      </c>
      <c r="K775" s="20" t="str">
        <f t="array" ref="K775">IFERROR(INDEX(dim_date!H:H,MATCH(A775,dim_date!A:A,0)),"")</f>
        <v>Jul</v>
      </c>
      <c r="L775" s="20" t="str">
        <f t="array" ref="L775">IFERROR(INDEX(dim_date!G:G,MATCH(A775,dim_date!A:A,0)),"")</f>
        <v>07</v>
      </c>
      <c r="M775" s="9" t="str">
        <f t="array" ref="M775">IFERROR(INDEX(dim_date!I:I,MATCH(A775,dim_date!A:A,0)),"")</f>
        <v>Q3</v>
      </c>
      <c r="N775" s="20" t="str">
        <f t="array" ref="N775">IFERROR(INDEX(dim_date!K:K,MATCH(A775,dim_date!A:A,0)),"")</f>
        <v>29</v>
      </c>
      <c r="O775" s="9" t="str">
        <f t="array" ref="O775">IFERROR(INDEX(dim_date!F:F,MATCH(A775,dim_date!A:A,0)),"")</f>
        <v>7/12-7/18</v>
      </c>
      <c r="P775" s="9" t="str">
        <f t="array" ref="P775">IFERROR(INDEX(dim_kpi!E:E,MATCH(D775,dim_kpi!C:C,0)),"")</f>
        <v>%</v>
      </c>
      <c r="Q775" s="9" t="str">
        <f t="array" ref="Q775">IFERROR(INDEX(dim_kpi!F:F,MATCH(D775,dim_kpi!C:C,0)),"")</f>
        <v>N</v>
      </c>
    </row>
    <row r="776" ht="12.75" customHeight="1">
      <c r="A776" s="20" t="str">
        <f>fact_kpi_weekly!A776</f>
        <v>260719</v>
      </c>
      <c r="B776" s="21">
        <f>fact_kpi_weekly!B776</f>
        <v>46222</v>
      </c>
      <c r="C776" s="9" t="str">
        <f>fact_kpi_weekly!C776</f>
        <v>Growth</v>
      </c>
      <c r="D776" s="9" t="str">
        <f>fact_kpi_weekly!D776</f>
        <v>Non-Agent Related Enrollment &amp; Activation</v>
      </c>
      <c r="E776" s="9" t="str">
        <f>fact_kpi_weekly!E776</f>
        <v>Goal</v>
      </c>
      <c r="F776" s="9" t="str">
        <f>IF(fact_kpi_weekly!F776="","",fact_kpi_weekly!F776)</f>
        <v/>
      </c>
      <c r="G776" s="9" t="str">
        <f>fact_kpi_weekly!G776</f>
        <v>N/A</v>
      </c>
      <c r="H776" s="9" t="str">
        <f>fact_kpi_weekly!H776</f>
        <v>Luke</v>
      </c>
      <c r="I776" s="9">
        <f>fact_kpi_weekly!I776</f>
        <v>0.11</v>
      </c>
      <c r="J776" s="22">
        <f>fact_kpi_weekly!J776</f>
        <v>0.11</v>
      </c>
      <c r="K776" s="20" t="str">
        <f t="array" ref="K776">IFERROR(INDEX(dim_date!H:H,MATCH(A776,dim_date!A:A,0)),"")</f>
        <v>Jul</v>
      </c>
      <c r="L776" s="20" t="str">
        <f t="array" ref="L776">IFERROR(INDEX(dim_date!G:G,MATCH(A776,dim_date!A:A,0)),"")</f>
        <v>07</v>
      </c>
      <c r="M776" s="9" t="str">
        <f t="array" ref="M776">IFERROR(INDEX(dim_date!I:I,MATCH(A776,dim_date!A:A,0)),"")</f>
        <v>Q3</v>
      </c>
      <c r="N776" s="20" t="str">
        <f t="array" ref="N776">IFERROR(INDEX(dim_date!K:K,MATCH(A776,dim_date!A:A,0)),"")</f>
        <v>30</v>
      </c>
      <c r="O776" s="9" t="str">
        <f t="array" ref="O776">IFERROR(INDEX(dim_date!F:F,MATCH(A776,dim_date!A:A,0)),"")</f>
        <v>7/19-7/25</v>
      </c>
      <c r="P776" s="9" t="str">
        <f t="array" ref="P776">IFERROR(INDEX(dim_kpi!E:E,MATCH(D776,dim_kpi!C:C,0)),"")</f>
        <v>%</v>
      </c>
      <c r="Q776" s="9" t="str">
        <f t="array" ref="Q776">IFERROR(INDEX(dim_kpi!F:F,MATCH(D776,dim_kpi!C:C,0)),"")</f>
        <v>N</v>
      </c>
    </row>
    <row r="777" ht="12.75" customHeight="1">
      <c r="A777" s="20" t="str">
        <f>fact_kpi_weekly!A777</f>
        <v>260726</v>
      </c>
      <c r="B777" s="21">
        <f>fact_kpi_weekly!B777</f>
        <v>46229</v>
      </c>
      <c r="C777" s="9" t="str">
        <f>fact_kpi_weekly!C777</f>
        <v>Growth</v>
      </c>
      <c r="D777" s="9" t="str">
        <f>fact_kpi_weekly!D777</f>
        <v>Non-Agent Related Enrollment &amp; Activation</v>
      </c>
      <c r="E777" s="9" t="str">
        <f>fact_kpi_weekly!E777</f>
        <v>Goal</v>
      </c>
      <c r="F777" s="9" t="str">
        <f>IF(fact_kpi_weekly!F777="","",fact_kpi_weekly!F777)</f>
        <v/>
      </c>
      <c r="G777" s="9" t="str">
        <f>fact_kpi_weekly!G777</f>
        <v>N/A</v>
      </c>
      <c r="H777" s="9" t="str">
        <f>fact_kpi_weekly!H777</f>
        <v>Luke</v>
      </c>
      <c r="I777" s="9">
        <f>fact_kpi_weekly!I777</f>
        <v>0.11</v>
      </c>
      <c r="J777" s="22">
        <f>fact_kpi_weekly!J777</f>
        <v>0.11</v>
      </c>
      <c r="K777" s="20" t="str">
        <f t="array" ref="K777">IFERROR(INDEX(dim_date!H:H,MATCH(A777,dim_date!A:A,0)),"")</f>
        <v>Jul</v>
      </c>
      <c r="L777" s="20" t="str">
        <f t="array" ref="L777">IFERROR(INDEX(dim_date!G:G,MATCH(A777,dim_date!A:A,0)),"")</f>
        <v>07</v>
      </c>
      <c r="M777" s="9" t="str">
        <f t="array" ref="M777">IFERROR(INDEX(dim_date!I:I,MATCH(A777,dim_date!A:A,0)),"")</f>
        <v>Q3</v>
      </c>
      <c r="N777" s="20" t="str">
        <f t="array" ref="N777">IFERROR(INDEX(dim_date!K:K,MATCH(A777,dim_date!A:A,0)),"")</f>
        <v>31</v>
      </c>
      <c r="O777" s="9" t="str">
        <f t="array" ref="O777">IFERROR(INDEX(dim_date!F:F,MATCH(A777,dim_date!A:A,0)),"")</f>
        <v>7/26-8/1</v>
      </c>
      <c r="P777" s="9" t="str">
        <f t="array" ref="P777">IFERROR(INDEX(dim_kpi!E:E,MATCH(D777,dim_kpi!C:C,0)),"")</f>
        <v>%</v>
      </c>
      <c r="Q777" s="9" t="str">
        <f t="array" ref="Q777">IFERROR(INDEX(dim_kpi!F:F,MATCH(D777,dim_kpi!C:C,0)),"")</f>
        <v>N</v>
      </c>
    </row>
    <row r="778" ht="12.75" customHeight="1">
      <c r="A778" s="20" t="str">
        <f>fact_kpi_weekly!A778</f>
        <v>260802</v>
      </c>
      <c r="B778" s="21">
        <f>fact_kpi_weekly!B778</f>
        <v>46236</v>
      </c>
      <c r="C778" s="9" t="str">
        <f>fact_kpi_weekly!C778</f>
        <v>Growth</v>
      </c>
      <c r="D778" s="9" t="str">
        <f>fact_kpi_weekly!D778</f>
        <v>Non-Agent Related Enrollment &amp; Activation</v>
      </c>
      <c r="E778" s="9" t="str">
        <f>fact_kpi_weekly!E778</f>
        <v>Goal</v>
      </c>
      <c r="F778" s="9" t="str">
        <f>IF(fact_kpi_weekly!F778="","",fact_kpi_weekly!F778)</f>
        <v/>
      </c>
      <c r="G778" s="9" t="str">
        <f>fact_kpi_weekly!G778</f>
        <v>N/A</v>
      </c>
      <c r="H778" s="9" t="str">
        <f>fact_kpi_weekly!H778</f>
        <v>Luke</v>
      </c>
      <c r="I778" s="9">
        <f>fact_kpi_weekly!I778</f>
        <v>0.11</v>
      </c>
      <c r="J778" s="22">
        <f>fact_kpi_weekly!J778</f>
        <v>0.11</v>
      </c>
      <c r="K778" s="20" t="str">
        <f t="array" ref="K778">IFERROR(INDEX(dim_date!H:H,MATCH(A778,dim_date!A:A,0)),"")</f>
        <v>Aug</v>
      </c>
      <c r="L778" s="20" t="str">
        <f t="array" ref="L778">IFERROR(INDEX(dim_date!G:G,MATCH(A778,dim_date!A:A,0)),"")</f>
        <v>08</v>
      </c>
      <c r="M778" s="9" t="str">
        <f t="array" ref="M778">IFERROR(INDEX(dim_date!I:I,MATCH(A778,dim_date!A:A,0)),"")</f>
        <v>Q3</v>
      </c>
      <c r="N778" s="20" t="str">
        <f t="array" ref="N778">IFERROR(INDEX(dim_date!K:K,MATCH(A778,dim_date!A:A,0)),"")</f>
        <v>32</v>
      </c>
      <c r="O778" s="9" t="str">
        <f t="array" ref="O778">IFERROR(INDEX(dim_date!F:F,MATCH(A778,dim_date!A:A,0)),"")</f>
        <v>8/2-8/8</v>
      </c>
      <c r="P778" s="9" t="str">
        <f t="array" ref="P778">IFERROR(INDEX(dim_kpi!E:E,MATCH(D778,dim_kpi!C:C,0)),"")</f>
        <v>%</v>
      </c>
      <c r="Q778" s="9" t="str">
        <f t="array" ref="Q778">IFERROR(INDEX(dim_kpi!F:F,MATCH(D778,dim_kpi!C:C,0)),"")</f>
        <v>N</v>
      </c>
    </row>
    <row r="779" ht="12.75" customHeight="1">
      <c r="A779" s="20" t="str">
        <f>fact_kpi_weekly!A779</f>
        <v>260809</v>
      </c>
      <c r="B779" s="21">
        <f>fact_kpi_weekly!B779</f>
        <v>46243</v>
      </c>
      <c r="C779" s="9" t="str">
        <f>fact_kpi_weekly!C779</f>
        <v>Growth</v>
      </c>
      <c r="D779" s="9" t="str">
        <f>fact_kpi_weekly!D779</f>
        <v>Non-Agent Related Enrollment &amp; Activation</v>
      </c>
      <c r="E779" s="9" t="str">
        <f>fact_kpi_weekly!E779</f>
        <v>Goal</v>
      </c>
      <c r="F779" s="9" t="str">
        <f>IF(fact_kpi_weekly!F779="","",fact_kpi_weekly!F779)</f>
        <v/>
      </c>
      <c r="G779" s="9" t="str">
        <f>fact_kpi_weekly!G779</f>
        <v>N/A</v>
      </c>
      <c r="H779" s="9" t="str">
        <f>fact_kpi_weekly!H779</f>
        <v>Luke</v>
      </c>
      <c r="I779" s="9">
        <f>fact_kpi_weekly!I779</f>
        <v>0.11</v>
      </c>
      <c r="J779" s="22">
        <f>fact_kpi_weekly!J779</f>
        <v>0.11</v>
      </c>
      <c r="K779" s="20" t="str">
        <f t="array" ref="K779">IFERROR(INDEX(dim_date!H:H,MATCH(A779,dim_date!A:A,0)),"")</f>
        <v>Aug</v>
      </c>
      <c r="L779" s="20" t="str">
        <f t="array" ref="L779">IFERROR(INDEX(dim_date!G:G,MATCH(A779,dim_date!A:A,0)),"")</f>
        <v>08</v>
      </c>
      <c r="M779" s="9" t="str">
        <f t="array" ref="M779">IFERROR(INDEX(dim_date!I:I,MATCH(A779,dim_date!A:A,0)),"")</f>
        <v>Q3</v>
      </c>
      <c r="N779" s="20" t="str">
        <f t="array" ref="N779">IFERROR(INDEX(dim_date!K:K,MATCH(A779,dim_date!A:A,0)),"")</f>
        <v>33</v>
      </c>
      <c r="O779" s="9" t="str">
        <f t="array" ref="O779">IFERROR(INDEX(dim_date!F:F,MATCH(A779,dim_date!A:A,0)),"")</f>
        <v>8/9-8/15</v>
      </c>
      <c r="P779" s="9" t="str">
        <f t="array" ref="P779">IFERROR(INDEX(dim_kpi!E:E,MATCH(D779,dim_kpi!C:C,0)),"")</f>
        <v>%</v>
      </c>
      <c r="Q779" s="9" t="str">
        <f t="array" ref="Q779">IFERROR(INDEX(dim_kpi!F:F,MATCH(D779,dim_kpi!C:C,0)),"")</f>
        <v>N</v>
      </c>
    </row>
    <row r="780" ht="12.75" customHeight="1">
      <c r="A780" s="20" t="str">
        <f>fact_kpi_weekly!A780</f>
        <v>260816</v>
      </c>
      <c r="B780" s="21">
        <f>fact_kpi_weekly!B780</f>
        <v>46250</v>
      </c>
      <c r="C780" s="9" t="str">
        <f>fact_kpi_weekly!C780</f>
        <v>Growth</v>
      </c>
      <c r="D780" s="9" t="str">
        <f>fact_kpi_weekly!D780</f>
        <v>Non-Agent Related Enrollment &amp; Activation</v>
      </c>
      <c r="E780" s="9" t="str">
        <f>fact_kpi_weekly!E780</f>
        <v>Goal</v>
      </c>
      <c r="F780" s="9" t="str">
        <f>IF(fact_kpi_weekly!F780="","",fact_kpi_weekly!F780)</f>
        <v/>
      </c>
      <c r="G780" s="9" t="str">
        <f>fact_kpi_weekly!G780</f>
        <v>N/A</v>
      </c>
      <c r="H780" s="9" t="str">
        <f>fact_kpi_weekly!H780</f>
        <v>Luke</v>
      </c>
      <c r="I780" s="9">
        <f>fact_kpi_weekly!I780</f>
        <v>0.11</v>
      </c>
      <c r="J780" s="22">
        <f>fact_kpi_weekly!J780</f>
        <v>0.11</v>
      </c>
      <c r="K780" s="20" t="str">
        <f t="array" ref="K780">IFERROR(INDEX(dim_date!H:H,MATCH(A780,dim_date!A:A,0)),"")</f>
        <v>Aug</v>
      </c>
      <c r="L780" s="20" t="str">
        <f t="array" ref="L780">IFERROR(INDEX(dim_date!G:G,MATCH(A780,dim_date!A:A,0)),"")</f>
        <v>08</v>
      </c>
      <c r="M780" s="9" t="str">
        <f t="array" ref="M780">IFERROR(INDEX(dim_date!I:I,MATCH(A780,dim_date!A:A,0)),"")</f>
        <v>Q3</v>
      </c>
      <c r="N780" s="20" t="str">
        <f t="array" ref="N780">IFERROR(INDEX(dim_date!K:K,MATCH(A780,dim_date!A:A,0)),"")</f>
        <v>34</v>
      </c>
      <c r="O780" s="9" t="str">
        <f t="array" ref="O780">IFERROR(INDEX(dim_date!F:F,MATCH(A780,dim_date!A:A,0)),"")</f>
        <v>8/16-8/22</v>
      </c>
      <c r="P780" s="9" t="str">
        <f t="array" ref="P780">IFERROR(INDEX(dim_kpi!E:E,MATCH(D780,dim_kpi!C:C,0)),"")</f>
        <v>%</v>
      </c>
      <c r="Q780" s="9" t="str">
        <f t="array" ref="Q780">IFERROR(INDEX(dim_kpi!F:F,MATCH(D780,dim_kpi!C:C,0)),"")</f>
        <v>N</v>
      </c>
    </row>
    <row r="781" ht="12.75" customHeight="1">
      <c r="A781" s="20" t="str">
        <f>fact_kpi_weekly!A781</f>
        <v>260823</v>
      </c>
      <c r="B781" s="21">
        <f>fact_kpi_weekly!B781</f>
        <v>46257</v>
      </c>
      <c r="C781" s="9" t="str">
        <f>fact_kpi_weekly!C781</f>
        <v>Growth</v>
      </c>
      <c r="D781" s="9" t="str">
        <f>fact_kpi_weekly!D781</f>
        <v>Non-Agent Related Enrollment &amp; Activation</v>
      </c>
      <c r="E781" s="9" t="str">
        <f>fact_kpi_weekly!E781</f>
        <v>Goal</v>
      </c>
      <c r="F781" s="9" t="str">
        <f>IF(fact_kpi_weekly!F781="","",fact_kpi_weekly!F781)</f>
        <v/>
      </c>
      <c r="G781" s="9" t="str">
        <f>fact_kpi_weekly!G781</f>
        <v>N/A</v>
      </c>
      <c r="H781" s="9" t="str">
        <f>fact_kpi_weekly!H781</f>
        <v>Luke</v>
      </c>
      <c r="I781" s="9">
        <f>fact_kpi_weekly!I781</f>
        <v>0.11</v>
      </c>
      <c r="J781" s="22">
        <f>fact_kpi_weekly!J781</f>
        <v>0.11</v>
      </c>
      <c r="K781" s="20" t="str">
        <f t="array" ref="K781">IFERROR(INDEX(dim_date!H:H,MATCH(A781,dim_date!A:A,0)),"")</f>
        <v>Aug</v>
      </c>
      <c r="L781" s="20" t="str">
        <f t="array" ref="L781">IFERROR(INDEX(dim_date!G:G,MATCH(A781,dim_date!A:A,0)),"")</f>
        <v>08</v>
      </c>
      <c r="M781" s="9" t="str">
        <f t="array" ref="M781">IFERROR(INDEX(dim_date!I:I,MATCH(A781,dim_date!A:A,0)),"")</f>
        <v>Q3</v>
      </c>
      <c r="N781" s="20" t="str">
        <f t="array" ref="N781">IFERROR(INDEX(dim_date!K:K,MATCH(A781,dim_date!A:A,0)),"")</f>
        <v>35</v>
      </c>
      <c r="O781" s="9" t="str">
        <f t="array" ref="O781">IFERROR(INDEX(dim_date!F:F,MATCH(A781,dim_date!A:A,0)),"")</f>
        <v>8/23-8/29</v>
      </c>
      <c r="P781" s="9" t="str">
        <f t="array" ref="P781">IFERROR(INDEX(dim_kpi!E:E,MATCH(D781,dim_kpi!C:C,0)),"")</f>
        <v>%</v>
      </c>
      <c r="Q781" s="9" t="str">
        <f t="array" ref="Q781">IFERROR(INDEX(dim_kpi!F:F,MATCH(D781,dim_kpi!C:C,0)),"")</f>
        <v>N</v>
      </c>
    </row>
    <row r="782" ht="12.75" customHeight="1">
      <c r="A782" s="20" t="str">
        <f>fact_kpi_weekly!A782</f>
        <v>260830</v>
      </c>
      <c r="B782" s="21">
        <f>fact_kpi_weekly!B782</f>
        <v>46264</v>
      </c>
      <c r="C782" s="9" t="str">
        <f>fact_kpi_weekly!C782</f>
        <v>Growth</v>
      </c>
      <c r="D782" s="9" t="str">
        <f>fact_kpi_weekly!D782</f>
        <v>Non-Agent Related Enrollment &amp; Activation</v>
      </c>
      <c r="E782" s="9" t="str">
        <f>fact_kpi_weekly!E782</f>
        <v>Goal</v>
      </c>
      <c r="F782" s="9" t="str">
        <f>IF(fact_kpi_weekly!F782="","",fact_kpi_weekly!F782)</f>
        <v/>
      </c>
      <c r="G782" s="9" t="str">
        <f>fact_kpi_weekly!G782</f>
        <v>N/A</v>
      </c>
      <c r="H782" s="9" t="str">
        <f>fact_kpi_weekly!H782</f>
        <v>Luke</v>
      </c>
      <c r="I782" s="9">
        <f>fact_kpi_weekly!I782</f>
        <v>0.12</v>
      </c>
      <c r="J782" s="22">
        <f>fact_kpi_weekly!J782</f>
        <v>0.12</v>
      </c>
      <c r="K782" s="20" t="str">
        <f t="array" ref="K782">IFERROR(INDEX(dim_date!H:H,MATCH(A782,dim_date!A:A,0)),"")</f>
        <v>Aug</v>
      </c>
      <c r="L782" s="20" t="str">
        <f t="array" ref="L782">IFERROR(INDEX(dim_date!G:G,MATCH(A782,dim_date!A:A,0)),"")</f>
        <v>08</v>
      </c>
      <c r="M782" s="9" t="str">
        <f t="array" ref="M782">IFERROR(INDEX(dim_date!I:I,MATCH(A782,dim_date!A:A,0)),"")</f>
        <v>Q3</v>
      </c>
      <c r="N782" s="20" t="str">
        <f t="array" ref="N782">IFERROR(INDEX(dim_date!K:K,MATCH(A782,dim_date!A:A,0)),"")</f>
        <v>36</v>
      </c>
      <c r="O782" s="9" t="str">
        <f t="array" ref="O782">IFERROR(INDEX(dim_date!F:F,MATCH(A782,dim_date!A:A,0)),"")</f>
        <v>8/30-9/5</v>
      </c>
      <c r="P782" s="9" t="str">
        <f t="array" ref="P782">IFERROR(INDEX(dim_kpi!E:E,MATCH(D782,dim_kpi!C:C,0)),"")</f>
        <v>%</v>
      </c>
      <c r="Q782" s="9" t="str">
        <f t="array" ref="Q782">IFERROR(INDEX(dim_kpi!F:F,MATCH(D782,dim_kpi!C:C,0)),"")</f>
        <v>N</v>
      </c>
    </row>
    <row r="783" ht="12.75" customHeight="1">
      <c r="A783" s="20" t="str">
        <f>fact_kpi_weekly!A783</f>
        <v>260906</v>
      </c>
      <c r="B783" s="21">
        <f>fact_kpi_weekly!B783</f>
        <v>46271</v>
      </c>
      <c r="C783" s="9" t="str">
        <f>fact_kpi_weekly!C783</f>
        <v>Growth</v>
      </c>
      <c r="D783" s="9" t="str">
        <f>fact_kpi_weekly!D783</f>
        <v>Non-Agent Related Enrollment &amp; Activation</v>
      </c>
      <c r="E783" s="9" t="str">
        <f>fact_kpi_weekly!E783</f>
        <v>Goal</v>
      </c>
      <c r="F783" s="9" t="str">
        <f>IF(fact_kpi_weekly!F783="","",fact_kpi_weekly!F783)</f>
        <v/>
      </c>
      <c r="G783" s="9" t="str">
        <f>fact_kpi_weekly!G783</f>
        <v>N/A</v>
      </c>
      <c r="H783" s="9" t="str">
        <f>fact_kpi_weekly!H783</f>
        <v>Luke</v>
      </c>
      <c r="I783" s="9">
        <f>fact_kpi_weekly!I783</f>
        <v>0.12</v>
      </c>
      <c r="J783" s="22">
        <f>fact_kpi_weekly!J783</f>
        <v>0.12</v>
      </c>
      <c r="K783" s="20" t="str">
        <f t="array" ref="K783">IFERROR(INDEX(dim_date!H:H,MATCH(A783,dim_date!A:A,0)),"")</f>
        <v>Sep</v>
      </c>
      <c r="L783" s="20" t="str">
        <f t="array" ref="L783">IFERROR(INDEX(dim_date!G:G,MATCH(A783,dim_date!A:A,0)),"")</f>
        <v>09</v>
      </c>
      <c r="M783" s="9" t="str">
        <f t="array" ref="M783">IFERROR(INDEX(dim_date!I:I,MATCH(A783,dim_date!A:A,0)),"")</f>
        <v>Q3</v>
      </c>
      <c r="N783" s="20" t="str">
        <f t="array" ref="N783">IFERROR(INDEX(dim_date!K:K,MATCH(A783,dim_date!A:A,0)),"")</f>
        <v>37</v>
      </c>
      <c r="O783" s="9" t="str">
        <f t="array" ref="O783">IFERROR(INDEX(dim_date!F:F,MATCH(A783,dim_date!A:A,0)),"")</f>
        <v>9/6-9/12</v>
      </c>
      <c r="P783" s="9" t="str">
        <f t="array" ref="P783">IFERROR(INDEX(dim_kpi!E:E,MATCH(D783,dim_kpi!C:C,0)),"")</f>
        <v>%</v>
      </c>
      <c r="Q783" s="9" t="str">
        <f t="array" ref="Q783">IFERROR(INDEX(dim_kpi!F:F,MATCH(D783,dim_kpi!C:C,0)),"")</f>
        <v>N</v>
      </c>
    </row>
    <row r="784" ht="12.75" customHeight="1">
      <c r="A784" s="20" t="str">
        <f>fact_kpi_weekly!A784</f>
        <v>260913</v>
      </c>
      <c r="B784" s="21">
        <f>fact_kpi_weekly!B784</f>
        <v>46278</v>
      </c>
      <c r="C784" s="9" t="str">
        <f>fact_kpi_weekly!C784</f>
        <v>Growth</v>
      </c>
      <c r="D784" s="9" t="str">
        <f>fact_kpi_weekly!D784</f>
        <v>Non-Agent Related Enrollment &amp; Activation</v>
      </c>
      <c r="E784" s="9" t="str">
        <f>fact_kpi_weekly!E784</f>
        <v>Goal</v>
      </c>
      <c r="F784" s="9" t="str">
        <f>IF(fact_kpi_weekly!F784="","",fact_kpi_weekly!F784)</f>
        <v/>
      </c>
      <c r="G784" s="9" t="str">
        <f>fact_kpi_weekly!G784</f>
        <v>N/A</v>
      </c>
      <c r="H784" s="9" t="str">
        <f>fact_kpi_weekly!H784</f>
        <v>Luke</v>
      </c>
      <c r="I784" s="9">
        <f>fact_kpi_weekly!I784</f>
        <v>0.12</v>
      </c>
      <c r="J784" s="22">
        <f>fact_kpi_weekly!J784</f>
        <v>0.12</v>
      </c>
      <c r="K784" s="20" t="str">
        <f t="array" ref="K784">IFERROR(INDEX(dim_date!H:H,MATCH(A784,dim_date!A:A,0)),"")</f>
        <v>Sep</v>
      </c>
      <c r="L784" s="20" t="str">
        <f t="array" ref="L784">IFERROR(INDEX(dim_date!G:G,MATCH(A784,dim_date!A:A,0)),"")</f>
        <v>09</v>
      </c>
      <c r="M784" s="9" t="str">
        <f t="array" ref="M784">IFERROR(INDEX(dim_date!I:I,MATCH(A784,dim_date!A:A,0)),"")</f>
        <v>Q3</v>
      </c>
      <c r="N784" s="20" t="str">
        <f t="array" ref="N784">IFERROR(INDEX(dim_date!K:K,MATCH(A784,dim_date!A:A,0)),"")</f>
        <v>38</v>
      </c>
      <c r="O784" s="9" t="str">
        <f t="array" ref="O784">IFERROR(INDEX(dim_date!F:F,MATCH(A784,dim_date!A:A,0)),"")</f>
        <v>9/13-9/19</v>
      </c>
      <c r="P784" s="9" t="str">
        <f t="array" ref="P784">IFERROR(INDEX(dim_kpi!E:E,MATCH(D784,dim_kpi!C:C,0)),"")</f>
        <v>%</v>
      </c>
      <c r="Q784" s="9" t="str">
        <f t="array" ref="Q784">IFERROR(INDEX(dim_kpi!F:F,MATCH(D784,dim_kpi!C:C,0)),"")</f>
        <v>N</v>
      </c>
    </row>
    <row r="785" ht="12.75" customHeight="1">
      <c r="A785" s="20" t="str">
        <f>fact_kpi_weekly!A785</f>
        <v>260920</v>
      </c>
      <c r="B785" s="21">
        <f>fact_kpi_weekly!B785</f>
        <v>46285</v>
      </c>
      <c r="C785" s="9" t="str">
        <f>fact_kpi_weekly!C785</f>
        <v>Growth</v>
      </c>
      <c r="D785" s="9" t="str">
        <f>fact_kpi_weekly!D785</f>
        <v>Non-Agent Related Enrollment &amp; Activation</v>
      </c>
      <c r="E785" s="9" t="str">
        <f>fact_kpi_weekly!E785</f>
        <v>Goal</v>
      </c>
      <c r="F785" s="9" t="str">
        <f>IF(fact_kpi_weekly!F785="","",fact_kpi_weekly!F785)</f>
        <v/>
      </c>
      <c r="G785" s="9" t="str">
        <f>fact_kpi_weekly!G785</f>
        <v>N/A</v>
      </c>
      <c r="H785" s="9" t="str">
        <f>fact_kpi_weekly!H785</f>
        <v>Luke</v>
      </c>
      <c r="I785" s="9">
        <f>fact_kpi_weekly!I785</f>
        <v>0.12</v>
      </c>
      <c r="J785" s="22">
        <f>fact_kpi_weekly!J785</f>
        <v>0.12</v>
      </c>
      <c r="K785" s="20" t="str">
        <f t="array" ref="K785">IFERROR(INDEX(dim_date!H:H,MATCH(A785,dim_date!A:A,0)),"")</f>
        <v>Sep</v>
      </c>
      <c r="L785" s="20" t="str">
        <f t="array" ref="L785">IFERROR(INDEX(dim_date!G:G,MATCH(A785,dim_date!A:A,0)),"")</f>
        <v>09</v>
      </c>
      <c r="M785" s="9" t="str">
        <f t="array" ref="M785">IFERROR(INDEX(dim_date!I:I,MATCH(A785,dim_date!A:A,0)),"")</f>
        <v>Q3</v>
      </c>
      <c r="N785" s="20" t="str">
        <f t="array" ref="N785">IFERROR(INDEX(dim_date!K:K,MATCH(A785,dim_date!A:A,0)),"")</f>
        <v>39</v>
      </c>
      <c r="O785" s="9" t="str">
        <f t="array" ref="O785">IFERROR(INDEX(dim_date!F:F,MATCH(A785,dim_date!A:A,0)),"")</f>
        <v>9/20-9/26</v>
      </c>
      <c r="P785" s="9" t="str">
        <f t="array" ref="P785">IFERROR(INDEX(dim_kpi!E:E,MATCH(D785,dim_kpi!C:C,0)),"")</f>
        <v>%</v>
      </c>
      <c r="Q785" s="9" t="str">
        <f t="array" ref="Q785">IFERROR(INDEX(dim_kpi!F:F,MATCH(D785,dim_kpi!C:C,0)),"")</f>
        <v>N</v>
      </c>
    </row>
    <row r="786" ht="12.75" customHeight="1">
      <c r="A786" s="20" t="str">
        <f>fact_kpi_weekly!A786</f>
        <v>260927</v>
      </c>
      <c r="B786" s="21">
        <f>fact_kpi_weekly!B786</f>
        <v>46292</v>
      </c>
      <c r="C786" s="9" t="str">
        <f>fact_kpi_weekly!C786</f>
        <v>Growth</v>
      </c>
      <c r="D786" s="9" t="str">
        <f>fact_kpi_weekly!D786</f>
        <v>Non-Agent Related Enrollment &amp; Activation</v>
      </c>
      <c r="E786" s="9" t="str">
        <f>fact_kpi_weekly!E786</f>
        <v>Goal</v>
      </c>
      <c r="F786" s="9" t="str">
        <f>IF(fact_kpi_weekly!F786="","",fact_kpi_weekly!F786)</f>
        <v/>
      </c>
      <c r="G786" s="9" t="str">
        <f>fact_kpi_weekly!G786</f>
        <v>N/A</v>
      </c>
      <c r="H786" s="9" t="str">
        <f>fact_kpi_weekly!H786</f>
        <v>Luke</v>
      </c>
      <c r="I786" s="9">
        <f>fact_kpi_weekly!I786</f>
        <v>0.12</v>
      </c>
      <c r="J786" s="22">
        <f>fact_kpi_weekly!J786</f>
        <v>0.12</v>
      </c>
      <c r="K786" s="20" t="str">
        <f t="array" ref="K786">IFERROR(INDEX(dim_date!H:H,MATCH(A786,dim_date!A:A,0)),"")</f>
        <v>Sep</v>
      </c>
      <c r="L786" s="20" t="str">
        <f t="array" ref="L786">IFERROR(INDEX(dim_date!G:G,MATCH(A786,dim_date!A:A,0)),"")</f>
        <v>09</v>
      </c>
      <c r="M786" s="9" t="str">
        <f t="array" ref="M786">IFERROR(INDEX(dim_date!I:I,MATCH(A786,dim_date!A:A,0)),"")</f>
        <v>Q3</v>
      </c>
      <c r="N786" s="20" t="str">
        <f t="array" ref="N786">IFERROR(INDEX(dim_date!K:K,MATCH(A786,dim_date!A:A,0)),"")</f>
        <v>40</v>
      </c>
      <c r="O786" s="9" t="str">
        <f t="array" ref="O786">IFERROR(INDEX(dim_date!F:F,MATCH(A786,dim_date!A:A,0)),"")</f>
        <v>9/27-10/3</v>
      </c>
      <c r="P786" s="9" t="str">
        <f t="array" ref="P786">IFERROR(INDEX(dim_kpi!E:E,MATCH(D786,dim_kpi!C:C,0)),"")</f>
        <v>%</v>
      </c>
      <c r="Q786" s="9" t="str">
        <f t="array" ref="Q786">IFERROR(INDEX(dim_kpi!F:F,MATCH(D786,dim_kpi!C:C,0)),"")</f>
        <v>N</v>
      </c>
    </row>
    <row r="787" ht="12.75" customHeight="1">
      <c r="A787" s="20" t="str">
        <f>fact_kpi_weekly!A787</f>
        <v>261004</v>
      </c>
      <c r="B787" s="21">
        <f>fact_kpi_weekly!B787</f>
        <v>46299</v>
      </c>
      <c r="C787" s="9" t="str">
        <f>fact_kpi_weekly!C787</f>
        <v>Growth</v>
      </c>
      <c r="D787" s="9" t="str">
        <f>fact_kpi_weekly!D787</f>
        <v>Non-Agent Related Enrollment &amp; Activation</v>
      </c>
      <c r="E787" s="9" t="str">
        <f>fact_kpi_weekly!E787</f>
        <v>Goal</v>
      </c>
      <c r="F787" s="9" t="str">
        <f>IF(fact_kpi_weekly!F787="","",fact_kpi_weekly!F787)</f>
        <v/>
      </c>
      <c r="G787" s="9" t="str">
        <f>fact_kpi_weekly!G787</f>
        <v>N/A</v>
      </c>
      <c r="H787" s="9" t="str">
        <f>fact_kpi_weekly!H787</f>
        <v>Luke</v>
      </c>
      <c r="I787" s="9">
        <f>fact_kpi_weekly!I787</f>
        <v>0.12</v>
      </c>
      <c r="J787" s="22">
        <f>fact_kpi_weekly!J787</f>
        <v>0.12</v>
      </c>
      <c r="K787" s="20" t="str">
        <f t="array" ref="K787">IFERROR(INDEX(dim_date!H:H,MATCH(A787,dim_date!A:A,0)),"")</f>
        <v>Oct</v>
      </c>
      <c r="L787" s="20" t="str">
        <f t="array" ref="L787">IFERROR(INDEX(dim_date!G:G,MATCH(A787,dim_date!A:A,0)),"")</f>
        <v>10</v>
      </c>
      <c r="M787" s="9" t="str">
        <f t="array" ref="M787">IFERROR(INDEX(dim_date!I:I,MATCH(A787,dim_date!A:A,0)),"")</f>
        <v>Q4</v>
      </c>
      <c r="N787" s="20" t="str">
        <f t="array" ref="N787">IFERROR(INDEX(dim_date!K:K,MATCH(A787,dim_date!A:A,0)),"")</f>
        <v>41</v>
      </c>
      <c r="O787" s="9" t="str">
        <f t="array" ref="O787">IFERROR(INDEX(dim_date!F:F,MATCH(A787,dim_date!A:A,0)),"")</f>
        <v>10/4-10/10</v>
      </c>
      <c r="P787" s="9" t="str">
        <f t="array" ref="P787">IFERROR(INDEX(dim_kpi!E:E,MATCH(D787,dim_kpi!C:C,0)),"")</f>
        <v>%</v>
      </c>
      <c r="Q787" s="9" t="str">
        <f t="array" ref="Q787">IFERROR(INDEX(dim_kpi!F:F,MATCH(D787,dim_kpi!C:C,0)),"")</f>
        <v>N</v>
      </c>
    </row>
    <row r="788" ht="12.75" customHeight="1">
      <c r="A788" s="20" t="str">
        <f>fact_kpi_weekly!A788</f>
        <v>261011</v>
      </c>
      <c r="B788" s="21">
        <f>fact_kpi_weekly!B788</f>
        <v>46306</v>
      </c>
      <c r="C788" s="9" t="str">
        <f>fact_kpi_weekly!C788</f>
        <v>Growth</v>
      </c>
      <c r="D788" s="9" t="str">
        <f>fact_kpi_weekly!D788</f>
        <v>Non-Agent Related Enrollment &amp; Activation</v>
      </c>
      <c r="E788" s="9" t="str">
        <f>fact_kpi_weekly!E788</f>
        <v>Goal</v>
      </c>
      <c r="F788" s="9" t="str">
        <f>IF(fact_kpi_weekly!F788="","",fact_kpi_weekly!F788)</f>
        <v/>
      </c>
      <c r="G788" s="9" t="str">
        <f>fact_kpi_weekly!G788</f>
        <v>N/A</v>
      </c>
      <c r="H788" s="9" t="str">
        <f>fact_kpi_weekly!H788</f>
        <v>Luke</v>
      </c>
      <c r="I788" s="9">
        <f>fact_kpi_weekly!I788</f>
        <v>0.12</v>
      </c>
      <c r="J788" s="22">
        <f>fact_kpi_weekly!J788</f>
        <v>0.12</v>
      </c>
      <c r="K788" s="20" t="str">
        <f t="array" ref="K788">IFERROR(INDEX(dim_date!H:H,MATCH(A788,dim_date!A:A,0)),"")</f>
        <v>Oct</v>
      </c>
      <c r="L788" s="20" t="str">
        <f t="array" ref="L788">IFERROR(INDEX(dim_date!G:G,MATCH(A788,dim_date!A:A,0)),"")</f>
        <v>10</v>
      </c>
      <c r="M788" s="9" t="str">
        <f t="array" ref="M788">IFERROR(INDEX(dim_date!I:I,MATCH(A788,dim_date!A:A,0)),"")</f>
        <v>Q4</v>
      </c>
      <c r="N788" s="20" t="str">
        <f t="array" ref="N788">IFERROR(INDEX(dim_date!K:K,MATCH(A788,dim_date!A:A,0)),"")</f>
        <v>42</v>
      </c>
      <c r="O788" s="9" t="str">
        <f t="array" ref="O788">IFERROR(INDEX(dim_date!F:F,MATCH(A788,dim_date!A:A,0)),"")</f>
        <v>10/11-10/17</v>
      </c>
      <c r="P788" s="9" t="str">
        <f t="array" ref="P788">IFERROR(INDEX(dim_kpi!E:E,MATCH(D788,dim_kpi!C:C,0)),"")</f>
        <v>%</v>
      </c>
      <c r="Q788" s="9" t="str">
        <f t="array" ref="Q788">IFERROR(INDEX(dim_kpi!F:F,MATCH(D788,dim_kpi!C:C,0)),"")</f>
        <v>N</v>
      </c>
    </row>
    <row r="789" ht="12.75" customHeight="1">
      <c r="A789" s="20" t="str">
        <f>fact_kpi_weekly!A789</f>
        <v>261018</v>
      </c>
      <c r="B789" s="21">
        <f>fact_kpi_weekly!B789</f>
        <v>46313</v>
      </c>
      <c r="C789" s="9" t="str">
        <f>fact_kpi_weekly!C789</f>
        <v>Growth</v>
      </c>
      <c r="D789" s="9" t="str">
        <f>fact_kpi_weekly!D789</f>
        <v>Non-Agent Related Enrollment &amp; Activation</v>
      </c>
      <c r="E789" s="9" t="str">
        <f>fact_kpi_weekly!E789</f>
        <v>Goal</v>
      </c>
      <c r="F789" s="9" t="str">
        <f>IF(fact_kpi_weekly!F789="","",fact_kpi_weekly!F789)</f>
        <v/>
      </c>
      <c r="G789" s="9" t="str">
        <f>fact_kpi_weekly!G789</f>
        <v>N/A</v>
      </c>
      <c r="H789" s="9" t="str">
        <f>fact_kpi_weekly!H789</f>
        <v>Luke</v>
      </c>
      <c r="I789" s="9">
        <f>fact_kpi_weekly!I789</f>
        <v>0.12</v>
      </c>
      <c r="J789" s="22">
        <f>fact_kpi_weekly!J789</f>
        <v>0.12</v>
      </c>
      <c r="K789" s="20" t="str">
        <f t="array" ref="K789">IFERROR(INDEX(dim_date!H:H,MATCH(A789,dim_date!A:A,0)),"")</f>
        <v>Oct</v>
      </c>
      <c r="L789" s="20" t="str">
        <f t="array" ref="L789">IFERROR(INDEX(dim_date!G:G,MATCH(A789,dim_date!A:A,0)),"")</f>
        <v>10</v>
      </c>
      <c r="M789" s="9" t="str">
        <f t="array" ref="M789">IFERROR(INDEX(dim_date!I:I,MATCH(A789,dim_date!A:A,0)),"")</f>
        <v>Q4</v>
      </c>
      <c r="N789" s="20" t="str">
        <f t="array" ref="N789">IFERROR(INDEX(dim_date!K:K,MATCH(A789,dim_date!A:A,0)),"")</f>
        <v>43</v>
      </c>
      <c r="O789" s="9" t="str">
        <f t="array" ref="O789">IFERROR(INDEX(dim_date!F:F,MATCH(A789,dim_date!A:A,0)),"")</f>
        <v>10/18-10/24</v>
      </c>
      <c r="P789" s="9" t="str">
        <f t="array" ref="P789">IFERROR(INDEX(dim_kpi!E:E,MATCH(D789,dim_kpi!C:C,0)),"")</f>
        <v>%</v>
      </c>
      <c r="Q789" s="9" t="str">
        <f t="array" ref="Q789">IFERROR(INDEX(dim_kpi!F:F,MATCH(D789,dim_kpi!C:C,0)),"")</f>
        <v>N</v>
      </c>
    </row>
    <row r="790" ht="12.75" customHeight="1">
      <c r="A790" s="20" t="str">
        <f>fact_kpi_weekly!A790</f>
        <v>261025</v>
      </c>
      <c r="B790" s="21">
        <f>fact_kpi_weekly!B790</f>
        <v>46320</v>
      </c>
      <c r="C790" s="9" t="str">
        <f>fact_kpi_weekly!C790</f>
        <v>Growth</v>
      </c>
      <c r="D790" s="9" t="str">
        <f>fact_kpi_weekly!D790</f>
        <v>Non-Agent Related Enrollment &amp; Activation</v>
      </c>
      <c r="E790" s="9" t="str">
        <f>fact_kpi_weekly!E790</f>
        <v>Goal</v>
      </c>
      <c r="F790" s="9" t="str">
        <f>IF(fact_kpi_weekly!F790="","",fact_kpi_weekly!F790)</f>
        <v/>
      </c>
      <c r="G790" s="9" t="str">
        <f>fact_kpi_weekly!G790</f>
        <v>N/A</v>
      </c>
      <c r="H790" s="9" t="str">
        <f>fact_kpi_weekly!H790</f>
        <v>Luke</v>
      </c>
      <c r="I790" s="9">
        <f>fact_kpi_weekly!I790</f>
        <v>0.12</v>
      </c>
      <c r="J790" s="22">
        <f>fact_kpi_weekly!J790</f>
        <v>0.12</v>
      </c>
      <c r="K790" s="20" t="str">
        <f t="array" ref="K790">IFERROR(INDEX(dim_date!H:H,MATCH(A790,dim_date!A:A,0)),"")</f>
        <v>Oct</v>
      </c>
      <c r="L790" s="20" t="str">
        <f t="array" ref="L790">IFERROR(INDEX(dim_date!G:G,MATCH(A790,dim_date!A:A,0)),"")</f>
        <v>10</v>
      </c>
      <c r="M790" s="9" t="str">
        <f t="array" ref="M790">IFERROR(INDEX(dim_date!I:I,MATCH(A790,dim_date!A:A,0)),"")</f>
        <v>Q4</v>
      </c>
      <c r="N790" s="20" t="str">
        <f t="array" ref="N790">IFERROR(INDEX(dim_date!K:K,MATCH(A790,dim_date!A:A,0)),"")</f>
        <v>44</v>
      </c>
      <c r="O790" s="9" t="str">
        <f t="array" ref="O790">IFERROR(INDEX(dim_date!F:F,MATCH(A790,dim_date!A:A,0)),"")</f>
        <v>10/25-10/31</v>
      </c>
      <c r="P790" s="9" t="str">
        <f t="array" ref="P790">IFERROR(INDEX(dim_kpi!E:E,MATCH(D790,dim_kpi!C:C,0)),"")</f>
        <v>%</v>
      </c>
      <c r="Q790" s="9" t="str">
        <f t="array" ref="Q790">IFERROR(INDEX(dim_kpi!F:F,MATCH(D790,dim_kpi!C:C,0)),"")</f>
        <v>N</v>
      </c>
    </row>
    <row r="791" ht="12.75" customHeight="1">
      <c r="A791" s="20" t="str">
        <f>fact_kpi_weekly!A791</f>
        <v>261101</v>
      </c>
      <c r="B791" s="21">
        <f>fact_kpi_weekly!B791</f>
        <v>46327</v>
      </c>
      <c r="C791" s="9" t="str">
        <f>fact_kpi_weekly!C791</f>
        <v>Growth</v>
      </c>
      <c r="D791" s="9" t="str">
        <f>fact_kpi_weekly!D791</f>
        <v>Non-Agent Related Enrollment &amp; Activation</v>
      </c>
      <c r="E791" s="9" t="str">
        <f>fact_kpi_weekly!E791</f>
        <v>Goal</v>
      </c>
      <c r="F791" s="9" t="str">
        <f>IF(fact_kpi_weekly!F791="","",fact_kpi_weekly!F791)</f>
        <v/>
      </c>
      <c r="G791" s="9" t="str">
        <f>fact_kpi_weekly!G791</f>
        <v>N/A</v>
      </c>
      <c r="H791" s="9" t="str">
        <f>fact_kpi_weekly!H791</f>
        <v>Luke</v>
      </c>
      <c r="I791" s="9">
        <f>fact_kpi_weekly!I791</f>
        <v>0.13</v>
      </c>
      <c r="J791" s="22">
        <f>fact_kpi_weekly!J791</f>
        <v>0.13</v>
      </c>
      <c r="K791" s="20" t="str">
        <f t="array" ref="K791">IFERROR(INDEX(dim_date!H:H,MATCH(A791,dim_date!A:A,0)),"")</f>
        <v>Nov</v>
      </c>
      <c r="L791" s="20" t="str">
        <f t="array" ref="L791">IFERROR(INDEX(dim_date!G:G,MATCH(A791,dim_date!A:A,0)),"")</f>
        <v>11</v>
      </c>
      <c r="M791" s="9" t="str">
        <f t="array" ref="M791">IFERROR(INDEX(dim_date!I:I,MATCH(A791,dim_date!A:A,0)),"")</f>
        <v>Q4</v>
      </c>
      <c r="N791" s="20" t="str">
        <f t="array" ref="N791">IFERROR(INDEX(dim_date!K:K,MATCH(A791,dim_date!A:A,0)),"")</f>
        <v>45</v>
      </c>
      <c r="O791" s="9" t="str">
        <f t="array" ref="O791">IFERROR(INDEX(dim_date!F:F,MATCH(A791,dim_date!A:A,0)),"")</f>
        <v>11/1-11/7</v>
      </c>
      <c r="P791" s="9" t="str">
        <f t="array" ref="P791">IFERROR(INDEX(dim_kpi!E:E,MATCH(D791,dim_kpi!C:C,0)),"")</f>
        <v>%</v>
      </c>
      <c r="Q791" s="9" t="str">
        <f t="array" ref="Q791">IFERROR(INDEX(dim_kpi!F:F,MATCH(D791,dim_kpi!C:C,0)),"")</f>
        <v>N</v>
      </c>
    </row>
    <row r="792" ht="12.75" customHeight="1">
      <c r="A792" s="20" t="str">
        <f>fact_kpi_weekly!A792</f>
        <v>261108</v>
      </c>
      <c r="B792" s="21">
        <f>fact_kpi_weekly!B792</f>
        <v>46334</v>
      </c>
      <c r="C792" s="9" t="str">
        <f>fact_kpi_weekly!C792</f>
        <v>Growth</v>
      </c>
      <c r="D792" s="9" t="str">
        <f>fact_kpi_weekly!D792</f>
        <v>Non-Agent Related Enrollment &amp; Activation</v>
      </c>
      <c r="E792" s="9" t="str">
        <f>fact_kpi_weekly!E792</f>
        <v>Goal</v>
      </c>
      <c r="F792" s="9" t="str">
        <f>IF(fact_kpi_weekly!F792="","",fact_kpi_weekly!F792)</f>
        <v/>
      </c>
      <c r="G792" s="9" t="str">
        <f>fact_kpi_weekly!G792</f>
        <v>N/A</v>
      </c>
      <c r="H792" s="9" t="str">
        <f>fact_kpi_weekly!H792</f>
        <v>Luke</v>
      </c>
      <c r="I792" s="9">
        <f>fact_kpi_weekly!I792</f>
        <v>0.13</v>
      </c>
      <c r="J792" s="22">
        <f>fact_kpi_weekly!J792</f>
        <v>0.13</v>
      </c>
      <c r="K792" s="20" t="str">
        <f t="array" ref="K792">IFERROR(INDEX(dim_date!H:H,MATCH(A792,dim_date!A:A,0)),"")</f>
        <v>Nov</v>
      </c>
      <c r="L792" s="20" t="str">
        <f t="array" ref="L792">IFERROR(INDEX(dim_date!G:G,MATCH(A792,dim_date!A:A,0)),"")</f>
        <v>11</v>
      </c>
      <c r="M792" s="9" t="str">
        <f t="array" ref="M792">IFERROR(INDEX(dim_date!I:I,MATCH(A792,dim_date!A:A,0)),"")</f>
        <v>Q4</v>
      </c>
      <c r="N792" s="20" t="str">
        <f t="array" ref="N792">IFERROR(INDEX(dim_date!K:K,MATCH(A792,dim_date!A:A,0)),"")</f>
        <v>46</v>
      </c>
      <c r="O792" s="9" t="str">
        <f t="array" ref="O792">IFERROR(INDEX(dim_date!F:F,MATCH(A792,dim_date!A:A,0)),"")</f>
        <v>11/8-11/14</v>
      </c>
      <c r="P792" s="9" t="str">
        <f t="array" ref="P792">IFERROR(INDEX(dim_kpi!E:E,MATCH(D792,dim_kpi!C:C,0)),"")</f>
        <v>%</v>
      </c>
      <c r="Q792" s="9" t="str">
        <f t="array" ref="Q792">IFERROR(INDEX(dim_kpi!F:F,MATCH(D792,dim_kpi!C:C,0)),"")</f>
        <v>N</v>
      </c>
    </row>
    <row r="793" ht="12.75" customHeight="1">
      <c r="A793" s="20" t="str">
        <f>fact_kpi_weekly!A793</f>
        <v>261115</v>
      </c>
      <c r="B793" s="21">
        <f>fact_kpi_weekly!B793</f>
        <v>46341</v>
      </c>
      <c r="C793" s="9" t="str">
        <f>fact_kpi_weekly!C793</f>
        <v>Growth</v>
      </c>
      <c r="D793" s="9" t="str">
        <f>fact_kpi_weekly!D793</f>
        <v>Non-Agent Related Enrollment &amp; Activation</v>
      </c>
      <c r="E793" s="9" t="str">
        <f>fact_kpi_weekly!E793</f>
        <v>Goal</v>
      </c>
      <c r="F793" s="9" t="str">
        <f>IF(fact_kpi_weekly!F793="","",fact_kpi_weekly!F793)</f>
        <v/>
      </c>
      <c r="G793" s="9" t="str">
        <f>fact_kpi_weekly!G793</f>
        <v>N/A</v>
      </c>
      <c r="H793" s="9" t="str">
        <f>fact_kpi_weekly!H793</f>
        <v>Luke</v>
      </c>
      <c r="I793" s="9">
        <f>fact_kpi_weekly!I793</f>
        <v>0.13</v>
      </c>
      <c r="J793" s="22">
        <f>fact_kpi_weekly!J793</f>
        <v>0.13</v>
      </c>
      <c r="K793" s="20" t="str">
        <f t="array" ref="K793">IFERROR(INDEX(dim_date!H:H,MATCH(A793,dim_date!A:A,0)),"")</f>
        <v>Nov</v>
      </c>
      <c r="L793" s="20" t="str">
        <f t="array" ref="L793">IFERROR(INDEX(dim_date!G:G,MATCH(A793,dim_date!A:A,0)),"")</f>
        <v>11</v>
      </c>
      <c r="M793" s="9" t="str">
        <f t="array" ref="M793">IFERROR(INDEX(dim_date!I:I,MATCH(A793,dim_date!A:A,0)),"")</f>
        <v>Q4</v>
      </c>
      <c r="N793" s="20" t="str">
        <f t="array" ref="N793">IFERROR(INDEX(dim_date!K:K,MATCH(A793,dim_date!A:A,0)),"")</f>
        <v>47</v>
      </c>
      <c r="O793" s="9" t="str">
        <f t="array" ref="O793">IFERROR(INDEX(dim_date!F:F,MATCH(A793,dim_date!A:A,0)),"")</f>
        <v>11/15-11/21</v>
      </c>
      <c r="P793" s="9" t="str">
        <f t="array" ref="P793">IFERROR(INDEX(dim_kpi!E:E,MATCH(D793,dim_kpi!C:C,0)),"")</f>
        <v>%</v>
      </c>
      <c r="Q793" s="9" t="str">
        <f t="array" ref="Q793">IFERROR(INDEX(dim_kpi!F:F,MATCH(D793,dim_kpi!C:C,0)),"")</f>
        <v>N</v>
      </c>
    </row>
    <row r="794" ht="12.75" customHeight="1">
      <c r="A794" s="20" t="str">
        <f>fact_kpi_weekly!A794</f>
        <v>261122</v>
      </c>
      <c r="B794" s="21">
        <f>fact_kpi_weekly!B794</f>
        <v>46348</v>
      </c>
      <c r="C794" s="9" t="str">
        <f>fact_kpi_weekly!C794</f>
        <v>Growth</v>
      </c>
      <c r="D794" s="9" t="str">
        <f>fact_kpi_weekly!D794</f>
        <v>Non-Agent Related Enrollment &amp; Activation</v>
      </c>
      <c r="E794" s="9" t="str">
        <f>fact_kpi_weekly!E794</f>
        <v>Goal</v>
      </c>
      <c r="F794" s="9" t="str">
        <f>IF(fact_kpi_weekly!F794="","",fact_kpi_weekly!F794)</f>
        <v/>
      </c>
      <c r="G794" s="9" t="str">
        <f>fact_kpi_weekly!G794</f>
        <v>N/A</v>
      </c>
      <c r="H794" s="9" t="str">
        <f>fact_kpi_weekly!H794</f>
        <v>Luke</v>
      </c>
      <c r="I794" s="9">
        <f>fact_kpi_weekly!I794</f>
        <v>0.13</v>
      </c>
      <c r="J794" s="22">
        <f>fact_kpi_weekly!J794</f>
        <v>0.13</v>
      </c>
      <c r="K794" s="20" t="str">
        <f t="array" ref="K794">IFERROR(INDEX(dim_date!H:H,MATCH(A794,dim_date!A:A,0)),"")</f>
        <v>Nov</v>
      </c>
      <c r="L794" s="20" t="str">
        <f t="array" ref="L794">IFERROR(INDEX(dim_date!G:G,MATCH(A794,dim_date!A:A,0)),"")</f>
        <v>11</v>
      </c>
      <c r="M794" s="9" t="str">
        <f t="array" ref="M794">IFERROR(INDEX(dim_date!I:I,MATCH(A794,dim_date!A:A,0)),"")</f>
        <v>Q4</v>
      </c>
      <c r="N794" s="20" t="str">
        <f t="array" ref="N794">IFERROR(INDEX(dim_date!K:K,MATCH(A794,dim_date!A:A,0)),"")</f>
        <v>48</v>
      </c>
      <c r="O794" s="9" t="str">
        <f t="array" ref="O794">IFERROR(INDEX(dim_date!F:F,MATCH(A794,dim_date!A:A,0)),"")</f>
        <v>11/22-11/28</v>
      </c>
      <c r="P794" s="9" t="str">
        <f t="array" ref="P794">IFERROR(INDEX(dim_kpi!E:E,MATCH(D794,dim_kpi!C:C,0)),"")</f>
        <v>%</v>
      </c>
      <c r="Q794" s="9" t="str">
        <f t="array" ref="Q794">IFERROR(INDEX(dim_kpi!F:F,MATCH(D794,dim_kpi!C:C,0)),"")</f>
        <v>N</v>
      </c>
    </row>
    <row r="795" ht="12.75" customHeight="1">
      <c r="A795" s="20" t="str">
        <f>fact_kpi_weekly!A795</f>
        <v>261129</v>
      </c>
      <c r="B795" s="21">
        <f>fact_kpi_weekly!B795</f>
        <v>46355</v>
      </c>
      <c r="C795" s="9" t="str">
        <f>fact_kpi_weekly!C795</f>
        <v>Growth</v>
      </c>
      <c r="D795" s="9" t="str">
        <f>fact_kpi_weekly!D795</f>
        <v>Non-Agent Related Enrollment &amp; Activation</v>
      </c>
      <c r="E795" s="9" t="str">
        <f>fact_kpi_weekly!E795</f>
        <v>Goal</v>
      </c>
      <c r="F795" s="9" t="str">
        <f>IF(fact_kpi_weekly!F795="","",fact_kpi_weekly!F795)</f>
        <v/>
      </c>
      <c r="G795" s="9" t="str">
        <f>fact_kpi_weekly!G795</f>
        <v>N/A</v>
      </c>
      <c r="H795" s="9" t="str">
        <f>fact_kpi_weekly!H795</f>
        <v>Luke</v>
      </c>
      <c r="I795" s="9">
        <f>fact_kpi_weekly!I795</f>
        <v>0.13</v>
      </c>
      <c r="J795" s="22">
        <f>fact_kpi_weekly!J795</f>
        <v>0.13</v>
      </c>
      <c r="K795" s="20" t="str">
        <f t="array" ref="K795">IFERROR(INDEX(dim_date!H:H,MATCH(A795,dim_date!A:A,0)),"")</f>
        <v>Nov</v>
      </c>
      <c r="L795" s="20" t="str">
        <f t="array" ref="L795">IFERROR(INDEX(dim_date!G:G,MATCH(A795,dim_date!A:A,0)),"")</f>
        <v>11</v>
      </c>
      <c r="M795" s="9" t="str">
        <f t="array" ref="M795">IFERROR(INDEX(dim_date!I:I,MATCH(A795,dim_date!A:A,0)),"")</f>
        <v>Q4</v>
      </c>
      <c r="N795" s="20" t="str">
        <f t="array" ref="N795">IFERROR(INDEX(dim_date!K:K,MATCH(A795,dim_date!A:A,0)),"")</f>
        <v>49</v>
      </c>
      <c r="O795" s="9" t="str">
        <f t="array" ref="O795">IFERROR(INDEX(dim_date!F:F,MATCH(A795,dim_date!A:A,0)),"")</f>
        <v>11/29-12/5</v>
      </c>
      <c r="P795" s="9" t="str">
        <f t="array" ref="P795">IFERROR(INDEX(dim_kpi!E:E,MATCH(D795,dim_kpi!C:C,0)),"")</f>
        <v>%</v>
      </c>
      <c r="Q795" s="9" t="str">
        <f t="array" ref="Q795">IFERROR(INDEX(dim_kpi!F:F,MATCH(D795,dim_kpi!C:C,0)),"")</f>
        <v>N</v>
      </c>
    </row>
    <row r="796" ht="12.75" customHeight="1">
      <c r="A796" s="20" t="str">
        <f>fact_kpi_weekly!A796</f>
        <v>261206</v>
      </c>
      <c r="B796" s="21">
        <f>fact_kpi_weekly!B796</f>
        <v>46362</v>
      </c>
      <c r="C796" s="9" t="str">
        <f>fact_kpi_weekly!C796</f>
        <v>Growth</v>
      </c>
      <c r="D796" s="9" t="str">
        <f>fact_kpi_weekly!D796</f>
        <v>Non-Agent Related Enrollment &amp; Activation</v>
      </c>
      <c r="E796" s="9" t="str">
        <f>fact_kpi_weekly!E796</f>
        <v>Goal</v>
      </c>
      <c r="F796" s="9" t="str">
        <f>IF(fact_kpi_weekly!F796="","",fact_kpi_weekly!F796)</f>
        <v/>
      </c>
      <c r="G796" s="9" t="str">
        <f>fact_kpi_weekly!G796</f>
        <v>N/A</v>
      </c>
      <c r="H796" s="9" t="str">
        <f>fact_kpi_weekly!H796</f>
        <v>Luke</v>
      </c>
      <c r="I796" s="9">
        <f>fact_kpi_weekly!I796</f>
        <v>0.13</v>
      </c>
      <c r="J796" s="22">
        <f>fact_kpi_weekly!J796</f>
        <v>0.13</v>
      </c>
      <c r="K796" s="20" t="str">
        <f t="array" ref="K796">IFERROR(INDEX(dim_date!H:H,MATCH(A796,dim_date!A:A,0)),"")</f>
        <v>Dec</v>
      </c>
      <c r="L796" s="20" t="str">
        <f t="array" ref="L796">IFERROR(INDEX(dim_date!G:G,MATCH(A796,dim_date!A:A,0)),"")</f>
        <v>12</v>
      </c>
      <c r="M796" s="9" t="str">
        <f t="array" ref="M796">IFERROR(INDEX(dim_date!I:I,MATCH(A796,dim_date!A:A,0)),"")</f>
        <v>Q4</v>
      </c>
      <c r="N796" s="20" t="str">
        <f t="array" ref="N796">IFERROR(INDEX(dim_date!K:K,MATCH(A796,dim_date!A:A,0)),"")</f>
        <v>50</v>
      </c>
      <c r="O796" s="9" t="str">
        <f t="array" ref="O796">IFERROR(INDEX(dim_date!F:F,MATCH(A796,dim_date!A:A,0)),"")</f>
        <v>12/6-12/12</v>
      </c>
      <c r="P796" s="9" t="str">
        <f t="array" ref="P796">IFERROR(INDEX(dim_kpi!E:E,MATCH(D796,dim_kpi!C:C,0)),"")</f>
        <v>%</v>
      </c>
      <c r="Q796" s="9" t="str">
        <f t="array" ref="Q796">IFERROR(INDEX(dim_kpi!F:F,MATCH(D796,dim_kpi!C:C,0)),"")</f>
        <v>N</v>
      </c>
    </row>
    <row r="797" ht="12.75" customHeight="1">
      <c r="A797" s="20" t="str">
        <f>fact_kpi_weekly!A797</f>
        <v>261213</v>
      </c>
      <c r="B797" s="21">
        <f>fact_kpi_weekly!B797</f>
        <v>46369</v>
      </c>
      <c r="C797" s="9" t="str">
        <f>fact_kpi_weekly!C797</f>
        <v>Growth</v>
      </c>
      <c r="D797" s="9" t="str">
        <f>fact_kpi_weekly!D797</f>
        <v>Non-Agent Related Enrollment &amp; Activation</v>
      </c>
      <c r="E797" s="9" t="str">
        <f>fact_kpi_weekly!E797</f>
        <v>Goal</v>
      </c>
      <c r="F797" s="9" t="str">
        <f>IF(fact_kpi_weekly!F797="","",fact_kpi_weekly!F797)</f>
        <v/>
      </c>
      <c r="G797" s="9" t="str">
        <f>fact_kpi_weekly!G797</f>
        <v>N/A</v>
      </c>
      <c r="H797" s="9" t="str">
        <f>fact_kpi_weekly!H797</f>
        <v>Luke</v>
      </c>
      <c r="I797" s="9">
        <f>fact_kpi_weekly!I797</f>
        <v>0.13</v>
      </c>
      <c r="J797" s="22">
        <f>fact_kpi_weekly!J797</f>
        <v>0.13</v>
      </c>
      <c r="K797" s="20" t="str">
        <f t="array" ref="K797">IFERROR(INDEX(dim_date!H:H,MATCH(A797,dim_date!A:A,0)),"")</f>
        <v>Dec</v>
      </c>
      <c r="L797" s="20" t="str">
        <f t="array" ref="L797">IFERROR(INDEX(dim_date!G:G,MATCH(A797,dim_date!A:A,0)),"")</f>
        <v>12</v>
      </c>
      <c r="M797" s="9" t="str">
        <f t="array" ref="M797">IFERROR(INDEX(dim_date!I:I,MATCH(A797,dim_date!A:A,0)),"")</f>
        <v>Q4</v>
      </c>
      <c r="N797" s="20" t="str">
        <f t="array" ref="N797">IFERROR(INDEX(dim_date!K:K,MATCH(A797,dim_date!A:A,0)),"")</f>
        <v>51</v>
      </c>
      <c r="O797" s="9" t="str">
        <f t="array" ref="O797">IFERROR(INDEX(dim_date!F:F,MATCH(A797,dim_date!A:A,0)),"")</f>
        <v>12/13-12/19</v>
      </c>
      <c r="P797" s="9" t="str">
        <f t="array" ref="P797">IFERROR(INDEX(dim_kpi!E:E,MATCH(D797,dim_kpi!C:C,0)),"")</f>
        <v>%</v>
      </c>
      <c r="Q797" s="9" t="str">
        <f t="array" ref="Q797">IFERROR(INDEX(dim_kpi!F:F,MATCH(D797,dim_kpi!C:C,0)),"")</f>
        <v>N</v>
      </c>
    </row>
    <row r="798" ht="12.75" customHeight="1">
      <c r="A798" s="20" t="str">
        <f>fact_kpi_weekly!A798</f>
        <v>261220</v>
      </c>
      <c r="B798" s="21">
        <f>fact_kpi_weekly!B798</f>
        <v>46376</v>
      </c>
      <c r="C798" s="9" t="str">
        <f>fact_kpi_weekly!C798</f>
        <v>Growth</v>
      </c>
      <c r="D798" s="9" t="str">
        <f>fact_kpi_weekly!D798</f>
        <v>Non-Agent Related Enrollment &amp; Activation</v>
      </c>
      <c r="E798" s="9" t="str">
        <f>fact_kpi_weekly!E798</f>
        <v>Goal</v>
      </c>
      <c r="F798" s="9" t="str">
        <f>IF(fact_kpi_weekly!F798="","",fact_kpi_weekly!F798)</f>
        <v/>
      </c>
      <c r="G798" s="9" t="str">
        <f>fact_kpi_weekly!G798</f>
        <v>N/A</v>
      </c>
      <c r="H798" s="9" t="str">
        <f>fact_kpi_weekly!H798</f>
        <v>Luke</v>
      </c>
      <c r="I798" s="9">
        <f>fact_kpi_weekly!I798</f>
        <v>0.13</v>
      </c>
      <c r="J798" s="22">
        <f>fact_kpi_weekly!J798</f>
        <v>0.13</v>
      </c>
      <c r="K798" s="20" t="str">
        <f t="array" ref="K798">IFERROR(INDEX(dim_date!H:H,MATCH(A798,dim_date!A:A,0)),"")</f>
        <v>Dec</v>
      </c>
      <c r="L798" s="20" t="str">
        <f t="array" ref="L798">IFERROR(INDEX(dim_date!G:G,MATCH(A798,dim_date!A:A,0)),"")</f>
        <v>12</v>
      </c>
      <c r="M798" s="9" t="str">
        <f t="array" ref="M798">IFERROR(INDEX(dim_date!I:I,MATCH(A798,dim_date!A:A,0)),"")</f>
        <v>Q4</v>
      </c>
      <c r="N798" s="20" t="str">
        <f t="array" ref="N798">IFERROR(INDEX(dim_date!K:K,MATCH(A798,dim_date!A:A,0)),"")</f>
        <v>52</v>
      </c>
      <c r="O798" s="9" t="str">
        <f t="array" ref="O798">IFERROR(INDEX(dim_date!F:F,MATCH(A798,dim_date!A:A,0)),"")</f>
        <v>12/20-12/26</v>
      </c>
      <c r="P798" s="9" t="str">
        <f t="array" ref="P798">IFERROR(INDEX(dim_kpi!E:E,MATCH(D798,dim_kpi!C:C,0)),"")</f>
        <v>%</v>
      </c>
      <c r="Q798" s="9" t="str">
        <f t="array" ref="Q798">IFERROR(INDEX(dim_kpi!F:F,MATCH(D798,dim_kpi!C:C,0)),"")</f>
        <v>N</v>
      </c>
    </row>
    <row r="799" ht="12.75" customHeight="1">
      <c r="A799" s="20" t="str">
        <f>fact_kpi_weekly!A799</f>
        <v>261227</v>
      </c>
      <c r="B799" s="21">
        <f>fact_kpi_weekly!B799</f>
        <v>46383</v>
      </c>
      <c r="C799" s="9" t="str">
        <f>fact_kpi_weekly!C799</f>
        <v>Growth</v>
      </c>
      <c r="D799" s="9" t="str">
        <f>fact_kpi_weekly!D799</f>
        <v>Non-Agent Related Enrollment &amp; Activation</v>
      </c>
      <c r="E799" s="9" t="str">
        <f>fact_kpi_weekly!E799</f>
        <v>Goal</v>
      </c>
      <c r="F799" s="9" t="str">
        <f>IF(fact_kpi_weekly!F799="","",fact_kpi_weekly!F799)</f>
        <v/>
      </c>
      <c r="G799" s="9" t="str">
        <f>fact_kpi_weekly!G799</f>
        <v>N/A</v>
      </c>
      <c r="H799" s="9" t="str">
        <f>fact_kpi_weekly!H799</f>
        <v>Luke</v>
      </c>
      <c r="I799" s="9">
        <f>fact_kpi_weekly!I799</f>
        <v>0.13</v>
      </c>
      <c r="J799" s="22">
        <f>fact_kpi_weekly!J799</f>
        <v>0.13</v>
      </c>
      <c r="K799" s="20" t="str">
        <f t="array" ref="K799">IFERROR(INDEX(dim_date!H:H,MATCH(A799,dim_date!A:A,0)),"")</f>
        <v>Dec</v>
      </c>
      <c r="L799" s="20" t="str">
        <f t="array" ref="L799">IFERROR(INDEX(dim_date!G:G,MATCH(A799,dim_date!A:A,0)),"")</f>
        <v>12</v>
      </c>
      <c r="M799" s="9" t="str">
        <f t="array" ref="M799">IFERROR(INDEX(dim_date!I:I,MATCH(A799,dim_date!A:A,0)),"")</f>
        <v>Q4</v>
      </c>
      <c r="N799" s="20" t="str">
        <f t="array" ref="N799">IFERROR(INDEX(dim_date!K:K,MATCH(A799,dim_date!A:A,0)),"")</f>
        <v>53</v>
      </c>
      <c r="O799" s="9" t="str">
        <f t="array" ref="O799">IFERROR(INDEX(dim_date!F:F,MATCH(A799,dim_date!A:A,0)),"")</f>
        <v>12/27-1/2</v>
      </c>
      <c r="P799" s="9" t="str">
        <f t="array" ref="P799">IFERROR(INDEX(dim_kpi!E:E,MATCH(D799,dim_kpi!C:C,0)),"")</f>
        <v>%</v>
      </c>
      <c r="Q799" s="9" t="str">
        <f t="array" ref="Q799">IFERROR(INDEX(dim_kpi!F:F,MATCH(D799,dim_kpi!C:C,0)),"")</f>
        <v>N</v>
      </c>
    </row>
    <row r="800" ht="12.75" customHeight="1">
      <c r="A800" s="20" t="str">
        <f>fact_kpi_weekly!A800</f>
        <v>260301</v>
      </c>
      <c r="B800" s="21">
        <f>fact_kpi_weekly!B800</f>
        <v>46082</v>
      </c>
      <c r="C800" s="9" t="str">
        <f>fact_kpi_weekly!C800</f>
        <v>Growth</v>
      </c>
      <c r="D800" s="9" t="str">
        <f>fact_kpi_weekly!D800</f>
        <v>DPP Enrollments</v>
      </c>
      <c r="E800" s="9" t="str">
        <f>fact_kpi_weekly!E800</f>
        <v>Goal</v>
      </c>
      <c r="F800" s="9" t="str">
        <f>IF(fact_kpi_weekly!F800="","",fact_kpi_weekly!F800)</f>
        <v/>
      </c>
      <c r="G800" s="9" t="str">
        <f>fact_kpi_weekly!G800</f>
        <v>N/A</v>
      </c>
      <c r="H800" s="9" t="str">
        <f>fact_kpi_weekly!H800</f>
        <v>Luke</v>
      </c>
      <c r="I800" s="9">
        <f>fact_kpi_weekly!I800</f>
        <v>73.39</v>
      </c>
      <c r="J800" s="22">
        <f>fact_kpi_weekly!J800</f>
        <v>73.39</v>
      </c>
      <c r="K800" s="20" t="str">
        <f t="array" ref="K800">IFERROR(INDEX(dim_date!H:H,MATCH(A800,dim_date!A:A,0)),"")</f>
        <v>Mar</v>
      </c>
      <c r="L800" s="20" t="str">
        <f t="array" ref="L800">IFERROR(INDEX(dim_date!G:G,MATCH(A800,dim_date!A:A,0)),"")</f>
        <v>03</v>
      </c>
      <c r="M800" s="9" t="str">
        <f t="array" ref="M800">IFERROR(INDEX(dim_date!I:I,MATCH(A800,dim_date!A:A,0)),"")</f>
        <v>Q1</v>
      </c>
      <c r="N800" s="20" t="str">
        <f t="array" ref="N800">IFERROR(INDEX(dim_date!K:K,MATCH(A800,dim_date!A:A,0)),"")</f>
        <v>10</v>
      </c>
      <c r="O800" s="9" t="str">
        <f t="array" ref="O800">IFERROR(INDEX(dim_date!F:F,MATCH(A800,dim_date!A:A,0)),"")</f>
        <v>3/1-3/7</v>
      </c>
      <c r="P800" s="9" t="str">
        <f t="array" ref="P800">IFERROR(INDEX(dim_kpi!E:E,MATCH(D800,dim_kpi!C:C,0)),"")</f>
        <v>count</v>
      </c>
      <c r="Q800" s="9" t="str">
        <f t="array" ref="Q800">IFERROR(INDEX(dim_kpi!F:F,MATCH(D800,dim_kpi!C:C,0)),"")</f>
        <v>N</v>
      </c>
    </row>
    <row r="801" ht="12.75" customHeight="1">
      <c r="A801" s="20" t="str">
        <f>fact_kpi_weekly!A801</f>
        <v>260308</v>
      </c>
      <c r="B801" s="21">
        <f>fact_kpi_weekly!B801</f>
        <v>46089</v>
      </c>
      <c r="C801" s="9" t="str">
        <f>fact_kpi_weekly!C801</f>
        <v>Growth</v>
      </c>
      <c r="D801" s="9" t="str">
        <f>fact_kpi_weekly!D801</f>
        <v>DPP Enrollments</v>
      </c>
      <c r="E801" s="9" t="str">
        <f>fact_kpi_weekly!E801</f>
        <v>Goal</v>
      </c>
      <c r="F801" s="9" t="str">
        <f>IF(fact_kpi_weekly!F801="","",fact_kpi_weekly!F801)</f>
        <v/>
      </c>
      <c r="G801" s="9" t="str">
        <f>fact_kpi_weekly!G801</f>
        <v>N/A</v>
      </c>
      <c r="H801" s="9" t="str">
        <f>fact_kpi_weekly!H801</f>
        <v>Luke</v>
      </c>
      <c r="I801" s="9">
        <f>fact_kpi_weekly!I801</f>
        <v>73.39</v>
      </c>
      <c r="J801" s="22">
        <f>fact_kpi_weekly!J801</f>
        <v>73.39</v>
      </c>
      <c r="K801" s="20" t="str">
        <f t="array" ref="K801">IFERROR(INDEX(dim_date!H:H,MATCH(A801,dim_date!A:A,0)),"")</f>
        <v>Mar</v>
      </c>
      <c r="L801" s="20" t="str">
        <f t="array" ref="L801">IFERROR(INDEX(dim_date!G:G,MATCH(A801,dim_date!A:A,0)),"")</f>
        <v>03</v>
      </c>
      <c r="M801" s="9" t="str">
        <f t="array" ref="M801">IFERROR(INDEX(dim_date!I:I,MATCH(A801,dim_date!A:A,0)),"")</f>
        <v>Q1</v>
      </c>
      <c r="N801" s="20" t="str">
        <f t="array" ref="N801">IFERROR(INDEX(dim_date!K:K,MATCH(A801,dim_date!A:A,0)),"")</f>
        <v>11</v>
      </c>
      <c r="O801" s="9" t="str">
        <f t="array" ref="O801">IFERROR(INDEX(dim_date!F:F,MATCH(A801,dim_date!A:A,0)),"")</f>
        <v>3/8-3/14</v>
      </c>
      <c r="P801" s="9" t="str">
        <f t="array" ref="P801">IFERROR(INDEX(dim_kpi!E:E,MATCH(D801,dim_kpi!C:C,0)),"")</f>
        <v>count</v>
      </c>
      <c r="Q801" s="9" t="str">
        <f t="array" ref="Q801">IFERROR(INDEX(dim_kpi!F:F,MATCH(D801,dim_kpi!C:C,0)),"")</f>
        <v>N</v>
      </c>
    </row>
    <row r="802" ht="12.75" customHeight="1">
      <c r="A802" s="20" t="str">
        <f>fact_kpi_weekly!A802</f>
        <v>260315</v>
      </c>
      <c r="B802" s="21">
        <f>fact_kpi_weekly!B802</f>
        <v>46096</v>
      </c>
      <c r="C802" s="9" t="str">
        <f>fact_kpi_weekly!C802</f>
        <v>Growth</v>
      </c>
      <c r="D802" s="9" t="str">
        <f>fact_kpi_weekly!D802</f>
        <v>DPP Enrollments</v>
      </c>
      <c r="E802" s="9" t="str">
        <f>fact_kpi_weekly!E802</f>
        <v>Goal</v>
      </c>
      <c r="F802" s="9" t="str">
        <f>IF(fact_kpi_weekly!F802="","",fact_kpi_weekly!F802)</f>
        <v/>
      </c>
      <c r="G802" s="9" t="str">
        <f>fact_kpi_weekly!G802</f>
        <v>N/A</v>
      </c>
      <c r="H802" s="9" t="str">
        <f>fact_kpi_weekly!H802</f>
        <v>Luke</v>
      </c>
      <c r="I802" s="9">
        <f>fact_kpi_weekly!I802</f>
        <v>73.39</v>
      </c>
      <c r="J802" s="22">
        <f>fact_kpi_weekly!J802</f>
        <v>73.39</v>
      </c>
      <c r="K802" s="20" t="str">
        <f t="array" ref="K802">IFERROR(INDEX(dim_date!H:H,MATCH(A802,dim_date!A:A,0)),"")</f>
        <v>Mar</v>
      </c>
      <c r="L802" s="20" t="str">
        <f t="array" ref="L802">IFERROR(INDEX(dim_date!G:G,MATCH(A802,dim_date!A:A,0)),"")</f>
        <v>03</v>
      </c>
      <c r="M802" s="9" t="str">
        <f t="array" ref="M802">IFERROR(INDEX(dim_date!I:I,MATCH(A802,dim_date!A:A,0)),"")</f>
        <v>Q1</v>
      </c>
      <c r="N802" s="20" t="str">
        <f t="array" ref="N802">IFERROR(INDEX(dim_date!K:K,MATCH(A802,dim_date!A:A,0)),"")</f>
        <v>12</v>
      </c>
      <c r="O802" s="9" t="str">
        <f t="array" ref="O802">IFERROR(INDEX(dim_date!F:F,MATCH(A802,dim_date!A:A,0)),"")</f>
        <v>3/15-3/21</v>
      </c>
      <c r="P802" s="9" t="str">
        <f t="array" ref="P802">IFERROR(INDEX(dim_kpi!E:E,MATCH(D802,dim_kpi!C:C,0)),"")</f>
        <v>count</v>
      </c>
      <c r="Q802" s="9" t="str">
        <f t="array" ref="Q802">IFERROR(INDEX(dim_kpi!F:F,MATCH(D802,dim_kpi!C:C,0)),"")</f>
        <v>N</v>
      </c>
    </row>
    <row r="803" ht="12.75" customHeight="1">
      <c r="A803" s="20" t="str">
        <f>fact_kpi_weekly!A803</f>
        <v>260322</v>
      </c>
      <c r="B803" s="21">
        <f>fact_kpi_weekly!B803</f>
        <v>46103</v>
      </c>
      <c r="C803" s="9" t="str">
        <f>fact_kpi_weekly!C803</f>
        <v>Growth</v>
      </c>
      <c r="D803" s="9" t="str">
        <f>fact_kpi_weekly!D803</f>
        <v>DPP Enrollments</v>
      </c>
      <c r="E803" s="9" t="str">
        <f>fact_kpi_weekly!E803</f>
        <v>Goal</v>
      </c>
      <c r="F803" s="9" t="str">
        <f>IF(fact_kpi_weekly!F803="","",fact_kpi_weekly!F803)</f>
        <v/>
      </c>
      <c r="G803" s="9" t="str">
        <f>fact_kpi_weekly!G803</f>
        <v>N/A</v>
      </c>
      <c r="H803" s="9" t="str">
        <f>fact_kpi_weekly!H803</f>
        <v>Luke</v>
      </c>
      <c r="I803" s="9">
        <f>fact_kpi_weekly!I803</f>
        <v>73.39</v>
      </c>
      <c r="J803" s="22">
        <f>fact_kpi_weekly!J803</f>
        <v>73.39</v>
      </c>
      <c r="K803" s="20" t="str">
        <f t="array" ref="K803">IFERROR(INDEX(dim_date!H:H,MATCH(A803,dim_date!A:A,0)),"")</f>
        <v>Mar</v>
      </c>
      <c r="L803" s="20" t="str">
        <f t="array" ref="L803">IFERROR(INDEX(dim_date!G:G,MATCH(A803,dim_date!A:A,0)),"")</f>
        <v>03</v>
      </c>
      <c r="M803" s="9" t="str">
        <f t="array" ref="M803">IFERROR(INDEX(dim_date!I:I,MATCH(A803,dim_date!A:A,0)),"")</f>
        <v>Q1</v>
      </c>
      <c r="N803" s="20" t="str">
        <f t="array" ref="N803">IFERROR(INDEX(dim_date!K:K,MATCH(A803,dim_date!A:A,0)),"")</f>
        <v>13</v>
      </c>
      <c r="O803" s="9" t="str">
        <f t="array" ref="O803">IFERROR(INDEX(dim_date!F:F,MATCH(A803,dim_date!A:A,0)),"")</f>
        <v>3/22-3/28</v>
      </c>
      <c r="P803" s="9" t="str">
        <f t="array" ref="P803">IFERROR(INDEX(dim_kpi!E:E,MATCH(D803,dim_kpi!C:C,0)),"")</f>
        <v>count</v>
      </c>
      <c r="Q803" s="9" t="str">
        <f t="array" ref="Q803">IFERROR(INDEX(dim_kpi!F:F,MATCH(D803,dim_kpi!C:C,0)),"")</f>
        <v>N</v>
      </c>
    </row>
    <row r="804" ht="12.75" customHeight="1">
      <c r="A804" s="20" t="str">
        <f>fact_kpi_weekly!A804</f>
        <v>260329</v>
      </c>
      <c r="B804" s="21">
        <f>fact_kpi_weekly!B804</f>
        <v>46110</v>
      </c>
      <c r="C804" s="9" t="str">
        <f>fact_kpi_weekly!C804</f>
        <v>Growth</v>
      </c>
      <c r="D804" s="9" t="str">
        <f>fact_kpi_weekly!D804</f>
        <v>DPP Enrollments</v>
      </c>
      <c r="E804" s="9" t="str">
        <f>fact_kpi_weekly!E804</f>
        <v>Goal</v>
      </c>
      <c r="F804" s="9" t="str">
        <f>IF(fact_kpi_weekly!F804="","",fact_kpi_weekly!F804)</f>
        <v/>
      </c>
      <c r="G804" s="9" t="str">
        <f>fact_kpi_weekly!G804</f>
        <v>N/A</v>
      </c>
      <c r="H804" s="9" t="str">
        <f>fact_kpi_weekly!H804</f>
        <v>Luke</v>
      </c>
      <c r="I804" s="9">
        <f>fact_kpi_weekly!I804</f>
        <v>75.13</v>
      </c>
      <c r="J804" s="22">
        <f>fact_kpi_weekly!J804</f>
        <v>75.13</v>
      </c>
      <c r="K804" s="20" t="str">
        <f t="array" ref="K804">IFERROR(INDEX(dim_date!H:H,MATCH(A804,dim_date!A:A,0)),"")</f>
        <v>Mar</v>
      </c>
      <c r="L804" s="20" t="str">
        <f t="array" ref="L804">IFERROR(INDEX(dim_date!G:G,MATCH(A804,dim_date!A:A,0)),"")</f>
        <v>03</v>
      </c>
      <c r="M804" s="9" t="str">
        <f t="array" ref="M804">IFERROR(INDEX(dim_date!I:I,MATCH(A804,dim_date!A:A,0)),"")</f>
        <v>Q1</v>
      </c>
      <c r="N804" s="20" t="str">
        <f t="array" ref="N804">IFERROR(INDEX(dim_date!K:K,MATCH(A804,dim_date!A:A,0)),"")</f>
        <v>14</v>
      </c>
      <c r="O804" s="9" t="str">
        <f t="array" ref="O804">IFERROR(INDEX(dim_date!F:F,MATCH(A804,dim_date!A:A,0)),"")</f>
        <v>3/29-4/4</v>
      </c>
      <c r="P804" s="9" t="str">
        <f t="array" ref="P804">IFERROR(INDEX(dim_kpi!E:E,MATCH(D804,dim_kpi!C:C,0)),"")</f>
        <v>count</v>
      </c>
      <c r="Q804" s="9" t="str">
        <f t="array" ref="Q804">IFERROR(INDEX(dim_kpi!F:F,MATCH(D804,dim_kpi!C:C,0)),"")</f>
        <v>N</v>
      </c>
    </row>
    <row r="805" ht="12.75" customHeight="1">
      <c r="A805" s="20" t="str">
        <f>fact_kpi_weekly!A805</f>
        <v>260405</v>
      </c>
      <c r="B805" s="21">
        <f>fact_kpi_weekly!B805</f>
        <v>46117</v>
      </c>
      <c r="C805" s="9" t="str">
        <f>fact_kpi_weekly!C805</f>
        <v>Growth</v>
      </c>
      <c r="D805" s="9" t="str">
        <f>fact_kpi_weekly!D805</f>
        <v>DPP Enrollments</v>
      </c>
      <c r="E805" s="9" t="str">
        <f>fact_kpi_weekly!E805</f>
        <v>Goal</v>
      </c>
      <c r="F805" s="9" t="str">
        <f>IF(fact_kpi_weekly!F805="","",fact_kpi_weekly!F805)</f>
        <v/>
      </c>
      <c r="G805" s="9" t="str">
        <f>fact_kpi_weekly!G805</f>
        <v>N/A</v>
      </c>
      <c r="H805" s="9" t="str">
        <f>fact_kpi_weekly!H805</f>
        <v>Luke</v>
      </c>
      <c r="I805" s="9">
        <f>fact_kpi_weekly!I805</f>
        <v>75.83</v>
      </c>
      <c r="J805" s="22">
        <f>fact_kpi_weekly!J805</f>
        <v>75.83</v>
      </c>
      <c r="K805" s="20" t="str">
        <f t="array" ref="K805">IFERROR(INDEX(dim_date!H:H,MATCH(A805,dim_date!A:A,0)),"")</f>
        <v>Apr</v>
      </c>
      <c r="L805" s="20" t="str">
        <f t="array" ref="L805">IFERROR(INDEX(dim_date!G:G,MATCH(A805,dim_date!A:A,0)),"")</f>
        <v>04</v>
      </c>
      <c r="M805" s="9" t="str">
        <f t="array" ref="M805">IFERROR(INDEX(dim_date!I:I,MATCH(A805,dim_date!A:A,0)),"")</f>
        <v>Q2</v>
      </c>
      <c r="N805" s="20" t="str">
        <f t="array" ref="N805">IFERROR(INDEX(dim_date!K:K,MATCH(A805,dim_date!A:A,0)),"")</f>
        <v>15</v>
      </c>
      <c r="O805" s="9" t="str">
        <f t="array" ref="O805">IFERROR(INDEX(dim_date!F:F,MATCH(A805,dim_date!A:A,0)),"")</f>
        <v>4/5-4/11</v>
      </c>
      <c r="P805" s="9" t="str">
        <f t="array" ref="P805">IFERROR(INDEX(dim_kpi!E:E,MATCH(D805,dim_kpi!C:C,0)),"")</f>
        <v>count</v>
      </c>
      <c r="Q805" s="9" t="str">
        <f t="array" ref="Q805">IFERROR(INDEX(dim_kpi!F:F,MATCH(D805,dim_kpi!C:C,0)),"")</f>
        <v>N</v>
      </c>
    </row>
    <row r="806" ht="12.75" customHeight="1">
      <c r="A806" s="20" t="str">
        <f>fact_kpi_weekly!A806</f>
        <v>260412</v>
      </c>
      <c r="B806" s="21">
        <f>fact_kpi_weekly!B806</f>
        <v>46124</v>
      </c>
      <c r="C806" s="9" t="str">
        <f>fact_kpi_weekly!C806</f>
        <v>Growth</v>
      </c>
      <c r="D806" s="9" t="str">
        <f>fact_kpi_weekly!D806</f>
        <v>DPP Enrollments</v>
      </c>
      <c r="E806" s="9" t="str">
        <f>fact_kpi_weekly!E806</f>
        <v>Goal</v>
      </c>
      <c r="F806" s="9" t="str">
        <f>IF(fact_kpi_weekly!F806="","",fact_kpi_weekly!F806)</f>
        <v/>
      </c>
      <c r="G806" s="9" t="str">
        <f>fact_kpi_weekly!G806</f>
        <v>N/A</v>
      </c>
      <c r="H806" s="9" t="str">
        <f>fact_kpi_weekly!H806</f>
        <v>Luke</v>
      </c>
      <c r="I806" s="9">
        <f>fact_kpi_weekly!I806</f>
        <v>75.83</v>
      </c>
      <c r="J806" s="22">
        <f>fact_kpi_weekly!J806</f>
        <v>75.83</v>
      </c>
      <c r="K806" s="20" t="str">
        <f t="array" ref="K806">IFERROR(INDEX(dim_date!H:H,MATCH(A806,dim_date!A:A,0)),"")</f>
        <v>Apr</v>
      </c>
      <c r="L806" s="20" t="str">
        <f t="array" ref="L806">IFERROR(INDEX(dim_date!G:G,MATCH(A806,dim_date!A:A,0)),"")</f>
        <v>04</v>
      </c>
      <c r="M806" s="9" t="str">
        <f t="array" ref="M806">IFERROR(INDEX(dim_date!I:I,MATCH(A806,dim_date!A:A,0)),"")</f>
        <v>Q2</v>
      </c>
      <c r="N806" s="20" t="str">
        <f t="array" ref="N806">IFERROR(INDEX(dim_date!K:K,MATCH(A806,dim_date!A:A,0)),"")</f>
        <v>16</v>
      </c>
      <c r="O806" s="9" t="str">
        <f t="array" ref="O806">IFERROR(INDEX(dim_date!F:F,MATCH(A806,dim_date!A:A,0)),"")</f>
        <v>4/12-4/18</v>
      </c>
      <c r="P806" s="9" t="str">
        <f t="array" ref="P806">IFERROR(INDEX(dim_kpi!E:E,MATCH(D806,dim_kpi!C:C,0)),"")</f>
        <v>count</v>
      </c>
      <c r="Q806" s="9" t="str">
        <f t="array" ref="Q806">IFERROR(INDEX(dim_kpi!F:F,MATCH(D806,dim_kpi!C:C,0)),"")</f>
        <v>N</v>
      </c>
    </row>
    <row r="807" ht="12.75" customHeight="1">
      <c r="A807" s="20" t="str">
        <f>fact_kpi_weekly!A807</f>
        <v>260419</v>
      </c>
      <c r="B807" s="21">
        <f>fact_kpi_weekly!B807</f>
        <v>46131</v>
      </c>
      <c r="C807" s="9" t="str">
        <f>fact_kpi_weekly!C807</f>
        <v>Growth</v>
      </c>
      <c r="D807" s="9" t="str">
        <f>fact_kpi_weekly!D807</f>
        <v>DPP Enrollments</v>
      </c>
      <c r="E807" s="9" t="str">
        <f>fact_kpi_weekly!E807</f>
        <v>Goal</v>
      </c>
      <c r="F807" s="9" t="str">
        <f>IF(fact_kpi_weekly!F807="","",fact_kpi_weekly!F807)</f>
        <v/>
      </c>
      <c r="G807" s="9" t="str">
        <f>fact_kpi_weekly!G807</f>
        <v>N/A</v>
      </c>
      <c r="H807" s="9" t="str">
        <f>fact_kpi_weekly!H807</f>
        <v>Luke</v>
      </c>
      <c r="I807" s="9">
        <f>fact_kpi_weekly!I807</f>
        <v>75.83</v>
      </c>
      <c r="J807" s="22">
        <f>fact_kpi_weekly!J807</f>
        <v>75.83</v>
      </c>
      <c r="K807" s="20" t="str">
        <f t="array" ref="K807">IFERROR(INDEX(dim_date!H:H,MATCH(A807,dim_date!A:A,0)),"")</f>
        <v>Apr</v>
      </c>
      <c r="L807" s="20" t="str">
        <f t="array" ref="L807">IFERROR(INDEX(dim_date!G:G,MATCH(A807,dim_date!A:A,0)),"")</f>
        <v>04</v>
      </c>
      <c r="M807" s="9" t="str">
        <f t="array" ref="M807">IFERROR(INDEX(dim_date!I:I,MATCH(A807,dim_date!A:A,0)),"")</f>
        <v>Q2</v>
      </c>
      <c r="N807" s="20" t="str">
        <f t="array" ref="N807">IFERROR(INDEX(dim_date!K:K,MATCH(A807,dim_date!A:A,0)),"")</f>
        <v>17</v>
      </c>
      <c r="O807" s="9" t="str">
        <f t="array" ref="O807">IFERROR(INDEX(dim_date!F:F,MATCH(A807,dim_date!A:A,0)),"")</f>
        <v>4/19-4/25</v>
      </c>
      <c r="P807" s="9" t="str">
        <f t="array" ref="P807">IFERROR(INDEX(dim_kpi!E:E,MATCH(D807,dim_kpi!C:C,0)),"")</f>
        <v>count</v>
      </c>
      <c r="Q807" s="9" t="str">
        <f t="array" ref="Q807">IFERROR(INDEX(dim_kpi!F:F,MATCH(D807,dim_kpi!C:C,0)),"")</f>
        <v>N</v>
      </c>
    </row>
    <row r="808" ht="12.75" customHeight="1">
      <c r="A808" s="20" t="str">
        <f>fact_kpi_weekly!A808</f>
        <v>260426</v>
      </c>
      <c r="B808" s="21">
        <f>fact_kpi_weekly!B808</f>
        <v>46138</v>
      </c>
      <c r="C808" s="9" t="str">
        <f>fact_kpi_weekly!C808</f>
        <v>Growth</v>
      </c>
      <c r="D808" s="9" t="str">
        <f>fact_kpi_weekly!D808</f>
        <v>DPP Enrollments</v>
      </c>
      <c r="E808" s="9" t="str">
        <f>fact_kpi_weekly!E808</f>
        <v>Goal</v>
      </c>
      <c r="F808" s="9" t="str">
        <f>IF(fact_kpi_weekly!F808="","",fact_kpi_weekly!F808)</f>
        <v/>
      </c>
      <c r="G808" s="9" t="str">
        <f>fact_kpi_weekly!G808</f>
        <v>N/A</v>
      </c>
      <c r="H808" s="9" t="str">
        <f>fact_kpi_weekly!H808</f>
        <v>Luke</v>
      </c>
      <c r="I808" s="9">
        <f>fact_kpi_weekly!I808</f>
        <v>74.78</v>
      </c>
      <c r="J808" s="22">
        <f>fact_kpi_weekly!J808</f>
        <v>74.78</v>
      </c>
      <c r="K808" s="20" t="str">
        <f t="array" ref="K808">IFERROR(INDEX(dim_date!H:H,MATCH(A808,dim_date!A:A,0)),"")</f>
        <v>Apr</v>
      </c>
      <c r="L808" s="20" t="str">
        <f t="array" ref="L808">IFERROR(INDEX(dim_date!G:G,MATCH(A808,dim_date!A:A,0)),"")</f>
        <v>04</v>
      </c>
      <c r="M808" s="9" t="str">
        <f t="array" ref="M808">IFERROR(INDEX(dim_date!I:I,MATCH(A808,dim_date!A:A,0)),"")</f>
        <v>Q2</v>
      </c>
      <c r="N808" s="20" t="str">
        <f t="array" ref="N808">IFERROR(INDEX(dim_date!K:K,MATCH(A808,dim_date!A:A,0)),"")</f>
        <v>18</v>
      </c>
      <c r="O808" s="9" t="str">
        <f t="array" ref="O808">IFERROR(INDEX(dim_date!F:F,MATCH(A808,dim_date!A:A,0)),"")</f>
        <v>4/26-5/2</v>
      </c>
      <c r="P808" s="9" t="str">
        <f t="array" ref="P808">IFERROR(INDEX(dim_kpi!E:E,MATCH(D808,dim_kpi!C:C,0)),"")</f>
        <v>count</v>
      </c>
      <c r="Q808" s="9" t="str">
        <f t="array" ref="Q808">IFERROR(INDEX(dim_kpi!F:F,MATCH(D808,dim_kpi!C:C,0)),"")</f>
        <v>N</v>
      </c>
    </row>
    <row r="809" ht="12.75" customHeight="1">
      <c r="A809" s="20" t="str">
        <f>fact_kpi_weekly!A809</f>
        <v>260503</v>
      </c>
      <c r="B809" s="21">
        <f>fact_kpi_weekly!B809</f>
        <v>46145</v>
      </c>
      <c r="C809" s="9" t="str">
        <f>fact_kpi_weekly!C809</f>
        <v>Growth</v>
      </c>
      <c r="D809" s="9" t="str">
        <f>fact_kpi_weekly!D809</f>
        <v>DPP Enrollments</v>
      </c>
      <c r="E809" s="9" t="str">
        <f>fact_kpi_weekly!E809</f>
        <v>Goal</v>
      </c>
      <c r="F809" s="9" t="str">
        <f>IF(fact_kpi_weekly!F809="","",fact_kpi_weekly!F809)</f>
        <v/>
      </c>
      <c r="G809" s="9" t="str">
        <f>fact_kpi_weekly!G809</f>
        <v>N/A</v>
      </c>
      <c r="H809" s="9" t="str">
        <f>fact_kpi_weekly!H809</f>
        <v>Luke</v>
      </c>
      <c r="I809" s="9">
        <f>fact_kpi_weekly!I809</f>
        <v>73.39</v>
      </c>
      <c r="J809" s="22">
        <f>fact_kpi_weekly!J809</f>
        <v>73.39</v>
      </c>
      <c r="K809" s="20" t="str">
        <f t="array" ref="K809">IFERROR(INDEX(dim_date!H:H,MATCH(A809,dim_date!A:A,0)),"")</f>
        <v>May</v>
      </c>
      <c r="L809" s="20" t="str">
        <f t="array" ref="L809">IFERROR(INDEX(dim_date!G:G,MATCH(A809,dim_date!A:A,0)),"")</f>
        <v>05</v>
      </c>
      <c r="M809" s="9" t="str">
        <f t="array" ref="M809">IFERROR(INDEX(dim_date!I:I,MATCH(A809,dim_date!A:A,0)),"")</f>
        <v>Q2</v>
      </c>
      <c r="N809" s="20" t="str">
        <f t="array" ref="N809">IFERROR(INDEX(dim_date!K:K,MATCH(A809,dim_date!A:A,0)),"")</f>
        <v>19</v>
      </c>
      <c r="O809" s="9" t="str">
        <f t="array" ref="O809">IFERROR(INDEX(dim_date!F:F,MATCH(A809,dim_date!A:A,0)),"")</f>
        <v>5/3-5/9</v>
      </c>
      <c r="P809" s="9" t="str">
        <f t="array" ref="P809">IFERROR(INDEX(dim_kpi!E:E,MATCH(D809,dim_kpi!C:C,0)),"")</f>
        <v>count</v>
      </c>
      <c r="Q809" s="9" t="str">
        <f t="array" ref="Q809">IFERROR(INDEX(dim_kpi!F:F,MATCH(D809,dim_kpi!C:C,0)),"")</f>
        <v>N</v>
      </c>
    </row>
    <row r="810" ht="12.75" customHeight="1">
      <c r="A810" s="20" t="str">
        <f>fact_kpi_weekly!A810</f>
        <v>260510</v>
      </c>
      <c r="B810" s="21">
        <f>fact_kpi_weekly!B810</f>
        <v>46152</v>
      </c>
      <c r="C810" s="9" t="str">
        <f>fact_kpi_weekly!C810</f>
        <v>Growth</v>
      </c>
      <c r="D810" s="9" t="str">
        <f>fact_kpi_weekly!D810</f>
        <v>DPP Enrollments</v>
      </c>
      <c r="E810" s="9" t="str">
        <f>fact_kpi_weekly!E810</f>
        <v>Goal</v>
      </c>
      <c r="F810" s="9" t="str">
        <f>IF(fact_kpi_weekly!F810="","",fact_kpi_weekly!F810)</f>
        <v/>
      </c>
      <c r="G810" s="9" t="str">
        <f>fact_kpi_weekly!G810</f>
        <v>N/A</v>
      </c>
      <c r="H810" s="9" t="str">
        <f>fact_kpi_weekly!H810</f>
        <v>Luke</v>
      </c>
      <c r="I810" s="9">
        <f>fact_kpi_weekly!I810</f>
        <v>73.39</v>
      </c>
      <c r="J810" s="22">
        <f>fact_kpi_weekly!J810</f>
        <v>73.39</v>
      </c>
      <c r="K810" s="20" t="str">
        <f t="array" ref="K810">IFERROR(INDEX(dim_date!H:H,MATCH(A810,dim_date!A:A,0)),"")</f>
        <v>May</v>
      </c>
      <c r="L810" s="20" t="str">
        <f t="array" ref="L810">IFERROR(INDEX(dim_date!G:G,MATCH(A810,dim_date!A:A,0)),"")</f>
        <v>05</v>
      </c>
      <c r="M810" s="9" t="str">
        <f t="array" ref="M810">IFERROR(INDEX(dim_date!I:I,MATCH(A810,dim_date!A:A,0)),"")</f>
        <v>Q2</v>
      </c>
      <c r="N810" s="20" t="str">
        <f t="array" ref="N810">IFERROR(INDEX(dim_date!K:K,MATCH(A810,dim_date!A:A,0)),"")</f>
        <v>20</v>
      </c>
      <c r="O810" s="9" t="str">
        <f t="array" ref="O810">IFERROR(INDEX(dim_date!F:F,MATCH(A810,dim_date!A:A,0)),"")</f>
        <v>5/10-5/16</v>
      </c>
      <c r="P810" s="9" t="str">
        <f t="array" ref="P810">IFERROR(INDEX(dim_kpi!E:E,MATCH(D810,dim_kpi!C:C,0)),"")</f>
        <v>count</v>
      </c>
      <c r="Q810" s="9" t="str">
        <f t="array" ref="Q810">IFERROR(INDEX(dim_kpi!F:F,MATCH(D810,dim_kpi!C:C,0)),"")</f>
        <v>N</v>
      </c>
    </row>
    <row r="811" ht="12.75" customHeight="1">
      <c r="A811" s="20" t="str">
        <f>fact_kpi_weekly!A811</f>
        <v>260517</v>
      </c>
      <c r="B811" s="21">
        <f>fact_kpi_weekly!B811</f>
        <v>46159</v>
      </c>
      <c r="C811" s="9" t="str">
        <f>fact_kpi_weekly!C811</f>
        <v>Growth</v>
      </c>
      <c r="D811" s="9" t="str">
        <f>fact_kpi_weekly!D811</f>
        <v>DPP Enrollments</v>
      </c>
      <c r="E811" s="9" t="str">
        <f>fact_kpi_weekly!E811</f>
        <v>Goal</v>
      </c>
      <c r="F811" s="9" t="str">
        <f>IF(fact_kpi_weekly!F811="","",fact_kpi_weekly!F811)</f>
        <v/>
      </c>
      <c r="G811" s="9" t="str">
        <f>fact_kpi_weekly!G811</f>
        <v>N/A</v>
      </c>
      <c r="H811" s="9" t="str">
        <f>fact_kpi_weekly!H811</f>
        <v>Luke</v>
      </c>
      <c r="I811" s="9">
        <f>fact_kpi_weekly!I811</f>
        <v>73.39</v>
      </c>
      <c r="J811" s="22">
        <f>fact_kpi_weekly!J811</f>
        <v>73.39</v>
      </c>
      <c r="K811" s="20" t="str">
        <f t="array" ref="K811">IFERROR(INDEX(dim_date!H:H,MATCH(A811,dim_date!A:A,0)),"")</f>
        <v>May</v>
      </c>
      <c r="L811" s="20" t="str">
        <f t="array" ref="L811">IFERROR(INDEX(dim_date!G:G,MATCH(A811,dim_date!A:A,0)),"")</f>
        <v>05</v>
      </c>
      <c r="M811" s="9" t="str">
        <f t="array" ref="M811">IFERROR(INDEX(dim_date!I:I,MATCH(A811,dim_date!A:A,0)),"")</f>
        <v>Q2</v>
      </c>
      <c r="N811" s="20" t="str">
        <f t="array" ref="N811">IFERROR(INDEX(dim_date!K:K,MATCH(A811,dim_date!A:A,0)),"")</f>
        <v>21</v>
      </c>
      <c r="O811" s="9" t="str">
        <f t="array" ref="O811">IFERROR(INDEX(dim_date!F:F,MATCH(A811,dim_date!A:A,0)),"")</f>
        <v>5/17-5/23</v>
      </c>
      <c r="P811" s="9" t="str">
        <f t="array" ref="P811">IFERROR(INDEX(dim_kpi!E:E,MATCH(D811,dim_kpi!C:C,0)),"")</f>
        <v>count</v>
      </c>
      <c r="Q811" s="9" t="str">
        <f t="array" ref="Q811">IFERROR(INDEX(dim_kpi!F:F,MATCH(D811,dim_kpi!C:C,0)),"")</f>
        <v>N</v>
      </c>
    </row>
    <row r="812" ht="12.75" customHeight="1">
      <c r="A812" s="20" t="str">
        <f>fact_kpi_weekly!A812</f>
        <v>260524</v>
      </c>
      <c r="B812" s="21">
        <f>fact_kpi_weekly!B812</f>
        <v>46166</v>
      </c>
      <c r="C812" s="9" t="str">
        <f>fact_kpi_weekly!C812</f>
        <v>Growth</v>
      </c>
      <c r="D812" s="9" t="str">
        <f>fact_kpi_weekly!D812</f>
        <v>DPP Enrollments</v>
      </c>
      <c r="E812" s="9" t="str">
        <f>fact_kpi_weekly!E812</f>
        <v>Goal</v>
      </c>
      <c r="F812" s="9" t="str">
        <f>IF(fact_kpi_weekly!F812="","",fact_kpi_weekly!F812)</f>
        <v/>
      </c>
      <c r="G812" s="9" t="str">
        <f>fact_kpi_weekly!G812</f>
        <v>N/A</v>
      </c>
      <c r="H812" s="9" t="str">
        <f>fact_kpi_weekly!H812</f>
        <v>Luke</v>
      </c>
      <c r="I812" s="9">
        <f>fact_kpi_weekly!I812</f>
        <v>73.39</v>
      </c>
      <c r="J812" s="22">
        <f>fact_kpi_weekly!J812</f>
        <v>73.39</v>
      </c>
      <c r="K812" s="20" t="str">
        <f t="array" ref="K812">IFERROR(INDEX(dim_date!H:H,MATCH(A812,dim_date!A:A,0)),"")</f>
        <v>May</v>
      </c>
      <c r="L812" s="20" t="str">
        <f t="array" ref="L812">IFERROR(INDEX(dim_date!G:G,MATCH(A812,dim_date!A:A,0)),"")</f>
        <v>05</v>
      </c>
      <c r="M812" s="9" t="str">
        <f t="array" ref="M812">IFERROR(INDEX(dim_date!I:I,MATCH(A812,dim_date!A:A,0)),"")</f>
        <v>Q2</v>
      </c>
      <c r="N812" s="20" t="str">
        <f t="array" ref="N812">IFERROR(INDEX(dim_date!K:K,MATCH(A812,dim_date!A:A,0)),"")</f>
        <v>22</v>
      </c>
      <c r="O812" s="9" t="str">
        <f t="array" ref="O812">IFERROR(INDEX(dim_date!F:F,MATCH(A812,dim_date!A:A,0)),"")</f>
        <v>5/24-5/30</v>
      </c>
      <c r="P812" s="9" t="str">
        <f t="array" ref="P812">IFERROR(INDEX(dim_kpi!E:E,MATCH(D812,dim_kpi!C:C,0)),"")</f>
        <v>count</v>
      </c>
      <c r="Q812" s="9" t="str">
        <f t="array" ref="Q812">IFERROR(INDEX(dim_kpi!F:F,MATCH(D812,dim_kpi!C:C,0)),"")</f>
        <v>N</v>
      </c>
    </row>
    <row r="813" ht="12.75" customHeight="1">
      <c r="A813" s="20" t="str">
        <f>fact_kpi_weekly!A813</f>
        <v>260601</v>
      </c>
      <c r="B813" s="21">
        <f>fact_kpi_weekly!B813</f>
        <v>46174</v>
      </c>
      <c r="C813" s="9" t="str">
        <f>fact_kpi_weekly!C813</f>
        <v>Growth</v>
      </c>
      <c r="D813" s="9" t="str">
        <f>fact_kpi_weekly!D813</f>
        <v>DPP Enrollments</v>
      </c>
      <c r="E813" s="9" t="str">
        <f>fact_kpi_weekly!E813</f>
        <v>Goal</v>
      </c>
      <c r="F813" s="9" t="str">
        <f>IF(fact_kpi_weekly!F813="","",fact_kpi_weekly!F813)</f>
        <v/>
      </c>
      <c r="G813" s="9" t="str">
        <f>fact_kpi_weekly!G813</f>
        <v>N/A</v>
      </c>
      <c r="H813" s="9" t="str">
        <f>fact_kpi_weekly!H813</f>
        <v>Luke</v>
      </c>
      <c r="I813" s="9">
        <f>fact_kpi_weekly!I813</f>
        <v>75.83</v>
      </c>
      <c r="J813" s="22">
        <f>fact_kpi_weekly!J813</f>
        <v>75.83</v>
      </c>
      <c r="K813" s="20" t="str">
        <f t="array" ref="K813">IFERROR(INDEX(dim_date!H:H,MATCH(A813,dim_date!A:A,0)),"")</f>
        <v>Jun</v>
      </c>
      <c r="L813" s="20" t="str">
        <f t="array" ref="L813">IFERROR(INDEX(dim_date!G:G,MATCH(A813,dim_date!A:A,0)),"")</f>
        <v>06</v>
      </c>
      <c r="M813" s="9" t="str">
        <f t="array" ref="M813">IFERROR(INDEX(dim_date!I:I,MATCH(A813,dim_date!A:A,0)),"")</f>
        <v>Q2</v>
      </c>
      <c r="N813" s="20" t="str">
        <f t="array" ref="N813">IFERROR(INDEX(dim_date!K:K,MATCH(A813,dim_date!A:A,0)),"")</f>
        <v>23</v>
      </c>
      <c r="O813" s="9" t="str">
        <f t="array" ref="O813">IFERROR(INDEX(dim_date!F:F,MATCH(A813,dim_date!A:A,0)),"")</f>
        <v>5/31-6/6</v>
      </c>
      <c r="P813" s="9" t="str">
        <f t="array" ref="P813">IFERROR(INDEX(dim_kpi!E:E,MATCH(D813,dim_kpi!C:C,0)),"")</f>
        <v>count</v>
      </c>
      <c r="Q813" s="9" t="str">
        <f t="array" ref="Q813">IFERROR(INDEX(dim_kpi!F:F,MATCH(D813,dim_kpi!C:C,0)),"")</f>
        <v>N</v>
      </c>
    </row>
    <row r="814" ht="12.75" customHeight="1">
      <c r="A814" s="20" t="str">
        <f>fact_kpi_weekly!A814</f>
        <v>260607</v>
      </c>
      <c r="B814" s="21">
        <f>fact_kpi_weekly!B814</f>
        <v>46180</v>
      </c>
      <c r="C814" s="9" t="str">
        <f>fact_kpi_weekly!C814</f>
        <v>Growth</v>
      </c>
      <c r="D814" s="9" t="str">
        <f>fact_kpi_weekly!D814</f>
        <v>DPP Enrollments</v>
      </c>
      <c r="E814" s="9" t="str">
        <f>fact_kpi_weekly!E814</f>
        <v>Goal</v>
      </c>
      <c r="F814" s="9" t="str">
        <f>IF(fact_kpi_weekly!F814="","",fact_kpi_weekly!F814)</f>
        <v/>
      </c>
      <c r="G814" s="9" t="str">
        <f>fact_kpi_weekly!G814</f>
        <v>N/A</v>
      </c>
      <c r="H814" s="9" t="str">
        <f>fact_kpi_weekly!H814</f>
        <v>Luke</v>
      </c>
      <c r="I814" s="9">
        <f>fact_kpi_weekly!I814</f>
        <v>75.83</v>
      </c>
      <c r="J814" s="22">
        <f>fact_kpi_weekly!J814</f>
        <v>75.83</v>
      </c>
      <c r="K814" s="20" t="str">
        <f t="array" ref="K814">IFERROR(INDEX(dim_date!H:H,MATCH(A814,dim_date!A:A,0)),"")</f>
        <v>Jun</v>
      </c>
      <c r="L814" s="20" t="str">
        <f t="array" ref="L814">IFERROR(INDEX(dim_date!G:G,MATCH(A814,dim_date!A:A,0)),"")</f>
        <v>06</v>
      </c>
      <c r="M814" s="9" t="str">
        <f t="array" ref="M814">IFERROR(INDEX(dim_date!I:I,MATCH(A814,dim_date!A:A,0)),"")</f>
        <v>Q2</v>
      </c>
      <c r="N814" s="20" t="str">
        <f t="array" ref="N814">IFERROR(INDEX(dim_date!K:K,MATCH(A814,dim_date!A:A,0)),"")</f>
        <v>24</v>
      </c>
      <c r="O814" s="9" t="str">
        <f t="array" ref="O814">IFERROR(INDEX(dim_date!F:F,MATCH(A814,dim_date!A:A,0)),"")</f>
        <v>6/7-6/13</v>
      </c>
      <c r="P814" s="9" t="str">
        <f t="array" ref="P814">IFERROR(INDEX(dim_kpi!E:E,MATCH(D814,dim_kpi!C:C,0)),"")</f>
        <v>count</v>
      </c>
      <c r="Q814" s="9" t="str">
        <f t="array" ref="Q814">IFERROR(INDEX(dim_kpi!F:F,MATCH(D814,dim_kpi!C:C,0)),"")</f>
        <v>N</v>
      </c>
    </row>
    <row r="815" ht="12.75" customHeight="1">
      <c r="A815" s="20" t="str">
        <f>fact_kpi_weekly!A815</f>
        <v>260614</v>
      </c>
      <c r="B815" s="21">
        <f>fact_kpi_weekly!B815</f>
        <v>46187</v>
      </c>
      <c r="C815" s="9" t="str">
        <f>fact_kpi_weekly!C815</f>
        <v>Growth</v>
      </c>
      <c r="D815" s="9" t="str">
        <f>fact_kpi_weekly!D815</f>
        <v>DPP Enrollments</v>
      </c>
      <c r="E815" s="9" t="str">
        <f>fact_kpi_weekly!E815</f>
        <v>Goal</v>
      </c>
      <c r="F815" s="9" t="str">
        <f>IF(fact_kpi_weekly!F815="","",fact_kpi_weekly!F815)</f>
        <v/>
      </c>
      <c r="G815" s="9" t="str">
        <f>fact_kpi_weekly!G815</f>
        <v>N/A</v>
      </c>
      <c r="H815" s="9" t="str">
        <f>fact_kpi_weekly!H815</f>
        <v>Luke</v>
      </c>
      <c r="I815" s="9">
        <f>fact_kpi_weekly!I815</f>
        <v>75.83</v>
      </c>
      <c r="J815" s="22">
        <f>fact_kpi_weekly!J815</f>
        <v>75.83</v>
      </c>
      <c r="K815" s="20" t="str">
        <f t="array" ref="K815">IFERROR(INDEX(dim_date!H:H,MATCH(A815,dim_date!A:A,0)),"")</f>
        <v>Jun</v>
      </c>
      <c r="L815" s="20" t="str">
        <f t="array" ref="L815">IFERROR(INDEX(dim_date!G:G,MATCH(A815,dim_date!A:A,0)),"")</f>
        <v>06</v>
      </c>
      <c r="M815" s="9" t="str">
        <f t="array" ref="M815">IFERROR(INDEX(dim_date!I:I,MATCH(A815,dim_date!A:A,0)),"")</f>
        <v>Q2</v>
      </c>
      <c r="N815" s="20" t="str">
        <f t="array" ref="N815">IFERROR(INDEX(dim_date!K:K,MATCH(A815,dim_date!A:A,0)),"")</f>
        <v>25</v>
      </c>
      <c r="O815" s="9" t="str">
        <f t="array" ref="O815">IFERROR(INDEX(dim_date!F:F,MATCH(A815,dim_date!A:A,0)),"")</f>
        <v>6/14-6/20</v>
      </c>
      <c r="P815" s="9" t="str">
        <f t="array" ref="P815">IFERROR(INDEX(dim_kpi!E:E,MATCH(D815,dim_kpi!C:C,0)),"")</f>
        <v>count</v>
      </c>
      <c r="Q815" s="9" t="str">
        <f t="array" ref="Q815">IFERROR(INDEX(dim_kpi!F:F,MATCH(D815,dim_kpi!C:C,0)),"")</f>
        <v>N</v>
      </c>
    </row>
    <row r="816" ht="12.75" customHeight="1">
      <c r="A816" s="20" t="str">
        <f>fact_kpi_weekly!A816</f>
        <v>260621</v>
      </c>
      <c r="B816" s="21">
        <f>fact_kpi_weekly!B816</f>
        <v>46194</v>
      </c>
      <c r="C816" s="9" t="str">
        <f>fact_kpi_weekly!C816</f>
        <v>Growth</v>
      </c>
      <c r="D816" s="9" t="str">
        <f>fact_kpi_weekly!D816</f>
        <v>DPP Enrollments</v>
      </c>
      <c r="E816" s="9" t="str">
        <f>fact_kpi_weekly!E816</f>
        <v>Goal</v>
      </c>
      <c r="F816" s="9" t="str">
        <f>IF(fact_kpi_weekly!F816="","",fact_kpi_weekly!F816)</f>
        <v/>
      </c>
      <c r="G816" s="9" t="str">
        <f>fact_kpi_weekly!G816</f>
        <v>N/A</v>
      </c>
      <c r="H816" s="9" t="str">
        <f>fact_kpi_weekly!H816</f>
        <v>Luke</v>
      </c>
      <c r="I816" s="9">
        <f>fact_kpi_weekly!I816</f>
        <v>75.83</v>
      </c>
      <c r="J816" s="22">
        <f>fact_kpi_weekly!J816</f>
        <v>75.83</v>
      </c>
      <c r="K816" s="20" t="str">
        <f t="array" ref="K816">IFERROR(INDEX(dim_date!H:H,MATCH(A816,dim_date!A:A,0)),"")</f>
        <v>Jun</v>
      </c>
      <c r="L816" s="20" t="str">
        <f t="array" ref="L816">IFERROR(INDEX(dim_date!G:G,MATCH(A816,dim_date!A:A,0)),"")</f>
        <v>06</v>
      </c>
      <c r="M816" s="9" t="str">
        <f t="array" ref="M816">IFERROR(INDEX(dim_date!I:I,MATCH(A816,dim_date!A:A,0)),"")</f>
        <v>Q2</v>
      </c>
      <c r="N816" s="20" t="str">
        <f t="array" ref="N816">IFERROR(INDEX(dim_date!K:K,MATCH(A816,dim_date!A:A,0)),"")</f>
        <v>26</v>
      </c>
      <c r="O816" s="9" t="str">
        <f t="array" ref="O816">IFERROR(INDEX(dim_date!F:F,MATCH(A816,dim_date!A:A,0)),"")</f>
        <v>6/21-6/27</v>
      </c>
      <c r="P816" s="9" t="str">
        <f t="array" ref="P816">IFERROR(INDEX(dim_kpi!E:E,MATCH(D816,dim_kpi!C:C,0)),"")</f>
        <v>count</v>
      </c>
      <c r="Q816" s="9" t="str">
        <f t="array" ref="Q816">IFERROR(INDEX(dim_kpi!F:F,MATCH(D816,dim_kpi!C:C,0)),"")</f>
        <v>N</v>
      </c>
    </row>
    <row r="817" ht="12.75" customHeight="1">
      <c r="A817" s="20" t="str">
        <f>fact_kpi_weekly!A817</f>
        <v>260628</v>
      </c>
      <c r="B817" s="21">
        <f>fact_kpi_weekly!B817</f>
        <v>46201</v>
      </c>
      <c r="C817" s="9" t="str">
        <f>fact_kpi_weekly!C817</f>
        <v>Growth</v>
      </c>
      <c r="D817" s="9" t="str">
        <f>fact_kpi_weekly!D817</f>
        <v>DPP Enrollments</v>
      </c>
      <c r="E817" s="9" t="str">
        <f>fact_kpi_weekly!E817</f>
        <v>Goal</v>
      </c>
      <c r="F817" s="9" t="str">
        <f>IF(fact_kpi_weekly!F817="","",fact_kpi_weekly!F817)</f>
        <v/>
      </c>
      <c r="G817" s="9" t="str">
        <f>fact_kpi_weekly!G817</f>
        <v>N/A</v>
      </c>
      <c r="H817" s="9" t="str">
        <f>fact_kpi_weekly!H817</f>
        <v>Luke</v>
      </c>
      <c r="I817" s="9">
        <f>fact_kpi_weekly!I817</f>
        <v>61.99</v>
      </c>
      <c r="J817" s="22">
        <f>fact_kpi_weekly!J817</f>
        <v>61.99</v>
      </c>
      <c r="K817" s="20" t="str">
        <f t="array" ref="K817">IFERROR(INDEX(dim_date!H:H,MATCH(A817,dim_date!A:A,0)),"")</f>
        <v>Jun</v>
      </c>
      <c r="L817" s="20" t="str">
        <f t="array" ref="L817">IFERROR(INDEX(dim_date!G:G,MATCH(A817,dim_date!A:A,0)),"")</f>
        <v>06</v>
      </c>
      <c r="M817" s="9" t="str">
        <f t="array" ref="M817">IFERROR(INDEX(dim_date!I:I,MATCH(A817,dim_date!A:A,0)),"")</f>
        <v>Q2</v>
      </c>
      <c r="N817" s="20" t="str">
        <f t="array" ref="N817">IFERROR(INDEX(dim_date!K:K,MATCH(A817,dim_date!A:A,0)),"")</f>
        <v>27</v>
      </c>
      <c r="O817" s="9" t="str">
        <f t="array" ref="O817">IFERROR(INDEX(dim_date!F:F,MATCH(A817,dim_date!A:A,0)),"")</f>
        <v>6/28-7/4</v>
      </c>
      <c r="P817" s="9" t="str">
        <f t="array" ref="P817">IFERROR(INDEX(dim_kpi!E:E,MATCH(D817,dim_kpi!C:C,0)),"")</f>
        <v>count</v>
      </c>
      <c r="Q817" s="9" t="str">
        <f t="array" ref="Q817">IFERROR(INDEX(dim_kpi!F:F,MATCH(D817,dim_kpi!C:C,0)),"")</f>
        <v>N</v>
      </c>
    </row>
    <row r="818" ht="12.75" customHeight="1">
      <c r="A818" s="20" t="str">
        <f>fact_kpi_weekly!A818</f>
        <v>260705</v>
      </c>
      <c r="B818" s="21">
        <f>fact_kpi_weekly!B818</f>
        <v>46208</v>
      </c>
      <c r="C818" s="9" t="str">
        <f>fact_kpi_weekly!C818</f>
        <v>Growth</v>
      </c>
      <c r="D818" s="9" t="str">
        <f>fact_kpi_weekly!D818</f>
        <v>DPP Enrollments</v>
      </c>
      <c r="E818" s="9" t="str">
        <f>fact_kpi_weekly!E818</f>
        <v>Goal</v>
      </c>
      <c r="F818" s="9" t="str">
        <f>IF(fact_kpi_weekly!F818="","",fact_kpi_weekly!F818)</f>
        <v/>
      </c>
      <c r="G818" s="9" t="str">
        <f>fact_kpi_weekly!G818</f>
        <v>N/A</v>
      </c>
      <c r="H818" s="9" t="str">
        <f>fact_kpi_weekly!H818</f>
        <v>Luke</v>
      </c>
      <c r="I818" s="9">
        <f>fact_kpi_weekly!I818</f>
        <v>56.45</v>
      </c>
      <c r="J818" s="22">
        <f>fact_kpi_weekly!J818</f>
        <v>56.45</v>
      </c>
      <c r="K818" s="20" t="str">
        <f t="array" ref="K818">IFERROR(INDEX(dim_date!H:H,MATCH(A818,dim_date!A:A,0)),"")</f>
        <v>Jul</v>
      </c>
      <c r="L818" s="20" t="str">
        <f t="array" ref="L818">IFERROR(INDEX(dim_date!G:G,MATCH(A818,dim_date!A:A,0)),"")</f>
        <v>07</v>
      </c>
      <c r="M818" s="9" t="str">
        <f t="array" ref="M818">IFERROR(INDEX(dim_date!I:I,MATCH(A818,dim_date!A:A,0)),"")</f>
        <v>Q3</v>
      </c>
      <c r="N818" s="20" t="str">
        <f t="array" ref="N818">IFERROR(INDEX(dim_date!K:K,MATCH(A818,dim_date!A:A,0)),"")</f>
        <v>28</v>
      </c>
      <c r="O818" s="9" t="str">
        <f t="array" ref="O818">IFERROR(INDEX(dim_date!F:F,MATCH(A818,dim_date!A:A,0)),"")</f>
        <v>7/5-7/11</v>
      </c>
      <c r="P818" s="9" t="str">
        <f t="array" ref="P818">IFERROR(INDEX(dim_kpi!E:E,MATCH(D818,dim_kpi!C:C,0)),"")</f>
        <v>count</v>
      </c>
      <c r="Q818" s="9" t="str">
        <f t="array" ref="Q818">IFERROR(INDEX(dim_kpi!F:F,MATCH(D818,dim_kpi!C:C,0)),"")</f>
        <v>N</v>
      </c>
    </row>
    <row r="819" ht="12.75" customHeight="1">
      <c r="A819" s="20" t="str">
        <f>fact_kpi_weekly!A819</f>
        <v>260712</v>
      </c>
      <c r="B819" s="21">
        <f>fact_kpi_weekly!B819</f>
        <v>46215</v>
      </c>
      <c r="C819" s="9" t="str">
        <f>fact_kpi_weekly!C819</f>
        <v>Growth</v>
      </c>
      <c r="D819" s="9" t="str">
        <f>fact_kpi_weekly!D819</f>
        <v>DPP Enrollments</v>
      </c>
      <c r="E819" s="9" t="str">
        <f>fact_kpi_weekly!E819</f>
        <v>Goal</v>
      </c>
      <c r="F819" s="9" t="str">
        <f>IF(fact_kpi_weekly!F819="","",fact_kpi_weekly!F819)</f>
        <v/>
      </c>
      <c r="G819" s="9" t="str">
        <f>fact_kpi_weekly!G819</f>
        <v>N/A</v>
      </c>
      <c r="H819" s="9" t="str">
        <f>fact_kpi_weekly!H819</f>
        <v>Luke</v>
      </c>
      <c r="I819" s="9">
        <f>fact_kpi_weekly!I819</f>
        <v>56.45</v>
      </c>
      <c r="J819" s="22">
        <f>fact_kpi_weekly!J819</f>
        <v>56.45</v>
      </c>
      <c r="K819" s="20" t="str">
        <f t="array" ref="K819">IFERROR(INDEX(dim_date!H:H,MATCH(A819,dim_date!A:A,0)),"")</f>
        <v>Jul</v>
      </c>
      <c r="L819" s="20" t="str">
        <f t="array" ref="L819">IFERROR(INDEX(dim_date!G:G,MATCH(A819,dim_date!A:A,0)),"")</f>
        <v>07</v>
      </c>
      <c r="M819" s="9" t="str">
        <f t="array" ref="M819">IFERROR(INDEX(dim_date!I:I,MATCH(A819,dim_date!A:A,0)),"")</f>
        <v>Q3</v>
      </c>
      <c r="N819" s="20" t="str">
        <f t="array" ref="N819">IFERROR(INDEX(dim_date!K:K,MATCH(A819,dim_date!A:A,0)),"")</f>
        <v>29</v>
      </c>
      <c r="O819" s="9" t="str">
        <f t="array" ref="O819">IFERROR(INDEX(dim_date!F:F,MATCH(A819,dim_date!A:A,0)),"")</f>
        <v>7/12-7/18</v>
      </c>
      <c r="P819" s="9" t="str">
        <f t="array" ref="P819">IFERROR(INDEX(dim_kpi!E:E,MATCH(D819,dim_kpi!C:C,0)),"")</f>
        <v>count</v>
      </c>
      <c r="Q819" s="9" t="str">
        <f t="array" ref="Q819">IFERROR(INDEX(dim_kpi!F:F,MATCH(D819,dim_kpi!C:C,0)),"")</f>
        <v>N</v>
      </c>
    </row>
    <row r="820" ht="12.75" customHeight="1">
      <c r="A820" s="20" t="str">
        <f>fact_kpi_weekly!A820</f>
        <v>260719</v>
      </c>
      <c r="B820" s="21">
        <f>fact_kpi_weekly!B820</f>
        <v>46222</v>
      </c>
      <c r="C820" s="9" t="str">
        <f>fact_kpi_weekly!C820</f>
        <v>Growth</v>
      </c>
      <c r="D820" s="9" t="str">
        <f>fact_kpi_weekly!D820</f>
        <v>DPP Enrollments</v>
      </c>
      <c r="E820" s="9" t="str">
        <f>fact_kpi_weekly!E820</f>
        <v>Goal</v>
      </c>
      <c r="F820" s="9" t="str">
        <f>IF(fact_kpi_weekly!F820="","",fact_kpi_weekly!F820)</f>
        <v/>
      </c>
      <c r="G820" s="9" t="str">
        <f>fact_kpi_weekly!G820</f>
        <v>N/A</v>
      </c>
      <c r="H820" s="9" t="str">
        <f>fact_kpi_weekly!H820</f>
        <v>Luke</v>
      </c>
      <c r="I820" s="9">
        <f>fact_kpi_weekly!I820</f>
        <v>56.45</v>
      </c>
      <c r="J820" s="22">
        <f>fact_kpi_weekly!J820</f>
        <v>56.45</v>
      </c>
      <c r="K820" s="20" t="str">
        <f t="array" ref="K820">IFERROR(INDEX(dim_date!H:H,MATCH(A820,dim_date!A:A,0)),"")</f>
        <v>Jul</v>
      </c>
      <c r="L820" s="20" t="str">
        <f t="array" ref="L820">IFERROR(INDEX(dim_date!G:G,MATCH(A820,dim_date!A:A,0)),"")</f>
        <v>07</v>
      </c>
      <c r="M820" s="9" t="str">
        <f t="array" ref="M820">IFERROR(INDEX(dim_date!I:I,MATCH(A820,dim_date!A:A,0)),"")</f>
        <v>Q3</v>
      </c>
      <c r="N820" s="20" t="str">
        <f t="array" ref="N820">IFERROR(INDEX(dim_date!K:K,MATCH(A820,dim_date!A:A,0)),"")</f>
        <v>30</v>
      </c>
      <c r="O820" s="9" t="str">
        <f t="array" ref="O820">IFERROR(INDEX(dim_date!F:F,MATCH(A820,dim_date!A:A,0)),"")</f>
        <v>7/19-7/25</v>
      </c>
      <c r="P820" s="9" t="str">
        <f t="array" ref="P820">IFERROR(INDEX(dim_kpi!E:E,MATCH(D820,dim_kpi!C:C,0)),"")</f>
        <v>count</v>
      </c>
      <c r="Q820" s="9" t="str">
        <f t="array" ref="Q820">IFERROR(INDEX(dim_kpi!F:F,MATCH(D820,dim_kpi!C:C,0)),"")</f>
        <v>N</v>
      </c>
    </row>
    <row r="821" ht="12.75" customHeight="1">
      <c r="A821" s="20" t="str">
        <f>fact_kpi_weekly!A821</f>
        <v>260726</v>
      </c>
      <c r="B821" s="21">
        <f>fact_kpi_weekly!B821</f>
        <v>46229</v>
      </c>
      <c r="C821" s="9" t="str">
        <f>fact_kpi_weekly!C821</f>
        <v>Growth</v>
      </c>
      <c r="D821" s="9" t="str">
        <f>fact_kpi_weekly!D821</f>
        <v>DPP Enrollments</v>
      </c>
      <c r="E821" s="9" t="str">
        <f>fact_kpi_weekly!E821</f>
        <v>Goal</v>
      </c>
      <c r="F821" s="9" t="str">
        <f>IF(fact_kpi_weekly!F821="","",fact_kpi_weekly!F821)</f>
        <v/>
      </c>
      <c r="G821" s="9" t="str">
        <f>fact_kpi_weekly!G821</f>
        <v>N/A</v>
      </c>
      <c r="H821" s="9" t="str">
        <f>fact_kpi_weekly!H821</f>
        <v>Luke</v>
      </c>
      <c r="I821" s="9">
        <f>fact_kpi_weekly!I821</f>
        <v>56.45</v>
      </c>
      <c r="J821" s="22">
        <f>fact_kpi_weekly!J821</f>
        <v>56.45</v>
      </c>
      <c r="K821" s="20" t="str">
        <f t="array" ref="K821">IFERROR(INDEX(dim_date!H:H,MATCH(A821,dim_date!A:A,0)),"")</f>
        <v>Jul</v>
      </c>
      <c r="L821" s="20" t="str">
        <f t="array" ref="L821">IFERROR(INDEX(dim_date!G:G,MATCH(A821,dim_date!A:A,0)),"")</f>
        <v>07</v>
      </c>
      <c r="M821" s="9" t="str">
        <f t="array" ref="M821">IFERROR(INDEX(dim_date!I:I,MATCH(A821,dim_date!A:A,0)),"")</f>
        <v>Q3</v>
      </c>
      <c r="N821" s="20" t="str">
        <f t="array" ref="N821">IFERROR(INDEX(dim_date!K:K,MATCH(A821,dim_date!A:A,0)),"")</f>
        <v>31</v>
      </c>
      <c r="O821" s="9" t="str">
        <f t="array" ref="O821">IFERROR(INDEX(dim_date!F:F,MATCH(A821,dim_date!A:A,0)),"")</f>
        <v>7/26-8/1</v>
      </c>
      <c r="P821" s="9" t="str">
        <f t="array" ref="P821">IFERROR(INDEX(dim_kpi!E:E,MATCH(D821,dim_kpi!C:C,0)),"")</f>
        <v>count</v>
      </c>
      <c r="Q821" s="9" t="str">
        <f t="array" ref="Q821">IFERROR(INDEX(dim_kpi!F:F,MATCH(D821,dim_kpi!C:C,0)),"")</f>
        <v>N</v>
      </c>
    </row>
    <row r="822" ht="12.75" customHeight="1">
      <c r="A822" s="20" t="str">
        <f>fact_kpi_weekly!A822</f>
        <v>260802</v>
      </c>
      <c r="B822" s="21">
        <f>fact_kpi_weekly!B822</f>
        <v>46236</v>
      </c>
      <c r="C822" s="9" t="str">
        <f>fact_kpi_weekly!C822</f>
        <v>Growth</v>
      </c>
      <c r="D822" s="9" t="str">
        <f>fact_kpi_weekly!D822</f>
        <v>DPP Enrollments</v>
      </c>
      <c r="E822" s="9" t="str">
        <f>fact_kpi_weekly!E822</f>
        <v>Goal</v>
      </c>
      <c r="F822" s="9" t="str">
        <f>IF(fact_kpi_weekly!F822="","",fact_kpi_weekly!F822)</f>
        <v/>
      </c>
      <c r="G822" s="9" t="str">
        <f>fact_kpi_weekly!G822</f>
        <v>N/A</v>
      </c>
      <c r="H822" s="9" t="str">
        <f>fact_kpi_weekly!H822</f>
        <v>Luke</v>
      </c>
      <c r="I822" s="9">
        <f>fact_kpi_weekly!I822</f>
        <v>56.45</v>
      </c>
      <c r="J822" s="22">
        <f>fact_kpi_weekly!J822</f>
        <v>56.45</v>
      </c>
      <c r="K822" s="20" t="str">
        <f t="array" ref="K822">IFERROR(INDEX(dim_date!H:H,MATCH(A822,dim_date!A:A,0)),"")</f>
        <v>Aug</v>
      </c>
      <c r="L822" s="20" t="str">
        <f t="array" ref="L822">IFERROR(INDEX(dim_date!G:G,MATCH(A822,dim_date!A:A,0)),"")</f>
        <v>08</v>
      </c>
      <c r="M822" s="9" t="str">
        <f t="array" ref="M822">IFERROR(INDEX(dim_date!I:I,MATCH(A822,dim_date!A:A,0)),"")</f>
        <v>Q3</v>
      </c>
      <c r="N822" s="20" t="str">
        <f t="array" ref="N822">IFERROR(INDEX(dim_date!K:K,MATCH(A822,dim_date!A:A,0)),"")</f>
        <v>32</v>
      </c>
      <c r="O822" s="9" t="str">
        <f t="array" ref="O822">IFERROR(INDEX(dim_date!F:F,MATCH(A822,dim_date!A:A,0)),"")</f>
        <v>8/2-8/8</v>
      </c>
      <c r="P822" s="9" t="str">
        <f t="array" ref="P822">IFERROR(INDEX(dim_kpi!E:E,MATCH(D822,dim_kpi!C:C,0)),"")</f>
        <v>count</v>
      </c>
      <c r="Q822" s="9" t="str">
        <f t="array" ref="Q822">IFERROR(INDEX(dim_kpi!F:F,MATCH(D822,dim_kpi!C:C,0)),"")</f>
        <v>N</v>
      </c>
    </row>
    <row r="823" ht="12.75" customHeight="1">
      <c r="A823" s="20" t="str">
        <f>fact_kpi_weekly!A823</f>
        <v>260809</v>
      </c>
      <c r="B823" s="21">
        <f>fact_kpi_weekly!B823</f>
        <v>46243</v>
      </c>
      <c r="C823" s="9" t="str">
        <f>fact_kpi_weekly!C823</f>
        <v>Growth</v>
      </c>
      <c r="D823" s="9" t="str">
        <f>fact_kpi_weekly!D823</f>
        <v>DPP Enrollments</v>
      </c>
      <c r="E823" s="9" t="str">
        <f>fact_kpi_weekly!E823</f>
        <v>Goal</v>
      </c>
      <c r="F823" s="9" t="str">
        <f>IF(fact_kpi_weekly!F823="","",fact_kpi_weekly!F823)</f>
        <v/>
      </c>
      <c r="G823" s="9" t="str">
        <f>fact_kpi_weekly!G823</f>
        <v>N/A</v>
      </c>
      <c r="H823" s="9" t="str">
        <f>fact_kpi_weekly!H823</f>
        <v>Luke</v>
      </c>
      <c r="I823" s="9">
        <f>fact_kpi_weekly!I823</f>
        <v>56.45</v>
      </c>
      <c r="J823" s="22">
        <f>fact_kpi_weekly!J823</f>
        <v>56.45</v>
      </c>
      <c r="K823" s="20" t="str">
        <f t="array" ref="K823">IFERROR(INDEX(dim_date!H:H,MATCH(A823,dim_date!A:A,0)),"")</f>
        <v>Aug</v>
      </c>
      <c r="L823" s="20" t="str">
        <f t="array" ref="L823">IFERROR(INDEX(dim_date!G:G,MATCH(A823,dim_date!A:A,0)),"")</f>
        <v>08</v>
      </c>
      <c r="M823" s="9" t="str">
        <f t="array" ref="M823">IFERROR(INDEX(dim_date!I:I,MATCH(A823,dim_date!A:A,0)),"")</f>
        <v>Q3</v>
      </c>
      <c r="N823" s="20" t="str">
        <f t="array" ref="N823">IFERROR(INDEX(dim_date!K:K,MATCH(A823,dim_date!A:A,0)),"")</f>
        <v>33</v>
      </c>
      <c r="O823" s="9" t="str">
        <f t="array" ref="O823">IFERROR(INDEX(dim_date!F:F,MATCH(A823,dim_date!A:A,0)),"")</f>
        <v>8/9-8/15</v>
      </c>
      <c r="P823" s="9" t="str">
        <f t="array" ref="P823">IFERROR(INDEX(dim_kpi!E:E,MATCH(D823,dim_kpi!C:C,0)),"")</f>
        <v>count</v>
      </c>
      <c r="Q823" s="9" t="str">
        <f t="array" ref="Q823">IFERROR(INDEX(dim_kpi!F:F,MATCH(D823,dim_kpi!C:C,0)),"")</f>
        <v>N</v>
      </c>
    </row>
    <row r="824" ht="12.75" customHeight="1">
      <c r="A824" s="20" t="str">
        <f>fact_kpi_weekly!A824</f>
        <v>260816</v>
      </c>
      <c r="B824" s="21">
        <f>fact_kpi_weekly!B824</f>
        <v>46250</v>
      </c>
      <c r="C824" s="9" t="str">
        <f>fact_kpi_weekly!C824</f>
        <v>Growth</v>
      </c>
      <c r="D824" s="9" t="str">
        <f>fact_kpi_weekly!D824</f>
        <v>DPP Enrollments</v>
      </c>
      <c r="E824" s="9" t="str">
        <f>fact_kpi_weekly!E824</f>
        <v>Goal</v>
      </c>
      <c r="F824" s="9" t="str">
        <f>IF(fact_kpi_weekly!F824="","",fact_kpi_weekly!F824)</f>
        <v/>
      </c>
      <c r="G824" s="9" t="str">
        <f>fact_kpi_weekly!G824</f>
        <v>N/A</v>
      </c>
      <c r="H824" s="9" t="str">
        <f>fact_kpi_weekly!H824</f>
        <v>Luke</v>
      </c>
      <c r="I824" s="9">
        <f>fact_kpi_weekly!I824</f>
        <v>56.45</v>
      </c>
      <c r="J824" s="22">
        <f>fact_kpi_weekly!J824</f>
        <v>56.45</v>
      </c>
      <c r="K824" s="20" t="str">
        <f t="array" ref="K824">IFERROR(INDEX(dim_date!H:H,MATCH(A824,dim_date!A:A,0)),"")</f>
        <v>Aug</v>
      </c>
      <c r="L824" s="20" t="str">
        <f t="array" ref="L824">IFERROR(INDEX(dim_date!G:G,MATCH(A824,dim_date!A:A,0)),"")</f>
        <v>08</v>
      </c>
      <c r="M824" s="9" t="str">
        <f t="array" ref="M824">IFERROR(INDEX(dim_date!I:I,MATCH(A824,dim_date!A:A,0)),"")</f>
        <v>Q3</v>
      </c>
      <c r="N824" s="20" t="str">
        <f t="array" ref="N824">IFERROR(INDEX(dim_date!K:K,MATCH(A824,dim_date!A:A,0)),"")</f>
        <v>34</v>
      </c>
      <c r="O824" s="9" t="str">
        <f t="array" ref="O824">IFERROR(INDEX(dim_date!F:F,MATCH(A824,dim_date!A:A,0)),"")</f>
        <v>8/16-8/22</v>
      </c>
      <c r="P824" s="9" t="str">
        <f t="array" ref="P824">IFERROR(INDEX(dim_kpi!E:E,MATCH(D824,dim_kpi!C:C,0)),"")</f>
        <v>count</v>
      </c>
      <c r="Q824" s="9" t="str">
        <f t="array" ref="Q824">IFERROR(INDEX(dim_kpi!F:F,MATCH(D824,dim_kpi!C:C,0)),"")</f>
        <v>N</v>
      </c>
    </row>
    <row r="825" ht="12.75" customHeight="1">
      <c r="A825" s="20" t="str">
        <f>fact_kpi_weekly!A825</f>
        <v>260823</v>
      </c>
      <c r="B825" s="21">
        <f>fact_kpi_weekly!B825</f>
        <v>46257</v>
      </c>
      <c r="C825" s="9" t="str">
        <f>fact_kpi_weekly!C825</f>
        <v>Growth</v>
      </c>
      <c r="D825" s="9" t="str">
        <f>fact_kpi_weekly!D825</f>
        <v>DPP Enrollments</v>
      </c>
      <c r="E825" s="9" t="str">
        <f>fact_kpi_weekly!E825</f>
        <v>Goal</v>
      </c>
      <c r="F825" s="9" t="str">
        <f>IF(fact_kpi_weekly!F825="","",fact_kpi_weekly!F825)</f>
        <v/>
      </c>
      <c r="G825" s="9" t="str">
        <f>fact_kpi_weekly!G825</f>
        <v>N/A</v>
      </c>
      <c r="H825" s="9" t="str">
        <f>fact_kpi_weekly!H825</f>
        <v>Luke</v>
      </c>
      <c r="I825" s="9">
        <f>fact_kpi_weekly!I825</f>
        <v>56.45</v>
      </c>
      <c r="J825" s="22">
        <f>fact_kpi_weekly!J825</f>
        <v>56.45</v>
      </c>
      <c r="K825" s="20" t="str">
        <f t="array" ref="K825">IFERROR(INDEX(dim_date!H:H,MATCH(A825,dim_date!A:A,0)),"")</f>
        <v>Aug</v>
      </c>
      <c r="L825" s="20" t="str">
        <f t="array" ref="L825">IFERROR(INDEX(dim_date!G:G,MATCH(A825,dim_date!A:A,0)),"")</f>
        <v>08</v>
      </c>
      <c r="M825" s="9" t="str">
        <f t="array" ref="M825">IFERROR(INDEX(dim_date!I:I,MATCH(A825,dim_date!A:A,0)),"")</f>
        <v>Q3</v>
      </c>
      <c r="N825" s="20" t="str">
        <f t="array" ref="N825">IFERROR(INDEX(dim_date!K:K,MATCH(A825,dim_date!A:A,0)),"")</f>
        <v>35</v>
      </c>
      <c r="O825" s="9" t="str">
        <f t="array" ref="O825">IFERROR(INDEX(dim_date!F:F,MATCH(A825,dim_date!A:A,0)),"")</f>
        <v>8/23-8/29</v>
      </c>
      <c r="P825" s="9" t="str">
        <f t="array" ref="P825">IFERROR(INDEX(dim_kpi!E:E,MATCH(D825,dim_kpi!C:C,0)),"")</f>
        <v>count</v>
      </c>
      <c r="Q825" s="9" t="str">
        <f t="array" ref="Q825">IFERROR(INDEX(dim_kpi!F:F,MATCH(D825,dim_kpi!C:C,0)),"")</f>
        <v>N</v>
      </c>
    </row>
    <row r="826" ht="12.75" customHeight="1">
      <c r="A826" s="20" t="str">
        <f>fact_kpi_weekly!A826</f>
        <v>260830</v>
      </c>
      <c r="B826" s="21">
        <f>fact_kpi_weekly!B826</f>
        <v>46264</v>
      </c>
      <c r="C826" s="9" t="str">
        <f>fact_kpi_weekly!C826</f>
        <v>Growth</v>
      </c>
      <c r="D826" s="9" t="str">
        <f>fact_kpi_weekly!D826</f>
        <v>DPP Enrollments</v>
      </c>
      <c r="E826" s="9" t="str">
        <f>fact_kpi_weekly!E826</f>
        <v>Goal</v>
      </c>
      <c r="F826" s="9" t="str">
        <f>IF(fact_kpi_weekly!F826="","",fact_kpi_weekly!F826)</f>
        <v/>
      </c>
      <c r="G826" s="9" t="str">
        <f>fact_kpi_weekly!G826</f>
        <v>N/A</v>
      </c>
      <c r="H826" s="9" t="str">
        <f>fact_kpi_weekly!H826</f>
        <v>Luke</v>
      </c>
      <c r="I826" s="9">
        <f>fact_kpi_weekly!I826</f>
        <v>68.06</v>
      </c>
      <c r="J826" s="22">
        <f>fact_kpi_weekly!J826</f>
        <v>68.06</v>
      </c>
      <c r="K826" s="20" t="str">
        <f t="array" ref="K826">IFERROR(INDEX(dim_date!H:H,MATCH(A826,dim_date!A:A,0)),"")</f>
        <v>Aug</v>
      </c>
      <c r="L826" s="20" t="str">
        <f t="array" ref="L826">IFERROR(INDEX(dim_date!G:G,MATCH(A826,dim_date!A:A,0)),"")</f>
        <v>08</v>
      </c>
      <c r="M826" s="9" t="str">
        <f t="array" ref="M826">IFERROR(INDEX(dim_date!I:I,MATCH(A826,dim_date!A:A,0)),"")</f>
        <v>Q3</v>
      </c>
      <c r="N826" s="20" t="str">
        <f t="array" ref="N826">IFERROR(INDEX(dim_date!K:K,MATCH(A826,dim_date!A:A,0)),"")</f>
        <v>36</v>
      </c>
      <c r="O826" s="9" t="str">
        <f t="array" ref="O826">IFERROR(INDEX(dim_date!F:F,MATCH(A826,dim_date!A:A,0)),"")</f>
        <v>8/30-9/5</v>
      </c>
      <c r="P826" s="9" t="str">
        <f t="array" ref="P826">IFERROR(INDEX(dim_kpi!E:E,MATCH(D826,dim_kpi!C:C,0)),"")</f>
        <v>count</v>
      </c>
      <c r="Q826" s="9" t="str">
        <f t="array" ref="Q826">IFERROR(INDEX(dim_kpi!F:F,MATCH(D826,dim_kpi!C:C,0)),"")</f>
        <v>N</v>
      </c>
    </row>
    <row r="827" ht="12.75" customHeight="1">
      <c r="A827" s="20" t="str">
        <f>fact_kpi_weekly!A827</f>
        <v>260906</v>
      </c>
      <c r="B827" s="21">
        <f>fact_kpi_weekly!B827</f>
        <v>46271</v>
      </c>
      <c r="C827" s="9" t="str">
        <f>fact_kpi_weekly!C827</f>
        <v>Growth</v>
      </c>
      <c r="D827" s="9" t="str">
        <f>fact_kpi_weekly!D827</f>
        <v>DPP Enrollments</v>
      </c>
      <c r="E827" s="9" t="str">
        <f>fact_kpi_weekly!E827</f>
        <v>Goal</v>
      </c>
      <c r="F827" s="9" t="str">
        <f>IF(fact_kpi_weekly!F827="","",fact_kpi_weekly!F827)</f>
        <v/>
      </c>
      <c r="G827" s="9" t="str">
        <f>fact_kpi_weekly!G827</f>
        <v>N/A</v>
      </c>
      <c r="H827" s="9" t="str">
        <f>fact_kpi_weekly!H827</f>
        <v>Luke</v>
      </c>
      <c r="I827" s="9">
        <f>fact_kpi_weekly!I827</f>
        <v>70</v>
      </c>
      <c r="J827" s="22">
        <f>fact_kpi_weekly!J827</f>
        <v>70</v>
      </c>
      <c r="K827" s="20" t="str">
        <f t="array" ref="K827">IFERROR(INDEX(dim_date!H:H,MATCH(A827,dim_date!A:A,0)),"")</f>
        <v>Sep</v>
      </c>
      <c r="L827" s="20" t="str">
        <f t="array" ref="L827">IFERROR(INDEX(dim_date!G:G,MATCH(A827,dim_date!A:A,0)),"")</f>
        <v>09</v>
      </c>
      <c r="M827" s="9" t="str">
        <f t="array" ref="M827">IFERROR(INDEX(dim_date!I:I,MATCH(A827,dim_date!A:A,0)),"")</f>
        <v>Q3</v>
      </c>
      <c r="N827" s="20" t="str">
        <f t="array" ref="N827">IFERROR(INDEX(dim_date!K:K,MATCH(A827,dim_date!A:A,0)),"")</f>
        <v>37</v>
      </c>
      <c r="O827" s="9" t="str">
        <f t="array" ref="O827">IFERROR(INDEX(dim_date!F:F,MATCH(A827,dim_date!A:A,0)),"")</f>
        <v>9/6-9/12</v>
      </c>
      <c r="P827" s="9" t="str">
        <f t="array" ref="P827">IFERROR(INDEX(dim_kpi!E:E,MATCH(D827,dim_kpi!C:C,0)),"")</f>
        <v>count</v>
      </c>
      <c r="Q827" s="9" t="str">
        <f t="array" ref="Q827">IFERROR(INDEX(dim_kpi!F:F,MATCH(D827,dim_kpi!C:C,0)),"")</f>
        <v>N</v>
      </c>
    </row>
    <row r="828" ht="12.75" customHeight="1">
      <c r="A828" s="20" t="str">
        <f>fact_kpi_weekly!A828</f>
        <v>260913</v>
      </c>
      <c r="B828" s="21">
        <f>fact_kpi_weekly!B828</f>
        <v>46278</v>
      </c>
      <c r="C828" s="9" t="str">
        <f>fact_kpi_weekly!C828</f>
        <v>Growth</v>
      </c>
      <c r="D828" s="9" t="str">
        <f>fact_kpi_weekly!D828</f>
        <v>DPP Enrollments</v>
      </c>
      <c r="E828" s="9" t="str">
        <f>fact_kpi_weekly!E828</f>
        <v>Goal</v>
      </c>
      <c r="F828" s="9" t="str">
        <f>IF(fact_kpi_weekly!F828="","",fact_kpi_weekly!F828)</f>
        <v/>
      </c>
      <c r="G828" s="9" t="str">
        <f>fact_kpi_weekly!G828</f>
        <v>N/A</v>
      </c>
      <c r="H828" s="9" t="str">
        <f>fact_kpi_weekly!H828</f>
        <v>Luke</v>
      </c>
      <c r="I828" s="9">
        <f>fact_kpi_weekly!I828</f>
        <v>70</v>
      </c>
      <c r="J828" s="22">
        <f>fact_kpi_weekly!J828</f>
        <v>70</v>
      </c>
      <c r="K828" s="20" t="str">
        <f t="array" ref="K828">IFERROR(INDEX(dim_date!H:H,MATCH(A828,dim_date!A:A,0)),"")</f>
        <v>Sep</v>
      </c>
      <c r="L828" s="20" t="str">
        <f t="array" ref="L828">IFERROR(INDEX(dim_date!G:G,MATCH(A828,dim_date!A:A,0)),"")</f>
        <v>09</v>
      </c>
      <c r="M828" s="9" t="str">
        <f t="array" ref="M828">IFERROR(INDEX(dim_date!I:I,MATCH(A828,dim_date!A:A,0)),"")</f>
        <v>Q3</v>
      </c>
      <c r="N828" s="20" t="str">
        <f t="array" ref="N828">IFERROR(INDEX(dim_date!K:K,MATCH(A828,dim_date!A:A,0)),"")</f>
        <v>38</v>
      </c>
      <c r="O828" s="9" t="str">
        <f t="array" ref="O828">IFERROR(INDEX(dim_date!F:F,MATCH(A828,dim_date!A:A,0)),"")</f>
        <v>9/13-9/19</v>
      </c>
      <c r="P828" s="9" t="str">
        <f t="array" ref="P828">IFERROR(INDEX(dim_kpi!E:E,MATCH(D828,dim_kpi!C:C,0)),"")</f>
        <v>count</v>
      </c>
      <c r="Q828" s="9" t="str">
        <f t="array" ref="Q828">IFERROR(INDEX(dim_kpi!F:F,MATCH(D828,dim_kpi!C:C,0)),"")</f>
        <v>N</v>
      </c>
    </row>
    <row r="829" ht="12.75" customHeight="1">
      <c r="A829" s="20" t="str">
        <f>fact_kpi_weekly!A829</f>
        <v>260920</v>
      </c>
      <c r="B829" s="21">
        <f>fact_kpi_weekly!B829</f>
        <v>46285</v>
      </c>
      <c r="C829" s="9" t="str">
        <f>fact_kpi_weekly!C829</f>
        <v>Growth</v>
      </c>
      <c r="D829" s="9" t="str">
        <f>fact_kpi_weekly!D829</f>
        <v>DPP Enrollments</v>
      </c>
      <c r="E829" s="9" t="str">
        <f>fact_kpi_weekly!E829</f>
        <v>Goal</v>
      </c>
      <c r="F829" s="9" t="str">
        <f>IF(fact_kpi_weekly!F829="","",fact_kpi_weekly!F829)</f>
        <v/>
      </c>
      <c r="G829" s="9" t="str">
        <f>fact_kpi_weekly!G829</f>
        <v>N/A</v>
      </c>
      <c r="H829" s="9" t="str">
        <f>fact_kpi_weekly!H829</f>
        <v>Luke</v>
      </c>
      <c r="I829" s="9">
        <f>fact_kpi_weekly!I829</f>
        <v>70</v>
      </c>
      <c r="J829" s="22">
        <f>fact_kpi_weekly!J829</f>
        <v>70</v>
      </c>
      <c r="K829" s="20" t="str">
        <f t="array" ref="K829">IFERROR(INDEX(dim_date!H:H,MATCH(A829,dim_date!A:A,0)),"")</f>
        <v>Sep</v>
      </c>
      <c r="L829" s="20" t="str">
        <f t="array" ref="L829">IFERROR(INDEX(dim_date!G:G,MATCH(A829,dim_date!A:A,0)),"")</f>
        <v>09</v>
      </c>
      <c r="M829" s="9" t="str">
        <f t="array" ref="M829">IFERROR(INDEX(dim_date!I:I,MATCH(A829,dim_date!A:A,0)),"")</f>
        <v>Q3</v>
      </c>
      <c r="N829" s="20" t="str">
        <f t="array" ref="N829">IFERROR(INDEX(dim_date!K:K,MATCH(A829,dim_date!A:A,0)),"")</f>
        <v>39</v>
      </c>
      <c r="O829" s="9" t="str">
        <f t="array" ref="O829">IFERROR(INDEX(dim_date!F:F,MATCH(A829,dim_date!A:A,0)),"")</f>
        <v>9/20-9/26</v>
      </c>
      <c r="P829" s="9" t="str">
        <f t="array" ref="P829">IFERROR(INDEX(dim_kpi!E:E,MATCH(D829,dim_kpi!C:C,0)),"")</f>
        <v>count</v>
      </c>
      <c r="Q829" s="9" t="str">
        <f t="array" ref="Q829">IFERROR(INDEX(dim_kpi!F:F,MATCH(D829,dim_kpi!C:C,0)),"")</f>
        <v>N</v>
      </c>
    </row>
    <row r="830" ht="12.75" customHeight="1">
      <c r="A830" s="20" t="str">
        <f>fact_kpi_weekly!A830</f>
        <v>260927</v>
      </c>
      <c r="B830" s="21">
        <f>fact_kpi_weekly!B830</f>
        <v>46292</v>
      </c>
      <c r="C830" s="9" t="str">
        <f>fact_kpi_weekly!C830</f>
        <v>Growth</v>
      </c>
      <c r="D830" s="9" t="str">
        <f>fact_kpi_weekly!D830</f>
        <v>DPP Enrollments</v>
      </c>
      <c r="E830" s="9" t="str">
        <f>fact_kpi_weekly!E830</f>
        <v>Goal</v>
      </c>
      <c r="F830" s="9" t="str">
        <f>IF(fact_kpi_weekly!F830="","",fact_kpi_weekly!F830)</f>
        <v/>
      </c>
      <c r="G830" s="9" t="str">
        <f>fact_kpi_weekly!G830</f>
        <v>N/A</v>
      </c>
      <c r="H830" s="9" t="str">
        <f>fact_kpi_weekly!H830</f>
        <v>Luke</v>
      </c>
      <c r="I830" s="9">
        <f>fact_kpi_weekly!I830</f>
        <v>65.48</v>
      </c>
      <c r="J830" s="22">
        <f>fact_kpi_weekly!J830</f>
        <v>65.48</v>
      </c>
      <c r="K830" s="20" t="str">
        <f t="array" ref="K830">IFERROR(INDEX(dim_date!H:H,MATCH(A830,dim_date!A:A,0)),"")</f>
        <v>Sep</v>
      </c>
      <c r="L830" s="20" t="str">
        <f t="array" ref="L830">IFERROR(INDEX(dim_date!G:G,MATCH(A830,dim_date!A:A,0)),"")</f>
        <v>09</v>
      </c>
      <c r="M830" s="9" t="str">
        <f t="array" ref="M830">IFERROR(INDEX(dim_date!I:I,MATCH(A830,dim_date!A:A,0)),"")</f>
        <v>Q3</v>
      </c>
      <c r="N830" s="20" t="str">
        <f t="array" ref="N830">IFERROR(INDEX(dim_date!K:K,MATCH(A830,dim_date!A:A,0)),"")</f>
        <v>40</v>
      </c>
      <c r="O830" s="9" t="str">
        <f t="array" ref="O830">IFERROR(INDEX(dim_date!F:F,MATCH(A830,dim_date!A:A,0)),"")</f>
        <v>9/27-10/3</v>
      </c>
      <c r="P830" s="9" t="str">
        <f t="array" ref="P830">IFERROR(INDEX(dim_kpi!E:E,MATCH(D830,dim_kpi!C:C,0)),"")</f>
        <v>count</v>
      </c>
      <c r="Q830" s="9" t="str">
        <f t="array" ref="Q830">IFERROR(INDEX(dim_kpi!F:F,MATCH(D830,dim_kpi!C:C,0)),"")</f>
        <v>N</v>
      </c>
    </row>
    <row r="831" ht="12.75" customHeight="1">
      <c r="A831" s="20" t="str">
        <f>fact_kpi_weekly!A831</f>
        <v>261004</v>
      </c>
      <c r="B831" s="21">
        <f>fact_kpi_weekly!B831</f>
        <v>46299</v>
      </c>
      <c r="C831" s="9" t="str">
        <f>fact_kpi_weekly!C831</f>
        <v>Growth</v>
      </c>
      <c r="D831" s="9" t="str">
        <f>fact_kpi_weekly!D831</f>
        <v>DPP Enrollments</v>
      </c>
      <c r="E831" s="9" t="str">
        <f>fact_kpi_weekly!E831</f>
        <v>Goal</v>
      </c>
      <c r="F831" s="9" t="str">
        <f>IF(fact_kpi_weekly!F831="","",fact_kpi_weekly!F831)</f>
        <v/>
      </c>
      <c r="G831" s="9" t="str">
        <f>fact_kpi_weekly!G831</f>
        <v>N/A</v>
      </c>
      <c r="H831" s="9" t="str">
        <f>fact_kpi_weekly!H831</f>
        <v>Luke</v>
      </c>
      <c r="I831" s="9">
        <f>fact_kpi_weekly!I831</f>
        <v>62.1</v>
      </c>
      <c r="J831" s="22">
        <f>fact_kpi_weekly!J831</f>
        <v>62.1</v>
      </c>
      <c r="K831" s="20" t="str">
        <f t="array" ref="K831">IFERROR(INDEX(dim_date!H:H,MATCH(A831,dim_date!A:A,0)),"")</f>
        <v>Oct</v>
      </c>
      <c r="L831" s="20" t="str">
        <f t="array" ref="L831">IFERROR(INDEX(dim_date!G:G,MATCH(A831,dim_date!A:A,0)),"")</f>
        <v>10</v>
      </c>
      <c r="M831" s="9" t="str">
        <f t="array" ref="M831">IFERROR(INDEX(dim_date!I:I,MATCH(A831,dim_date!A:A,0)),"")</f>
        <v>Q4</v>
      </c>
      <c r="N831" s="20" t="str">
        <f t="array" ref="N831">IFERROR(INDEX(dim_date!K:K,MATCH(A831,dim_date!A:A,0)),"")</f>
        <v>41</v>
      </c>
      <c r="O831" s="9" t="str">
        <f t="array" ref="O831">IFERROR(INDEX(dim_date!F:F,MATCH(A831,dim_date!A:A,0)),"")</f>
        <v>10/4-10/10</v>
      </c>
      <c r="P831" s="9" t="str">
        <f t="array" ref="P831">IFERROR(INDEX(dim_kpi!E:E,MATCH(D831,dim_kpi!C:C,0)),"")</f>
        <v>count</v>
      </c>
      <c r="Q831" s="9" t="str">
        <f t="array" ref="Q831">IFERROR(INDEX(dim_kpi!F:F,MATCH(D831,dim_kpi!C:C,0)),"")</f>
        <v>N</v>
      </c>
    </row>
    <row r="832" ht="12.75" customHeight="1">
      <c r="A832" s="20" t="str">
        <f>fact_kpi_weekly!A832</f>
        <v>261011</v>
      </c>
      <c r="B832" s="21">
        <f>fact_kpi_weekly!B832</f>
        <v>46306</v>
      </c>
      <c r="C832" s="9" t="str">
        <f>fact_kpi_weekly!C832</f>
        <v>Growth</v>
      </c>
      <c r="D832" s="9" t="str">
        <f>fact_kpi_weekly!D832</f>
        <v>DPP Enrollments</v>
      </c>
      <c r="E832" s="9" t="str">
        <f>fact_kpi_weekly!E832</f>
        <v>Goal</v>
      </c>
      <c r="F832" s="9" t="str">
        <f>IF(fact_kpi_weekly!F832="","",fact_kpi_weekly!F832)</f>
        <v/>
      </c>
      <c r="G832" s="9" t="str">
        <f>fact_kpi_weekly!G832</f>
        <v>N/A</v>
      </c>
      <c r="H832" s="9" t="str">
        <f>fact_kpi_weekly!H832</f>
        <v>Luke</v>
      </c>
      <c r="I832" s="9">
        <f>fact_kpi_weekly!I832</f>
        <v>62.1</v>
      </c>
      <c r="J832" s="22">
        <f>fact_kpi_weekly!J832</f>
        <v>62.1</v>
      </c>
      <c r="K832" s="20" t="str">
        <f t="array" ref="K832">IFERROR(INDEX(dim_date!H:H,MATCH(A832,dim_date!A:A,0)),"")</f>
        <v>Oct</v>
      </c>
      <c r="L832" s="20" t="str">
        <f t="array" ref="L832">IFERROR(INDEX(dim_date!G:G,MATCH(A832,dim_date!A:A,0)),"")</f>
        <v>10</v>
      </c>
      <c r="M832" s="9" t="str">
        <f t="array" ref="M832">IFERROR(INDEX(dim_date!I:I,MATCH(A832,dim_date!A:A,0)),"")</f>
        <v>Q4</v>
      </c>
      <c r="N832" s="20" t="str">
        <f t="array" ref="N832">IFERROR(INDEX(dim_date!K:K,MATCH(A832,dim_date!A:A,0)),"")</f>
        <v>42</v>
      </c>
      <c r="O832" s="9" t="str">
        <f t="array" ref="O832">IFERROR(INDEX(dim_date!F:F,MATCH(A832,dim_date!A:A,0)),"")</f>
        <v>10/11-10/17</v>
      </c>
      <c r="P832" s="9" t="str">
        <f t="array" ref="P832">IFERROR(INDEX(dim_kpi!E:E,MATCH(D832,dim_kpi!C:C,0)),"")</f>
        <v>count</v>
      </c>
      <c r="Q832" s="9" t="str">
        <f t="array" ref="Q832">IFERROR(INDEX(dim_kpi!F:F,MATCH(D832,dim_kpi!C:C,0)),"")</f>
        <v>N</v>
      </c>
    </row>
    <row r="833" ht="12.75" customHeight="1">
      <c r="A833" s="20" t="str">
        <f>fact_kpi_weekly!A833</f>
        <v>261018</v>
      </c>
      <c r="B833" s="21">
        <f>fact_kpi_weekly!B833</f>
        <v>46313</v>
      </c>
      <c r="C833" s="9" t="str">
        <f>fact_kpi_weekly!C833</f>
        <v>Growth</v>
      </c>
      <c r="D833" s="9" t="str">
        <f>fact_kpi_weekly!D833</f>
        <v>DPP Enrollments</v>
      </c>
      <c r="E833" s="9" t="str">
        <f>fact_kpi_weekly!E833</f>
        <v>Goal</v>
      </c>
      <c r="F833" s="9" t="str">
        <f>IF(fact_kpi_weekly!F833="","",fact_kpi_weekly!F833)</f>
        <v/>
      </c>
      <c r="G833" s="9" t="str">
        <f>fact_kpi_weekly!G833</f>
        <v>N/A</v>
      </c>
      <c r="H833" s="9" t="str">
        <f>fact_kpi_weekly!H833</f>
        <v>Luke</v>
      </c>
      <c r="I833" s="9">
        <f>fact_kpi_weekly!I833</f>
        <v>62.1</v>
      </c>
      <c r="J833" s="22">
        <f>fact_kpi_weekly!J833</f>
        <v>62.1</v>
      </c>
      <c r="K833" s="20" t="str">
        <f t="array" ref="K833">IFERROR(INDEX(dim_date!H:H,MATCH(A833,dim_date!A:A,0)),"")</f>
        <v>Oct</v>
      </c>
      <c r="L833" s="20" t="str">
        <f t="array" ref="L833">IFERROR(INDEX(dim_date!G:G,MATCH(A833,dim_date!A:A,0)),"")</f>
        <v>10</v>
      </c>
      <c r="M833" s="9" t="str">
        <f t="array" ref="M833">IFERROR(INDEX(dim_date!I:I,MATCH(A833,dim_date!A:A,0)),"")</f>
        <v>Q4</v>
      </c>
      <c r="N833" s="20" t="str">
        <f t="array" ref="N833">IFERROR(INDEX(dim_date!K:K,MATCH(A833,dim_date!A:A,0)),"")</f>
        <v>43</v>
      </c>
      <c r="O833" s="9" t="str">
        <f t="array" ref="O833">IFERROR(INDEX(dim_date!F:F,MATCH(A833,dim_date!A:A,0)),"")</f>
        <v>10/18-10/24</v>
      </c>
      <c r="P833" s="9" t="str">
        <f t="array" ref="P833">IFERROR(INDEX(dim_kpi!E:E,MATCH(D833,dim_kpi!C:C,0)),"")</f>
        <v>count</v>
      </c>
      <c r="Q833" s="9" t="str">
        <f t="array" ref="Q833">IFERROR(INDEX(dim_kpi!F:F,MATCH(D833,dim_kpi!C:C,0)),"")</f>
        <v>N</v>
      </c>
    </row>
    <row r="834" ht="12.75" customHeight="1">
      <c r="A834" s="20" t="str">
        <f>fact_kpi_weekly!A834</f>
        <v>261025</v>
      </c>
      <c r="B834" s="21">
        <f>fact_kpi_weekly!B834</f>
        <v>46320</v>
      </c>
      <c r="C834" s="9" t="str">
        <f>fact_kpi_weekly!C834</f>
        <v>Growth</v>
      </c>
      <c r="D834" s="9" t="str">
        <f>fact_kpi_weekly!D834</f>
        <v>DPP Enrollments</v>
      </c>
      <c r="E834" s="9" t="str">
        <f>fact_kpi_weekly!E834</f>
        <v>Goal</v>
      </c>
      <c r="F834" s="9" t="str">
        <f>IF(fact_kpi_weekly!F834="","",fact_kpi_weekly!F834)</f>
        <v/>
      </c>
      <c r="G834" s="9" t="str">
        <f>fact_kpi_weekly!G834</f>
        <v>N/A</v>
      </c>
      <c r="H834" s="9" t="str">
        <f>fact_kpi_weekly!H834</f>
        <v>Luke</v>
      </c>
      <c r="I834" s="9">
        <f>fact_kpi_weekly!I834</f>
        <v>61.56</v>
      </c>
      <c r="J834" s="22">
        <f>fact_kpi_weekly!J834</f>
        <v>61.56</v>
      </c>
      <c r="K834" s="20" t="str">
        <f t="array" ref="K834">IFERROR(INDEX(dim_date!H:H,MATCH(A834,dim_date!A:A,0)),"")</f>
        <v>Oct</v>
      </c>
      <c r="L834" s="20" t="str">
        <f t="array" ref="L834">IFERROR(INDEX(dim_date!G:G,MATCH(A834,dim_date!A:A,0)),"")</f>
        <v>10</v>
      </c>
      <c r="M834" s="9" t="str">
        <f t="array" ref="M834">IFERROR(INDEX(dim_date!I:I,MATCH(A834,dim_date!A:A,0)),"")</f>
        <v>Q4</v>
      </c>
      <c r="N834" s="20" t="str">
        <f t="array" ref="N834">IFERROR(INDEX(dim_date!K:K,MATCH(A834,dim_date!A:A,0)),"")</f>
        <v>44</v>
      </c>
      <c r="O834" s="9" t="str">
        <f t="array" ref="O834">IFERROR(INDEX(dim_date!F:F,MATCH(A834,dim_date!A:A,0)),"")</f>
        <v>10/25-10/31</v>
      </c>
      <c r="P834" s="9" t="str">
        <f t="array" ref="P834">IFERROR(INDEX(dim_kpi!E:E,MATCH(D834,dim_kpi!C:C,0)),"")</f>
        <v>count</v>
      </c>
      <c r="Q834" s="9" t="str">
        <f t="array" ref="Q834">IFERROR(INDEX(dim_kpi!F:F,MATCH(D834,dim_kpi!C:C,0)),"")</f>
        <v>N</v>
      </c>
    </row>
    <row r="835" ht="12.75" customHeight="1">
      <c r="A835" s="20" t="str">
        <f>fact_kpi_weekly!A835</f>
        <v>261101</v>
      </c>
      <c r="B835" s="21">
        <f>fact_kpi_weekly!B835</f>
        <v>46327</v>
      </c>
      <c r="C835" s="9" t="str">
        <f>fact_kpi_weekly!C835</f>
        <v>Growth</v>
      </c>
      <c r="D835" s="9" t="str">
        <f>fact_kpi_weekly!D835</f>
        <v>DPP Enrollments</v>
      </c>
      <c r="E835" s="9" t="str">
        <f>fact_kpi_weekly!E835</f>
        <v>Goal</v>
      </c>
      <c r="F835" s="9" t="str">
        <f>IF(fact_kpi_weekly!F835="","",fact_kpi_weekly!F835)</f>
        <v/>
      </c>
      <c r="G835" s="9" t="str">
        <f>fact_kpi_weekly!G835</f>
        <v>N/A</v>
      </c>
      <c r="H835" s="9" t="str">
        <f>fact_kpi_weekly!H835</f>
        <v>Luke</v>
      </c>
      <c r="I835" s="9">
        <f>fact_kpi_weekly!I835</f>
        <v>58.33</v>
      </c>
      <c r="J835" s="22">
        <f>fact_kpi_weekly!J835</f>
        <v>58.33</v>
      </c>
      <c r="K835" s="20" t="str">
        <f t="array" ref="K835">IFERROR(INDEX(dim_date!H:H,MATCH(A835,dim_date!A:A,0)),"")</f>
        <v>Nov</v>
      </c>
      <c r="L835" s="20" t="str">
        <f t="array" ref="L835">IFERROR(INDEX(dim_date!G:G,MATCH(A835,dim_date!A:A,0)),"")</f>
        <v>11</v>
      </c>
      <c r="M835" s="9" t="str">
        <f t="array" ref="M835">IFERROR(INDEX(dim_date!I:I,MATCH(A835,dim_date!A:A,0)),"")</f>
        <v>Q4</v>
      </c>
      <c r="N835" s="20" t="str">
        <f t="array" ref="N835">IFERROR(INDEX(dim_date!K:K,MATCH(A835,dim_date!A:A,0)),"")</f>
        <v>45</v>
      </c>
      <c r="O835" s="9" t="str">
        <f t="array" ref="O835">IFERROR(INDEX(dim_date!F:F,MATCH(A835,dim_date!A:A,0)),"")</f>
        <v>11/1-11/7</v>
      </c>
      <c r="P835" s="9" t="str">
        <f t="array" ref="P835">IFERROR(INDEX(dim_kpi!E:E,MATCH(D835,dim_kpi!C:C,0)),"")</f>
        <v>count</v>
      </c>
      <c r="Q835" s="9" t="str">
        <f t="array" ref="Q835">IFERROR(INDEX(dim_kpi!F:F,MATCH(D835,dim_kpi!C:C,0)),"")</f>
        <v>N</v>
      </c>
    </row>
    <row r="836" ht="12.75" customHeight="1">
      <c r="A836" s="20" t="str">
        <f>fact_kpi_weekly!A836</f>
        <v>261108</v>
      </c>
      <c r="B836" s="21">
        <f>fact_kpi_weekly!B836</f>
        <v>46334</v>
      </c>
      <c r="C836" s="9" t="str">
        <f>fact_kpi_weekly!C836</f>
        <v>Growth</v>
      </c>
      <c r="D836" s="9" t="str">
        <f>fact_kpi_weekly!D836</f>
        <v>DPP Enrollments</v>
      </c>
      <c r="E836" s="9" t="str">
        <f>fact_kpi_weekly!E836</f>
        <v>Goal</v>
      </c>
      <c r="F836" s="9" t="str">
        <f>IF(fact_kpi_weekly!F836="","",fact_kpi_weekly!F836)</f>
        <v/>
      </c>
      <c r="G836" s="9" t="str">
        <f>fact_kpi_weekly!G836</f>
        <v>N/A</v>
      </c>
      <c r="H836" s="9" t="str">
        <f>fact_kpi_weekly!H836</f>
        <v>Luke</v>
      </c>
      <c r="I836" s="9">
        <f>fact_kpi_weekly!I836</f>
        <v>58.33</v>
      </c>
      <c r="J836" s="22">
        <f>fact_kpi_weekly!J836</f>
        <v>58.33</v>
      </c>
      <c r="K836" s="20" t="str">
        <f t="array" ref="K836">IFERROR(INDEX(dim_date!H:H,MATCH(A836,dim_date!A:A,0)),"")</f>
        <v>Nov</v>
      </c>
      <c r="L836" s="20" t="str">
        <f t="array" ref="L836">IFERROR(INDEX(dim_date!G:G,MATCH(A836,dim_date!A:A,0)),"")</f>
        <v>11</v>
      </c>
      <c r="M836" s="9" t="str">
        <f t="array" ref="M836">IFERROR(INDEX(dim_date!I:I,MATCH(A836,dim_date!A:A,0)),"")</f>
        <v>Q4</v>
      </c>
      <c r="N836" s="20" t="str">
        <f t="array" ref="N836">IFERROR(INDEX(dim_date!K:K,MATCH(A836,dim_date!A:A,0)),"")</f>
        <v>46</v>
      </c>
      <c r="O836" s="9" t="str">
        <f t="array" ref="O836">IFERROR(INDEX(dim_date!F:F,MATCH(A836,dim_date!A:A,0)),"")</f>
        <v>11/8-11/14</v>
      </c>
      <c r="P836" s="9" t="str">
        <f t="array" ref="P836">IFERROR(INDEX(dim_kpi!E:E,MATCH(D836,dim_kpi!C:C,0)),"")</f>
        <v>count</v>
      </c>
      <c r="Q836" s="9" t="str">
        <f t="array" ref="Q836">IFERROR(INDEX(dim_kpi!F:F,MATCH(D836,dim_kpi!C:C,0)),"")</f>
        <v>N</v>
      </c>
    </row>
    <row r="837" ht="12.75" customHeight="1">
      <c r="A837" s="20" t="str">
        <f>fact_kpi_weekly!A837</f>
        <v>261115</v>
      </c>
      <c r="B837" s="21">
        <f>fact_kpi_weekly!B837</f>
        <v>46341</v>
      </c>
      <c r="C837" s="9" t="str">
        <f>fact_kpi_weekly!C837</f>
        <v>Growth</v>
      </c>
      <c r="D837" s="9" t="str">
        <f>fact_kpi_weekly!D837</f>
        <v>DPP Enrollments</v>
      </c>
      <c r="E837" s="9" t="str">
        <f>fact_kpi_weekly!E837</f>
        <v>Goal</v>
      </c>
      <c r="F837" s="9" t="str">
        <f>IF(fact_kpi_weekly!F837="","",fact_kpi_weekly!F837)</f>
        <v/>
      </c>
      <c r="G837" s="9" t="str">
        <f>fact_kpi_weekly!G837</f>
        <v>N/A</v>
      </c>
      <c r="H837" s="9" t="str">
        <f>fact_kpi_weekly!H837</f>
        <v>Luke</v>
      </c>
      <c r="I837" s="9">
        <f>fact_kpi_weekly!I837</f>
        <v>58.33</v>
      </c>
      <c r="J837" s="22">
        <f>fact_kpi_weekly!J837</f>
        <v>58.33</v>
      </c>
      <c r="K837" s="20" t="str">
        <f t="array" ref="K837">IFERROR(INDEX(dim_date!H:H,MATCH(A837,dim_date!A:A,0)),"")</f>
        <v>Nov</v>
      </c>
      <c r="L837" s="20" t="str">
        <f t="array" ref="L837">IFERROR(INDEX(dim_date!G:G,MATCH(A837,dim_date!A:A,0)),"")</f>
        <v>11</v>
      </c>
      <c r="M837" s="9" t="str">
        <f t="array" ref="M837">IFERROR(INDEX(dim_date!I:I,MATCH(A837,dim_date!A:A,0)),"")</f>
        <v>Q4</v>
      </c>
      <c r="N837" s="20" t="str">
        <f t="array" ref="N837">IFERROR(INDEX(dim_date!K:K,MATCH(A837,dim_date!A:A,0)),"")</f>
        <v>47</v>
      </c>
      <c r="O837" s="9" t="str">
        <f t="array" ref="O837">IFERROR(INDEX(dim_date!F:F,MATCH(A837,dim_date!A:A,0)),"")</f>
        <v>11/15-11/21</v>
      </c>
      <c r="P837" s="9" t="str">
        <f t="array" ref="P837">IFERROR(INDEX(dim_kpi!E:E,MATCH(D837,dim_kpi!C:C,0)),"")</f>
        <v>count</v>
      </c>
      <c r="Q837" s="9" t="str">
        <f t="array" ref="Q837">IFERROR(INDEX(dim_kpi!F:F,MATCH(D837,dim_kpi!C:C,0)),"")</f>
        <v>N</v>
      </c>
    </row>
    <row r="838" ht="12.75" customHeight="1">
      <c r="A838" s="20" t="str">
        <f>fact_kpi_weekly!A838</f>
        <v>261122</v>
      </c>
      <c r="B838" s="21">
        <f>fact_kpi_weekly!B838</f>
        <v>46348</v>
      </c>
      <c r="C838" s="9" t="str">
        <f>fact_kpi_weekly!C838</f>
        <v>Growth</v>
      </c>
      <c r="D838" s="9" t="str">
        <f>fact_kpi_weekly!D838</f>
        <v>DPP Enrollments</v>
      </c>
      <c r="E838" s="9" t="str">
        <f>fact_kpi_weekly!E838</f>
        <v>Goal</v>
      </c>
      <c r="F838" s="9" t="str">
        <f>IF(fact_kpi_weekly!F838="","",fact_kpi_weekly!F838)</f>
        <v/>
      </c>
      <c r="G838" s="9" t="str">
        <f>fact_kpi_weekly!G838</f>
        <v>N/A</v>
      </c>
      <c r="H838" s="9" t="str">
        <f>fact_kpi_weekly!H838</f>
        <v>Luke</v>
      </c>
      <c r="I838" s="9">
        <f>fact_kpi_weekly!I838</f>
        <v>58.33</v>
      </c>
      <c r="J838" s="22">
        <f>fact_kpi_weekly!J838</f>
        <v>58.33</v>
      </c>
      <c r="K838" s="20" t="str">
        <f t="array" ref="K838">IFERROR(INDEX(dim_date!H:H,MATCH(A838,dim_date!A:A,0)),"")</f>
        <v>Nov</v>
      </c>
      <c r="L838" s="20" t="str">
        <f t="array" ref="L838">IFERROR(INDEX(dim_date!G:G,MATCH(A838,dim_date!A:A,0)),"")</f>
        <v>11</v>
      </c>
      <c r="M838" s="9" t="str">
        <f t="array" ref="M838">IFERROR(INDEX(dim_date!I:I,MATCH(A838,dim_date!A:A,0)),"")</f>
        <v>Q4</v>
      </c>
      <c r="N838" s="20" t="str">
        <f t="array" ref="N838">IFERROR(INDEX(dim_date!K:K,MATCH(A838,dim_date!A:A,0)),"")</f>
        <v>48</v>
      </c>
      <c r="O838" s="9" t="str">
        <f t="array" ref="O838">IFERROR(INDEX(dim_date!F:F,MATCH(A838,dim_date!A:A,0)),"")</f>
        <v>11/22-11/28</v>
      </c>
      <c r="P838" s="9" t="str">
        <f t="array" ref="P838">IFERROR(INDEX(dim_kpi!E:E,MATCH(D838,dim_kpi!C:C,0)),"")</f>
        <v>count</v>
      </c>
      <c r="Q838" s="9" t="str">
        <f t="array" ref="Q838">IFERROR(INDEX(dim_kpi!F:F,MATCH(D838,dim_kpi!C:C,0)),"")</f>
        <v>N</v>
      </c>
    </row>
    <row r="839" ht="12.75" customHeight="1">
      <c r="A839" s="20" t="str">
        <f>fact_kpi_weekly!A839</f>
        <v>261129</v>
      </c>
      <c r="B839" s="21">
        <f>fact_kpi_weekly!B839</f>
        <v>46355</v>
      </c>
      <c r="C839" s="9" t="str">
        <f>fact_kpi_weekly!C839</f>
        <v>Growth</v>
      </c>
      <c r="D839" s="9" t="str">
        <f>fact_kpi_weekly!D839</f>
        <v>DPP Enrollments</v>
      </c>
      <c r="E839" s="9" t="str">
        <f>fact_kpi_weekly!E839</f>
        <v>Goal</v>
      </c>
      <c r="F839" s="9" t="str">
        <f>IF(fact_kpi_weekly!F839="","",fact_kpi_weekly!F839)</f>
        <v/>
      </c>
      <c r="G839" s="9" t="str">
        <f>fact_kpi_weekly!G839</f>
        <v>N/A</v>
      </c>
      <c r="H839" s="9" t="str">
        <f>fact_kpi_weekly!H839</f>
        <v>Luke</v>
      </c>
      <c r="I839" s="9">
        <f>fact_kpi_weekly!I839</f>
        <v>51.88</v>
      </c>
      <c r="J839" s="22">
        <f>fact_kpi_weekly!J839</f>
        <v>51.88</v>
      </c>
      <c r="K839" s="20" t="str">
        <f t="array" ref="K839">IFERROR(INDEX(dim_date!H:H,MATCH(A839,dim_date!A:A,0)),"")</f>
        <v>Nov</v>
      </c>
      <c r="L839" s="20" t="str">
        <f t="array" ref="L839">IFERROR(INDEX(dim_date!G:G,MATCH(A839,dim_date!A:A,0)),"")</f>
        <v>11</v>
      </c>
      <c r="M839" s="9" t="str">
        <f t="array" ref="M839">IFERROR(INDEX(dim_date!I:I,MATCH(A839,dim_date!A:A,0)),"")</f>
        <v>Q4</v>
      </c>
      <c r="N839" s="20" t="str">
        <f t="array" ref="N839">IFERROR(INDEX(dim_date!K:K,MATCH(A839,dim_date!A:A,0)),"")</f>
        <v>49</v>
      </c>
      <c r="O839" s="9" t="str">
        <f t="array" ref="O839">IFERROR(INDEX(dim_date!F:F,MATCH(A839,dim_date!A:A,0)),"")</f>
        <v>11/29-12/5</v>
      </c>
      <c r="P839" s="9" t="str">
        <f t="array" ref="P839">IFERROR(INDEX(dim_kpi!E:E,MATCH(D839,dim_kpi!C:C,0)),"")</f>
        <v>count</v>
      </c>
      <c r="Q839" s="9" t="str">
        <f t="array" ref="Q839">IFERROR(INDEX(dim_kpi!F:F,MATCH(D839,dim_kpi!C:C,0)),"")</f>
        <v>N</v>
      </c>
    </row>
    <row r="840" ht="12.75" customHeight="1">
      <c r="A840" s="20" t="str">
        <f>fact_kpi_weekly!A840</f>
        <v>261206</v>
      </c>
      <c r="B840" s="21">
        <f>fact_kpi_weekly!B840</f>
        <v>46362</v>
      </c>
      <c r="C840" s="9" t="str">
        <f>fact_kpi_weekly!C840</f>
        <v>Growth</v>
      </c>
      <c r="D840" s="9" t="str">
        <f>fact_kpi_weekly!D840</f>
        <v>DPP Enrollments</v>
      </c>
      <c r="E840" s="9" t="str">
        <f>fact_kpi_weekly!E840</f>
        <v>Goal</v>
      </c>
      <c r="F840" s="9" t="str">
        <f>IF(fact_kpi_weekly!F840="","",fact_kpi_weekly!F840)</f>
        <v/>
      </c>
      <c r="G840" s="9" t="str">
        <f>fact_kpi_weekly!G840</f>
        <v>N/A</v>
      </c>
      <c r="H840" s="9" t="str">
        <f>fact_kpi_weekly!H840</f>
        <v>Luke</v>
      </c>
      <c r="I840" s="9">
        <f>fact_kpi_weekly!I840</f>
        <v>50.81</v>
      </c>
      <c r="J840" s="22">
        <f>fact_kpi_weekly!J840</f>
        <v>50.81</v>
      </c>
      <c r="K840" s="20" t="str">
        <f t="array" ref="K840">IFERROR(INDEX(dim_date!H:H,MATCH(A840,dim_date!A:A,0)),"")</f>
        <v>Dec</v>
      </c>
      <c r="L840" s="20" t="str">
        <f t="array" ref="L840">IFERROR(INDEX(dim_date!G:G,MATCH(A840,dim_date!A:A,0)),"")</f>
        <v>12</v>
      </c>
      <c r="M840" s="9" t="str">
        <f t="array" ref="M840">IFERROR(INDEX(dim_date!I:I,MATCH(A840,dim_date!A:A,0)),"")</f>
        <v>Q4</v>
      </c>
      <c r="N840" s="20" t="str">
        <f t="array" ref="N840">IFERROR(INDEX(dim_date!K:K,MATCH(A840,dim_date!A:A,0)),"")</f>
        <v>50</v>
      </c>
      <c r="O840" s="9" t="str">
        <f t="array" ref="O840">IFERROR(INDEX(dim_date!F:F,MATCH(A840,dim_date!A:A,0)),"")</f>
        <v>12/6-12/12</v>
      </c>
      <c r="P840" s="9" t="str">
        <f t="array" ref="P840">IFERROR(INDEX(dim_kpi!E:E,MATCH(D840,dim_kpi!C:C,0)),"")</f>
        <v>count</v>
      </c>
      <c r="Q840" s="9" t="str">
        <f t="array" ref="Q840">IFERROR(INDEX(dim_kpi!F:F,MATCH(D840,dim_kpi!C:C,0)),"")</f>
        <v>N</v>
      </c>
    </row>
    <row r="841" ht="12.75" customHeight="1">
      <c r="A841" s="20" t="str">
        <f>fact_kpi_weekly!A841</f>
        <v>261213</v>
      </c>
      <c r="B841" s="21">
        <f>fact_kpi_weekly!B841</f>
        <v>46369</v>
      </c>
      <c r="C841" s="9" t="str">
        <f>fact_kpi_weekly!C841</f>
        <v>Growth</v>
      </c>
      <c r="D841" s="9" t="str">
        <f>fact_kpi_weekly!D841</f>
        <v>DPP Enrollments</v>
      </c>
      <c r="E841" s="9" t="str">
        <f>fact_kpi_weekly!E841</f>
        <v>Goal</v>
      </c>
      <c r="F841" s="9" t="str">
        <f>IF(fact_kpi_weekly!F841="","",fact_kpi_weekly!F841)</f>
        <v/>
      </c>
      <c r="G841" s="9" t="str">
        <f>fact_kpi_weekly!G841</f>
        <v>N/A</v>
      </c>
      <c r="H841" s="9" t="str">
        <f>fact_kpi_weekly!H841</f>
        <v>Luke</v>
      </c>
      <c r="I841" s="9">
        <f>fact_kpi_weekly!I841</f>
        <v>50.81</v>
      </c>
      <c r="J841" s="22">
        <f>fact_kpi_weekly!J841</f>
        <v>50.81</v>
      </c>
      <c r="K841" s="20" t="str">
        <f t="array" ref="K841">IFERROR(INDEX(dim_date!H:H,MATCH(A841,dim_date!A:A,0)),"")</f>
        <v>Dec</v>
      </c>
      <c r="L841" s="20" t="str">
        <f t="array" ref="L841">IFERROR(INDEX(dim_date!G:G,MATCH(A841,dim_date!A:A,0)),"")</f>
        <v>12</v>
      </c>
      <c r="M841" s="9" t="str">
        <f t="array" ref="M841">IFERROR(INDEX(dim_date!I:I,MATCH(A841,dim_date!A:A,0)),"")</f>
        <v>Q4</v>
      </c>
      <c r="N841" s="20" t="str">
        <f t="array" ref="N841">IFERROR(INDEX(dim_date!K:K,MATCH(A841,dim_date!A:A,0)),"")</f>
        <v>51</v>
      </c>
      <c r="O841" s="9" t="str">
        <f t="array" ref="O841">IFERROR(INDEX(dim_date!F:F,MATCH(A841,dim_date!A:A,0)),"")</f>
        <v>12/13-12/19</v>
      </c>
      <c r="P841" s="9" t="str">
        <f t="array" ref="P841">IFERROR(INDEX(dim_kpi!E:E,MATCH(D841,dim_kpi!C:C,0)),"")</f>
        <v>count</v>
      </c>
      <c r="Q841" s="9" t="str">
        <f t="array" ref="Q841">IFERROR(INDEX(dim_kpi!F:F,MATCH(D841,dim_kpi!C:C,0)),"")</f>
        <v>N</v>
      </c>
    </row>
    <row r="842" ht="12.75" customHeight="1">
      <c r="A842" s="20" t="str">
        <f>fact_kpi_weekly!A842</f>
        <v>261220</v>
      </c>
      <c r="B842" s="21">
        <f>fact_kpi_weekly!B842</f>
        <v>46376</v>
      </c>
      <c r="C842" s="9" t="str">
        <f>fact_kpi_weekly!C842</f>
        <v>Growth</v>
      </c>
      <c r="D842" s="9" t="str">
        <f>fact_kpi_weekly!D842</f>
        <v>DPP Enrollments</v>
      </c>
      <c r="E842" s="9" t="str">
        <f>fact_kpi_weekly!E842</f>
        <v>Goal</v>
      </c>
      <c r="F842" s="9" t="str">
        <f>IF(fact_kpi_weekly!F842="","",fact_kpi_weekly!F842)</f>
        <v/>
      </c>
      <c r="G842" s="9" t="str">
        <f>fact_kpi_weekly!G842</f>
        <v>N/A</v>
      </c>
      <c r="H842" s="9" t="str">
        <f>fact_kpi_weekly!H842</f>
        <v>Luke</v>
      </c>
      <c r="I842" s="9">
        <f>fact_kpi_weekly!I842</f>
        <v>50.81</v>
      </c>
      <c r="J842" s="22">
        <f>fact_kpi_weekly!J842</f>
        <v>50.81</v>
      </c>
      <c r="K842" s="20" t="str">
        <f t="array" ref="K842">IFERROR(INDEX(dim_date!H:H,MATCH(A842,dim_date!A:A,0)),"")</f>
        <v>Dec</v>
      </c>
      <c r="L842" s="20" t="str">
        <f t="array" ref="L842">IFERROR(INDEX(dim_date!G:G,MATCH(A842,dim_date!A:A,0)),"")</f>
        <v>12</v>
      </c>
      <c r="M842" s="9" t="str">
        <f t="array" ref="M842">IFERROR(INDEX(dim_date!I:I,MATCH(A842,dim_date!A:A,0)),"")</f>
        <v>Q4</v>
      </c>
      <c r="N842" s="20" t="str">
        <f t="array" ref="N842">IFERROR(INDEX(dim_date!K:K,MATCH(A842,dim_date!A:A,0)),"")</f>
        <v>52</v>
      </c>
      <c r="O842" s="9" t="str">
        <f t="array" ref="O842">IFERROR(INDEX(dim_date!F:F,MATCH(A842,dim_date!A:A,0)),"")</f>
        <v>12/20-12/26</v>
      </c>
      <c r="P842" s="9" t="str">
        <f t="array" ref="P842">IFERROR(INDEX(dim_kpi!E:E,MATCH(D842,dim_kpi!C:C,0)),"")</f>
        <v>count</v>
      </c>
      <c r="Q842" s="9" t="str">
        <f t="array" ref="Q842">IFERROR(INDEX(dim_kpi!F:F,MATCH(D842,dim_kpi!C:C,0)),"")</f>
        <v>N</v>
      </c>
    </row>
    <row r="843" ht="12.75" customHeight="1">
      <c r="A843" s="20" t="str">
        <f>fact_kpi_weekly!A843</f>
        <v>261227</v>
      </c>
      <c r="B843" s="21">
        <f>fact_kpi_weekly!B843</f>
        <v>46383</v>
      </c>
      <c r="C843" s="9" t="str">
        <f>fact_kpi_weekly!C843</f>
        <v>Growth</v>
      </c>
      <c r="D843" s="9" t="str">
        <f>fact_kpi_weekly!D843</f>
        <v>DPP Enrollments</v>
      </c>
      <c r="E843" s="9" t="str">
        <f>fact_kpi_weekly!E843</f>
        <v>Goal</v>
      </c>
      <c r="F843" s="9" t="str">
        <f>IF(fact_kpi_weekly!F843="","",fact_kpi_weekly!F843)</f>
        <v/>
      </c>
      <c r="G843" s="9" t="str">
        <f>fact_kpi_weekly!G843</f>
        <v>N/A</v>
      </c>
      <c r="H843" s="9" t="str">
        <f>fact_kpi_weekly!H843</f>
        <v>Luke</v>
      </c>
      <c r="I843" s="9">
        <f>fact_kpi_weekly!I843</f>
        <v>29.03</v>
      </c>
      <c r="J843" s="22">
        <f>fact_kpi_weekly!J843</f>
        <v>29.03</v>
      </c>
      <c r="K843" s="20" t="str">
        <f t="array" ref="K843">IFERROR(INDEX(dim_date!H:H,MATCH(A843,dim_date!A:A,0)),"")</f>
        <v>Dec</v>
      </c>
      <c r="L843" s="20" t="str">
        <f t="array" ref="L843">IFERROR(INDEX(dim_date!G:G,MATCH(A843,dim_date!A:A,0)),"")</f>
        <v>12</v>
      </c>
      <c r="M843" s="9" t="str">
        <f t="array" ref="M843">IFERROR(INDEX(dim_date!I:I,MATCH(A843,dim_date!A:A,0)),"")</f>
        <v>Q4</v>
      </c>
      <c r="N843" s="20" t="str">
        <f t="array" ref="N843">IFERROR(INDEX(dim_date!K:K,MATCH(A843,dim_date!A:A,0)),"")</f>
        <v>53</v>
      </c>
      <c r="O843" s="9" t="str">
        <f t="array" ref="O843">IFERROR(INDEX(dim_date!F:F,MATCH(A843,dim_date!A:A,0)),"")</f>
        <v>12/27-1/2</v>
      </c>
      <c r="P843" s="9" t="str">
        <f t="array" ref="P843">IFERROR(INDEX(dim_kpi!E:E,MATCH(D843,dim_kpi!C:C,0)),"")</f>
        <v>count</v>
      </c>
      <c r="Q843" s="9" t="str">
        <f t="array" ref="Q843">IFERROR(INDEX(dim_kpi!F:F,MATCH(D843,dim_kpi!C:C,0)),"")</f>
        <v>N</v>
      </c>
    </row>
    <row r="844" ht="12.75" customHeight="1">
      <c r="A844" s="20" t="str">
        <f>fact_kpi_weekly!A844</f>
        <v>260301</v>
      </c>
      <c r="B844" s="21">
        <f>fact_kpi_weekly!B844</f>
        <v>46082</v>
      </c>
      <c r="C844" s="9" t="str">
        <f>fact_kpi_weekly!C844</f>
        <v>Growth</v>
      </c>
      <c r="D844" s="9" t="str">
        <f>fact_kpi_weekly!D844</f>
        <v>DPP Enrollments</v>
      </c>
      <c r="E844" s="9" t="str">
        <f>fact_kpi_weekly!E844</f>
        <v>Actual</v>
      </c>
      <c r="F844" s="9" t="str">
        <f>IF(fact_kpi_weekly!F844="","",fact_kpi_weekly!F844)</f>
        <v/>
      </c>
      <c r="G844" s="9" t="str">
        <f>fact_kpi_weekly!G844</f>
        <v>N/A</v>
      </c>
      <c r="H844" s="9" t="str">
        <f>fact_kpi_weekly!H844</f>
        <v>Luke</v>
      </c>
      <c r="I844" s="9">
        <f>fact_kpi_weekly!I844</f>
        <v>113</v>
      </c>
      <c r="J844" s="22">
        <f>fact_kpi_weekly!J844</f>
        <v>113</v>
      </c>
      <c r="K844" s="20" t="str">
        <f t="array" ref="K844">IFERROR(INDEX(dim_date!H:H,MATCH(A844,dim_date!A:A,0)),"")</f>
        <v>Mar</v>
      </c>
      <c r="L844" s="20" t="str">
        <f t="array" ref="L844">IFERROR(INDEX(dim_date!G:G,MATCH(A844,dim_date!A:A,0)),"")</f>
        <v>03</v>
      </c>
      <c r="M844" s="9" t="str">
        <f t="array" ref="M844">IFERROR(INDEX(dim_date!I:I,MATCH(A844,dim_date!A:A,0)),"")</f>
        <v>Q1</v>
      </c>
      <c r="N844" s="20" t="str">
        <f t="array" ref="N844">IFERROR(INDEX(dim_date!K:K,MATCH(A844,dim_date!A:A,0)),"")</f>
        <v>10</v>
      </c>
      <c r="O844" s="9" t="str">
        <f t="array" ref="O844">IFERROR(INDEX(dim_date!F:F,MATCH(A844,dim_date!A:A,0)),"")</f>
        <v>3/1-3/7</v>
      </c>
      <c r="P844" s="9" t="str">
        <f t="array" ref="P844">IFERROR(INDEX(dim_kpi!E:E,MATCH(D844,dim_kpi!C:C,0)),"")</f>
        <v>count</v>
      </c>
      <c r="Q844" s="9" t="str">
        <f t="array" ref="Q844">IFERROR(INDEX(dim_kpi!F:F,MATCH(D844,dim_kpi!C:C,0)),"")</f>
        <v>N</v>
      </c>
    </row>
    <row r="845" ht="12.75" customHeight="1">
      <c r="A845" s="20" t="str">
        <f>fact_kpi_weekly!A845</f>
        <v>260308</v>
      </c>
      <c r="B845" s="21">
        <f>fact_kpi_weekly!B845</f>
        <v>46089</v>
      </c>
      <c r="C845" s="9" t="str">
        <f>fact_kpi_weekly!C845</f>
        <v>Growth</v>
      </c>
      <c r="D845" s="9" t="str">
        <f>fact_kpi_weekly!D845</f>
        <v>DPP Enrollments</v>
      </c>
      <c r="E845" s="9" t="str">
        <f>fact_kpi_weekly!E845</f>
        <v>Actual</v>
      </c>
      <c r="F845" s="9" t="str">
        <f>IF(fact_kpi_weekly!F845="","",fact_kpi_weekly!F845)</f>
        <v/>
      </c>
      <c r="G845" s="9" t="str">
        <f>fact_kpi_weekly!G845</f>
        <v>N/A</v>
      </c>
      <c r="H845" s="9" t="str">
        <f>fact_kpi_weekly!H845</f>
        <v>Luke</v>
      </c>
      <c r="I845" s="9">
        <f>fact_kpi_weekly!I845</f>
        <v>83</v>
      </c>
      <c r="J845" s="22">
        <f>fact_kpi_weekly!J845</f>
        <v>83</v>
      </c>
      <c r="K845" s="20" t="str">
        <f t="array" ref="K845">IFERROR(INDEX(dim_date!H:H,MATCH(A845,dim_date!A:A,0)),"")</f>
        <v>Mar</v>
      </c>
      <c r="L845" s="20" t="str">
        <f t="array" ref="L845">IFERROR(INDEX(dim_date!G:G,MATCH(A845,dim_date!A:A,0)),"")</f>
        <v>03</v>
      </c>
      <c r="M845" s="9" t="str">
        <f t="array" ref="M845">IFERROR(INDEX(dim_date!I:I,MATCH(A845,dim_date!A:A,0)),"")</f>
        <v>Q1</v>
      </c>
      <c r="N845" s="20" t="str">
        <f t="array" ref="N845">IFERROR(INDEX(dim_date!K:K,MATCH(A845,dim_date!A:A,0)),"")</f>
        <v>11</v>
      </c>
      <c r="O845" s="9" t="str">
        <f t="array" ref="O845">IFERROR(INDEX(dim_date!F:F,MATCH(A845,dim_date!A:A,0)),"")</f>
        <v>3/8-3/14</v>
      </c>
      <c r="P845" s="9" t="str">
        <f t="array" ref="P845">IFERROR(INDEX(dim_kpi!E:E,MATCH(D845,dim_kpi!C:C,0)),"")</f>
        <v>count</v>
      </c>
      <c r="Q845" s="9" t="str">
        <f t="array" ref="Q845">IFERROR(INDEX(dim_kpi!F:F,MATCH(D845,dim_kpi!C:C,0)),"")</f>
        <v>N</v>
      </c>
    </row>
    <row r="846" ht="12.75" customHeight="1">
      <c r="A846" s="20" t="str">
        <f>fact_kpi_weekly!A846</f>
        <v>260301</v>
      </c>
      <c r="B846" s="21">
        <f>fact_kpi_weekly!B846</f>
        <v>46082</v>
      </c>
      <c r="C846" s="9" t="str">
        <f>fact_kpi_weekly!C846</f>
        <v>Care Delivery</v>
      </c>
      <c r="D846" s="9" t="str">
        <f>fact_kpi_weekly!D846</f>
        <v>Bought Time Billed</v>
      </c>
      <c r="E846" s="9" t="str">
        <f>fact_kpi_weekly!E846</f>
        <v>Goal</v>
      </c>
      <c r="F846" s="9" t="str">
        <f>IF(fact_kpi_weekly!F846="","",fact_kpi_weekly!F846)</f>
        <v/>
      </c>
      <c r="G846" s="9" t="str">
        <f>fact_kpi_weekly!G846</f>
        <v>N/A</v>
      </c>
      <c r="H846" s="9" t="str">
        <f>fact_kpi_weekly!H846</f>
        <v>Alex &amp; Kit</v>
      </c>
      <c r="I846" s="9">
        <f>fact_kpi_weekly!I846</f>
        <v>0.5</v>
      </c>
      <c r="J846" s="22">
        <f>fact_kpi_weekly!J846</f>
        <v>0.5</v>
      </c>
      <c r="K846" s="20" t="str">
        <f t="array" ref="K846">IFERROR(INDEX(dim_date!H:H,MATCH(A846,dim_date!A:A,0)),"")</f>
        <v>Mar</v>
      </c>
      <c r="L846" s="20" t="str">
        <f t="array" ref="L846">IFERROR(INDEX(dim_date!G:G,MATCH(A846,dim_date!A:A,0)),"")</f>
        <v>03</v>
      </c>
      <c r="M846" s="9" t="str">
        <f t="array" ref="M846">IFERROR(INDEX(dim_date!I:I,MATCH(A846,dim_date!A:A,0)),"")</f>
        <v>Q1</v>
      </c>
      <c r="N846" s="20" t="str">
        <f t="array" ref="N846">IFERROR(INDEX(dim_date!K:K,MATCH(A846,dim_date!A:A,0)),"")</f>
        <v>10</v>
      </c>
      <c r="O846" s="9" t="str">
        <f t="array" ref="O846">IFERROR(INDEX(dim_date!F:F,MATCH(A846,dim_date!A:A,0)),"")</f>
        <v>3/1-3/7</v>
      </c>
      <c r="P846" s="9" t="str">
        <f t="array" ref="P846">IFERROR(INDEX(dim_kpi!E:E,MATCH(D846,dim_kpi!C:C,0)),"")</f>
        <v>%</v>
      </c>
      <c r="Q846" s="9" t="str">
        <f t="array" ref="Q846">IFERROR(INDEX(dim_kpi!F:F,MATCH(D846,dim_kpi!C:C,0)),"")</f>
        <v>N</v>
      </c>
    </row>
    <row r="847" ht="12.75" customHeight="1">
      <c r="A847" s="20" t="str">
        <f>fact_kpi_weekly!A847</f>
        <v>260308</v>
      </c>
      <c r="B847" s="21">
        <f>fact_kpi_weekly!B847</f>
        <v>46089</v>
      </c>
      <c r="C847" s="9" t="str">
        <f>fact_kpi_weekly!C847</f>
        <v>Care Delivery</v>
      </c>
      <c r="D847" s="9" t="str">
        <f>fact_kpi_weekly!D847</f>
        <v>Bought Time Billed</v>
      </c>
      <c r="E847" s="9" t="str">
        <f>fact_kpi_weekly!E847</f>
        <v>Goal</v>
      </c>
      <c r="F847" s="9" t="str">
        <f>IF(fact_kpi_weekly!F847="","",fact_kpi_weekly!F847)</f>
        <v/>
      </c>
      <c r="G847" s="9" t="str">
        <f>fact_kpi_weekly!G847</f>
        <v>N/A</v>
      </c>
      <c r="H847" s="9" t="str">
        <f>fact_kpi_weekly!H847</f>
        <v>Alex &amp; Kit</v>
      </c>
      <c r="I847" s="9">
        <f>fact_kpi_weekly!I847</f>
        <v>0.5</v>
      </c>
      <c r="J847" s="22">
        <f>fact_kpi_weekly!J847</f>
        <v>0.5</v>
      </c>
      <c r="K847" s="20" t="str">
        <f t="array" ref="K847">IFERROR(INDEX(dim_date!H:H,MATCH(A847,dim_date!A:A,0)),"")</f>
        <v>Mar</v>
      </c>
      <c r="L847" s="20" t="str">
        <f t="array" ref="L847">IFERROR(INDEX(dim_date!G:G,MATCH(A847,dim_date!A:A,0)),"")</f>
        <v>03</v>
      </c>
      <c r="M847" s="9" t="str">
        <f t="array" ref="M847">IFERROR(INDEX(dim_date!I:I,MATCH(A847,dim_date!A:A,0)),"")</f>
        <v>Q1</v>
      </c>
      <c r="N847" s="20" t="str">
        <f t="array" ref="N847">IFERROR(INDEX(dim_date!K:K,MATCH(A847,dim_date!A:A,0)),"")</f>
        <v>11</v>
      </c>
      <c r="O847" s="9" t="str">
        <f t="array" ref="O847">IFERROR(INDEX(dim_date!F:F,MATCH(A847,dim_date!A:A,0)),"")</f>
        <v>3/8-3/14</v>
      </c>
      <c r="P847" s="9" t="str">
        <f t="array" ref="P847">IFERROR(INDEX(dim_kpi!E:E,MATCH(D847,dim_kpi!C:C,0)),"")</f>
        <v>%</v>
      </c>
      <c r="Q847" s="9" t="str">
        <f t="array" ref="Q847">IFERROR(INDEX(dim_kpi!F:F,MATCH(D847,dim_kpi!C:C,0)),"")</f>
        <v>N</v>
      </c>
    </row>
    <row r="848" ht="12.75" customHeight="1">
      <c r="A848" s="20" t="str">
        <f>fact_kpi_weekly!A848</f>
        <v>260315</v>
      </c>
      <c r="B848" s="21">
        <f>fact_kpi_weekly!B848</f>
        <v>46096</v>
      </c>
      <c r="C848" s="9" t="str">
        <f>fact_kpi_weekly!C848</f>
        <v>Care Delivery</v>
      </c>
      <c r="D848" s="9" t="str">
        <f>fact_kpi_weekly!D848</f>
        <v>Bought Time Billed</v>
      </c>
      <c r="E848" s="9" t="str">
        <f>fact_kpi_weekly!E848</f>
        <v>Goal</v>
      </c>
      <c r="F848" s="9" t="str">
        <f>IF(fact_kpi_weekly!F848="","",fact_kpi_weekly!F848)</f>
        <v/>
      </c>
      <c r="G848" s="9" t="str">
        <f>fact_kpi_weekly!G848</f>
        <v>N/A</v>
      </c>
      <c r="H848" s="9" t="str">
        <f>fact_kpi_weekly!H848</f>
        <v>Alex &amp; Kit</v>
      </c>
      <c r="I848" s="9">
        <f>fact_kpi_weekly!I848</f>
        <v>0.5</v>
      </c>
      <c r="J848" s="22">
        <f>fact_kpi_weekly!J848</f>
        <v>0.5</v>
      </c>
      <c r="K848" s="20" t="str">
        <f t="array" ref="K848">IFERROR(INDEX(dim_date!H:H,MATCH(A848,dim_date!A:A,0)),"")</f>
        <v>Mar</v>
      </c>
      <c r="L848" s="20" t="str">
        <f t="array" ref="L848">IFERROR(INDEX(dim_date!G:G,MATCH(A848,dim_date!A:A,0)),"")</f>
        <v>03</v>
      </c>
      <c r="M848" s="9" t="str">
        <f t="array" ref="M848">IFERROR(INDEX(dim_date!I:I,MATCH(A848,dim_date!A:A,0)),"")</f>
        <v>Q1</v>
      </c>
      <c r="N848" s="20" t="str">
        <f t="array" ref="N848">IFERROR(INDEX(dim_date!K:K,MATCH(A848,dim_date!A:A,0)),"")</f>
        <v>12</v>
      </c>
      <c r="O848" s="9" t="str">
        <f t="array" ref="O848">IFERROR(INDEX(dim_date!F:F,MATCH(A848,dim_date!A:A,0)),"")</f>
        <v>3/15-3/21</v>
      </c>
      <c r="P848" s="9" t="str">
        <f t="array" ref="P848">IFERROR(INDEX(dim_kpi!E:E,MATCH(D848,dim_kpi!C:C,0)),"")</f>
        <v>%</v>
      </c>
      <c r="Q848" s="9" t="str">
        <f t="array" ref="Q848">IFERROR(INDEX(dim_kpi!F:F,MATCH(D848,dim_kpi!C:C,0)),"")</f>
        <v>N</v>
      </c>
    </row>
    <row r="849" ht="12.75" customHeight="1">
      <c r="A849" s="20" t="str">
        <f>fact_kpi_weekly!A849</f>
        <v>260322</v>
      </c>
      <c r="B849" s="21">
        <f>fact_kpi_weekly!B849</f>
        <v>46103</v>
      </c>
      <c r="C849" s="9" t="str">
        <f>fact_kpi_weekly!C849</f>
        <v>Care Delivery</v>
      </c>
      <c r="D849" s="9" t="str">
        <f>fact_kpi_weekly!D849</f>
        <v>Bought Time Billed</v>
      </c>
      <c r="E849" s="9" t="str">
        <f>fact_kpi_weekly!E849</f>
        <v>Goal</v>
      </c>
      <c r="F849" s="9" t="str">
        <f>IF(fact_kpi_weekly!F849="","",fact_kpi_weekly!F849)</f>
        <v/>
      </c>
      <c r="G849" s="9" t="str">
        <f>fact_kpi_weekly!G849</f>
        <v>N/A</v>
      </c>
      <c r="H849" s="9" t="str">
        <f>fact_kpi_weekly!H849</f>
        <v>Alex &amp; Kit</v>
      </c>
      <c r="I849" s="9">
        <f>fact_kpi_weekly!I849</f>
        <v>0.5</v>
      </c>
      <c r="J849" s="22">
        <f>fact_kpi_weekly!J849</f>
        <v>0.5</v>
      </c>
      <c r="K849" s="20" t="str">
        <f t="array" ref="K849">IFERROR(INDEX(dim_date!H:H,MATCH(A849,dim_date!A:A,0)),"")</f>
        <v>Mar</v>
      </c>
      <c r="L849" s="20" t="str">
        <f t="array" ref="L849">IFERROR(INDEX(dim_date!G:G,MATCH(A849,dim_date!A:A,0)),"")</f>
        <v>03</v>
      </c>
      <c r="M849" s="9" t="str">
        <f t="array" ref="M849">IFERROR(INDEX(dim_date!I:I,MATCH(A849,dim_date!A:A,0)),"")</f>
        <v>Q1</v>
      </c>
      <c r="N849" s="20" t="str">
        <f t="array" ref="N849">IFERROR(INDEX(dim_date!K:K,MATCH(A849,dim_date!A:A,0)),"")</f>
        <v>13</v>
      </c>
      <c r="O849" s="9" t="str">
        <f t="array" ref="O849">IFERROR(INDEX(dim_date!F:F,MATCH(A849,dim_date!A:A,0)),"")</f>
        <v>3/22-3/28</v>
      </c>
      <c r="P849" s="9" t="str">
        <f t="array" ref="P849">IFERROR(INDEX(dim_kpi!E:E,MATCH(D849,dim_kpi!C:C,0)),"")</f>
        <v>%</v>
      </c>
      <c r="Q849" s="9" t="str">
        <f t="array" ref="Q849">IFERROR(INDEX(dim_kpi!F:F,MATCH(D849,dim_kpi!C:C,0)),"")</f>
        <v>N</v>
      </c>
    </row>
    <row r="850" ht="12.75" customHeight="1">
      <c r="A850" s="20" t="str">
        <f>fact_kpi_weekly!A850</f>
        <v>260329</v>
      </c>
      <c r="B850" s="21">
        <f>fact_kpi_weekly!B850</f>
        <v>46110</v>
      </c>
      <c r="C850" s="9" t="str">
        <f>fact_kpi_weekly!C850</f>
        <v>Care Delivery</v>
      </c>
      <c r="D850" s="9" t="str">
        <f>fact_kpi_weekly!D850</f>
        <v>Bought Time Billed</v>
      </c>
      <c r="E850" s="9" t="str">
        <f>fact_kpi_weekly!E850</f>
        <v>Goal</v>
      </c>
      <c r="F850" s="9" t="str">
        <f>IF(fact_kpi_weekly!F850="","",fact_kpi_weekly!F850)</f>
        <v/>
      </c>
      <c r="G850" s="9" t="str">
        <f>fact_kpi_weekly!G850</f>
        <v>N/A</v>
      </c>
      <c r="H850" s="9" t="str">
        <f>fact_kpi_weekly!H850</f>
        <v>Alex &amp; Kit</v>
      </c>
      <c r="I850" s="9">
        <f>fact_kpi_weekly!I850</f>
        <v>0.5</v>
      </c>
      <c r="J850" s="22">
        <f>fact_kpi_weekly!J850</f>
        <v>0.5</v>
      </c>
      <c r="K850" s="20" t="str">
        <f t="array" ref="K850">IFERROR(INDEX(dim_date!H:H,MATCH(A850,dim_date!A:A,0)),"")</f>
        <v>Mar</v>
      </c>
      <c r="L850" s="20" t="str">
        <f t="array" ref="L850">IFERROR(INDEX(dim_date!G:G,MATCH(A850,dim_date!A:A,0)),"")</f>
        <v>03</v>
      </c>
      <c r="M850" s="9" t="str">
        <f t="array" ref="M850">IFERROR(INDEX(dim_date!I:I,MATCH(A850,dim_date!A:A,0)),"")</f>
        <v>Q1</v>
      </c>
      <c r="N850" s="20" t="str">
        <f t="array" ref="N850">IFERROR(INDEX(dim_date!K:K,MATCH(A850,dim_date!A:A,0)),"")</f>
        <v>14</v>
      </c>
      <c r="O850" s="9" t="str">
        <f t="array" ref="O850">IFERROR(INDEX(dim_date!F:F,MATCH(A850,dim_date!A:A,0)),"")</f>
        <v>3/29-4/4</v>
      </c>
      <c r="P850" s="9" t="str">
        <f t="array" ref="P850">IFERROR(INDEX(dim_kpi!E:E,MATCH(D850,dim_kpi!C:C,0)),"")</f>
        <v>%</v>
      </c>
      <c r="Q850" s="9" t="str">
        <f t="array" ref="Q850">IFERROR(INDEX(dim_kpi!F:F,MATCH(D850,dim_kpi!C:C,0)),"")</f>
        <v>N</v>
      </c>
    </row>
    <row r="851" ht="12.75" customHeight="1">
      <c r="A851" s="20" t="str">
        <f>fact_kpi_weekly!A851</f>
        <v>260405</v>
      </c>
      <c r="B851" s="21">
        <f>fact_kpi_weekly!B851</f>
        <v>46117</v>
      </c>
      <c r="C851" s="9" t="str">
        <f>fact_kpi_weekly!C851</f>
        <v>Care Delivery</v>
      </c>
      <c r="D851" s="9" t="str">
        <f>fact_kpi_weekly!D851</f>
        <v>Bought Time Billed</v>
      </c>
      <c r="E851" s="9" t="str">
        <f>fact_kpi_weekly!E851</f>
        <v>Goal</v>
      </c>
      <c r="F851" s="9" t="str">
        <f>IF(fact_kpi_weekly!F851="","",fact_kpi_weekly!F851)</f>
        <v/>
      </c>
      <c r="G851" s="9" t="str">
        <f>fact_kpi_weekly!G851</f>
        <v>N/A</v>
      </c>
      <c r="H851" s="9" t="str">
        <f>fact_kpi_weekly!H851</f>
        <v>Alex &amp; Kit</v>
      </c>
      <c r="I851" s="9">
        <f>fact_kpi_weekly!I851</f>
        <v>0.53</v>
      </c>
      <c r="J851" s="22">
        <f>fact_kpi_weekly!J851</f>
        <v>0.53</v>
      </c>
      <c r="K851" s="20" t="str">
        <f t="array" ref="K851">IFERROR(INDEX(dim_date!H:H,MATCH(A851,dim_date!A:A,0)),"")</f>
        <v>Apr</v>
      </c>
      <c r="L851" s="20" t="str">
        <f t="array" ref="L851">IFERROR(INDEX(dim_date!G:G,MATCH(A851,dim_date!A:A,0)),"")</f>
        <v>04</v>
      </c>
      <c r="M851" s="9" t="str">
        <f t="array" ref="M851">IFERROR(INDEX(dim_date!I:I,MATCH(A851,dim_date!A:A,0)),"")</f>
        <v>Q2</v>
      </c>
      <c r="N851" s="20" t="str">
        <f t="array" ref="N851">IFERROR(INDEX(dim_date!K:K,MATCH(A851,dim_date!A:A,0)),"")</f>
        <v>15</v>
      </c>
      <c r="O851" s="9" t="str">
        <f t="array" ref="O851">IFERROR(INDEX(dim_date!F:F,MATCH(A851,dim_date!A:A,0)),"")</f>
        <v>4/5-4/11</v>
      </c>
      <c r="P851" s="9" t="str">
        <f t="array" ref="P851">IFERROR(INDEX(dim_kpi!E:E,MATCH(D851,dim_kpi!C:C,0)),"")</f>
        <v>%</v>
      </c>
      <c r="Q851" s="9" t="str">
        <f t="array" ref="Q851">IFERROR(INDEX(dim_kpi!F:F,MATCH(D851,dim_kpi!C:C,0)),"")</f>
        <v>N</v>
      </c>
    </row>
    <row r="852" ht="12.75" customHeight="1">
      <c r="A852" s="20" t="str">
        <f>fact_kpi_weekly!A852</f>
        <v>260412</v>
      </c>
      <c r="B852" s="21">
        <f>fact_kpi_weekly!B852</f>
        <v>46124</v>
      </c>
      <c r="C852" s="9" t="str">
        <f>fact_kpi_weekly!C852</f>
        <v>Care Delivery</v>
      </c>
      <c r="D852" s="9" t="str">
        <f>fact_kpi_weekly!D852</f>
        <v>Bought Time Billed</v>
      </c>
      <c r="E852" s="9" t="str">
        <f>fact_kpi_weekly!E852</f>
        <v>Goal</v>
      </c>
      <c r="F852" s="9" t="str">
        <f>IF(fact_kpi_weekly!F852="","",fact_kpi_weekly!F852)</f>
        <v/>
      </c>
      <c r="G852" s="9" t="str">
        <f>fact_kpi_weekly!G852</f>
        <v>N/A</v>
      </c>
      <c r="H852" s="9" t="str">
        <f>fact_kpi_weekly!H852</f>
        <v>Alex &amp; Kit</v>
      </c>
      <c r="I852" s="9">
        <f>fact_kpi_weekly!I852</f>
        <v>0.53</v>
      </c>
      <c r="J852" s="22">
        <f>fact_kpi_weekly!J852</f>
        <v>0.53</v>
      </c>
      <c r="K852" s="20" t="str">
        <f t="array" ref="K852">IFERROR(INDEX(dim_date!H:H,MATCH(A852,dim_date!A:A,0)),"")</f>
        <v>Apr</v>
      </c>
      <c r="L852" s="20" t="str">
        <f t="array" ref="L852">IFERROR(INDEX(dim_date!G:G,MATCH(A852,dim_date!A:A,0)),"")</f>
        <v>04</v>
      </c>
      <c r="M852" s="9" t="str">
        <f t="array" ref="M852">IFERROR(INDEX(dim_date!I:I,MATCH(A852,dim_date!A:A,0)),"")</f>
        <v>Q2</v>
      </c>
      <c r="N852" s="20" t="str">
        <f t="array" ref="N852">IFERROR(INDEX(dim_date!K:K,MATCH(A852,dim_date!A:A,0)),"")</f>
        <v>16</v>
      </c>
      <c r="O852" s="9" t="str">
        <f t="array" ref="O852">IFERROR(INDEX(dim_date!F:F,MATCH(A852,dim_date!A:A,0)),"")</f>
        <v>4/12-4/18</v>
      </c>
      <c r="P852" s="9" t="str">
        <f t="array" ref="P852">IFERROR(INDEX(dim_kpi!E:E,MATCH(D852,dim_kpi!C:C,0)),"")</f>
        <v>%</v>
      </c>
      <c r="Q852" s="9" t="str">
        <f t="array" ref="Q852">IFERROR(INDEX(dim_kpi!F:F,MATCH(D852,dim_kpi!C:C,0)),"")</f>
        <v>N</v>
      </c>
    </row>
    <row r="853" ht="12.75" customHeight="1">
      <c r="A853" s="20" t="str">
        <f>fact_kpi_weekly!A853</f>
        <v>260419</v>
      </c>
      <c r="B853" s="21">
        <f>fact_kpi_weekly!B853</f>
        <v>46131</v>
      </c>
      <c r="C853" s="9" t="str">
        <f>fact_kpi_weekly!C853</f>
        <v>Care Delivery</v>
      </c>
      <c r="D853" s="9" t="str">
        <f>fact_kpi_weekly!D853</f>
        <v>Bought Time Billed</v>
      </c>
      <c r="E853" s="9" t="str">
        <f>fact_kpi_weekly!E853</f>
        <v>Goal</v>
      </c>
      <c r="F853" s="9" t="str">
        <f>IF(fact_kpi_weekly!F853="","",fact_kpi_weekly!F853)</f>
        <v/>
      </c>
      <c r="G853" s="9" t="str">
        <f>fact_kpi_weekly!G853</f>
        <v>N/A</v>
      </c>
      <c r="H853" s="9" t="str">
        <f>fact_kpi_weekly!H853</f>
        <v>Alex &amp; Kit</v>
      </c>
      <c r="I853" s="9">
        <f>fact_kpi_weekly!I853</f>
        <v>0.53</v>
      </c>
      <c r="J853" s="22">
        <f>fact_kpi_weekly!J853</f>
        <v>0.53</v>
      </c>
      <c r="K853" s="20" t="str">
        <f t="array" ref="K853">IFERROR(INDEX(dim_date!H:H,MATCH(A853,dim_date!A:A,0)),"")</f>
        <v>Apr</v>
      </c>
      <c r="L853" s="20" t="str">
        <f t="array" ref="L853">IFERROR(INDEX(dim_date!G:G,MATCH(A853,dim_date!A:A,0)),"")</f>
        <v>04</v>
      </c>
      <c r="M853" s="9" t="str">
        <f t="array" ref="M853">IFERROR(INDEX(dim_date!I:I,MATCH(A853,dim_date!A:A,0)),"")</f>
        <v>Q2</v>
      </c>
      <c r="N853" s="20" t="str">
        <f t="array" ref="N853">IFERROR(INDEX(dim_date!K:K,MATCH(A853,dim_date!A:A,0)),"")</f>
        <v>17</v>
      </c>
      <c r="O853" s="9" t="str">
        <f t="array" ref="O853">IFERROR(INDEX(dim_date!F:F,MATCH(A853,dim_date!A:A,0)),"")</f>
        <v>4/19-4/25</v>
      </c>
      <c r="P853" s="9" t="str">
        <f t="array" ref="P853">IFERROR(INDEX(dim_kpi!E:E,MATCH(D853,dim_kpi!C:C,0)),"")</f>
        <v>%</v>
      </c>
      <c r="Q853" s="9" t="str">
        <f t="array" ref="Q853">IFERROR(INDEX(dim_kpi!F:F,MATCH(D853,dim_kpi!C:C,0)),"")</f>
        <v>N</v>
      </c>
    </row>
    <row r="854" ht="12.75" customHeight="1">
      <c r="A854" s="20" t="str">
        <f>fact_kpi_weekly!A854</f>
        <v>260426</v>
      </c>
      <c r="B854" s="21">
        <f>fact_kpi_weekly!B854</f>
        <v>46138</v>
      </c>
      <c r="C854" s="9" t="str">
        <f>fact_kpi_weekly!C854</f>
        <v>Care Delivery</v>
      </c>
      <c r="D854" s="9" t="str">
        <f>fact_kpi_weekly!D854</f>
        <v>Bought Time Billed</v>
      </c>
      <c r="E854" s="9" t="str">
        <f>fact_kpi_weekly!E854</f>
        <v>Goal</v>
      </c>
      <c r="F854" s="9" t="str">
        <f>IF(fact_kpi_weekly!F854="","",fact_kpi_weekly!F854)</f>
        <v/>
      </c>
      <c r="G854" s="9" t="str">
        <f>fact_kpi_weekly!G854</f>
        <v>N/A</v>
      </c>
      <c r="H854" s="9" t="str">
        <f>fact_kpi_weekly!H854</f>
        <v>Alex &amp; Kit</v>
      </c>
      <c r="I854" s="9">
        <f>fact_kpi_weekly!I854</f>
        <v>0.53</v>
      </c>
      <c r="J854" s="22">
        <f>fact_kpi_weekly!J854</f>
        <v>0.53</v>
      </c>
      <c r="K854" s="20" t="str">
        <f t="array" ref="K854">IFERROR(INDEX(dim_date!H:H,MATCH(A854,dim_date!A:A,0)),"")</f>
        <v>Apr</v>
      </c>
      <c r="L854" s="20" t="str">
        <f t="array" ref="L854">IFERROR(INDEX(dim_date!G:G,MATCH(A854,dim_date!A:A,0)),"")</f>
        <v>04</v>
      </c>
      <c r="M854" s="9" t="str">
        <f t="array" ref="M854">IFERROR(INDEX(dim_date!I:I,MATCH(A854,dim_date!A:A,0)),"")</f>
        <v>Q2</v>
      </c>
      <c r="N854" s="20" t="str">
        <f t="array" ref="N854">IFERROR(INDEX(dim_date!K:K,MATCH(A854,dim_date!A:A,0)),"")</f>
        <v>18</v>
      </c>
      <c r="O854" s="9" t="str">
        <f t="array" ref="O854">IFERROR(INDEX(dim_date!F:F,MATCH(A854,dim_date!A:A,0)),"")</f>
        <v>4/26-5/2</v>
      </c>
      <c r="P854" s="9" t="str">
        <f t="array" ref="P854">IFERROR(INDEX(dim_kpi!E:E,MATCH(D854,dim_kpi!C:C,0)),"")</f>
        <v>%</v>
      </c>
      <c r="Q854" s="9" t="str">
        <f t="array" ref="Q854">IFERROR(INDEX(dim_kpi!F:F,MATCH(D854,dim_kpi!C:C,0)),"")</f>
        <v>N</v>
      </c>
    </row>
    <row r="855" ht="12.75" customHeight="1">
      <c r="A855" s="20" t="str">
        <f>fact_kpi_weekly!A855</f>
        <v>260503</v>
      </c>
      <c r="B855" s="21">
        <f>fact_kpi_weekly!B855</f>
        <v>46145</v>
      </c>
      <c r="C855" s="9" t="str">
        <f>fact_kpi_weekly!C855</f>
        <v>Care Delivery</v>
      </c>
      <c r="D855" s="9" t="str">
        <f>fact_kpi_weekly!D855</f>
        <v>Bought Time Billed</v>
      </c>
      <c r="E855" s="9" t="str">
        <f>fact_kpi_weekly!E855</f>
        <v>Goal</v>
      </c>
      <c r="F855" s="9" t="str">
        <f>IF(fact_kpi_weekly!F855="","",fact_kpi_weekly!F855)</f>
        <v/>
      </c>
      <c r="G855" s="9" t="str">
        <f>fact_kpi_weekly!G855</f>
        <v>N/A</v>
      </c>
      <c r="H855" s="9" t="str">
        <f>fact_kpi_weekly!H855</f>
        <v>Alex &amp; Kit</v>
      </c>
      <c r="I855" s="9">
        <f>fact_kpi_weekly!I855</f>
        <v>0.63</v>
      </c>
      <c r="J855" s="22">
        <f>fact_kpi_weekly!J855</f>
        <v>0.63</v>
      </c>
      <c r="K855" s="20" t="str">
        <f t="array" ref="K855">IFERROR(INDEX(dim_date!H:H,MATCH(A855,dim_date!A:A,0)),"")</f>
        <v>May</v>
      </c>
      <c r="L855" s="20" t="str">
        <f t="array" ref="L855">IFERROR(INDEX(dim_date!G:G,MATCH(A855,dim_date!A:A,0)),"")</f>
        <v>05</v>
      </c>
      <c r="M855" s="9" t="str">
        <f t="array" ref="M855">IFERROR(INDEX(dim_date!I:I,MATCH(A855,dim_date!A:A,0)),"")</f>
        <v>Q2</v>
      </c>
      <c r="N855" s="20" t="str">
        <f t="array" ref="N855">IFERROR(INDEX(dim_date!K:K,MATCH(A855,dim_date!A:A,0)),"")</f>
        <v>19</v>
      </c>
      <c r="O855" s="9" t="str">
        <f t="array" ref="O855">IFERROR(INDEX(dim_date!F:F,MATCH(A855,dim_date!A:A,0)),"")</f>
        <v>5/3-5/9</v>
      </c>
      <c r="P855" s="9" t="str">
        <f t="array" ref="P855">IFERROR(INDEX(dim_kpi!E:E,MATCH(D855,dim_kpi!C:C,0)),"")</f>
        <v>%</v>
      </c>
      <c r="Q855" s="9" t="str">
        <f t="array" ref="Q855">IFERROR(INDEX(dim_kpi!F:F,MATCH(D855,dim_kpi!C:C,0)),"")</f>
        <v>N</v>
      </c>
    </row>
    <row r="856" ht="12.75" customHeight="1">
      <c r="A856" s="20" t="str">
        <f>fact_kpi_weekly!A856</f>
        <v>260510</v>
      </c>
      <c r="B856" s="21">
        <f>fact_kpi_weekly!B856</f>
        <v>46152</v>
      </c>
      <c r="C856" s="9" t="str">
        <f>fact_kpi_weekly!C856</f>
        <v>Care Delivery</v>
      </c>
      <c r="D856" s="9" t="str">
        <f>fact_kpi_weekly!D856</f>
        <v>Bought Time Billed</v>
      </c>
      <c r="E856" s="9" t="str">
        <f>fact_kpi_weekly!E856</f>
        <v>Goal</v>
      </c>
      <c r="F856" s="9" t="str">
        <f>IF(fact_kpi_weekly!F856="","",fact_kpi_weekly!F856)</f>
        <v/>
      </c>
      <c r="G856" s="9" t="str">
        <f>fact_kpi_weekly!G856</f>
        <v>N/A</v>
      </c>
      <c r="H856" s="9" t="str">
        <f>fact_kpi_weekly!H856</f>
        <v>Alex &amp; Kit</v>
      </c>
      <c r="I856" s="9">
        <f>fact_kpi_weekly!I856</f>
        <v>0.63</v>
      </c>
      <c r="J856" s="22">
        <f>fact_kpi_weekly!J856</f>
        <v>0.63</v>
      </c>
      <c r="K856" s="20" t="str">
        <f t="array" ref="K856">IFERROR(INDEX(dim_date!H:H,MATCH(A856,dim_date!A:A,0)),"")</f>
        <v>May</v>
      </c>
      <c r="L856" s="20" t="str">
        <f t="array" ref="L856">IFERROR(INDEX(dim_date!G:G,MATCH(A856,dim_date!A:A,0)),"")</f>
        <v>05</v>
      </c>
      <c r="M856" s="9" t="str">
        <f t="array" ref="M856">IFERROR(INDEX(dim_date!I:I,MATCH(A856,dim_date!A:A,0)),"")</f>
        <v>Q2</v>
      </c>
      <c r="N856" s="20" t="str">
        <f t="array" ref="N856">IFERROR(INDEX(dim_date!K:K,MATCH(A856,dim_date!A:A,0)),"")</f>
        <v>20</v>
      </c>
      <c r="O856" s="9" t="str">
        <f t="array" ref="O856">IFERROR(INDEX(dim_date!F:F,MATCH(A856,dim_date!A:A,0)),"")</f>
        <v>5/10-5/16</v>
      </c>
      <c r="P856" s="9" t="str">
        <f t="array" ref="P856">IFERROR(INDEX(dim_kpi!E:E,MATCH(D856,dim_kpi!C:C,0)),"")</f>
        <v>%</v>
      </c>
      <c r="Q856" s="9" t="str">
        <f t="array" ref="Q856">IFERROR(INDEX(dim_kpi!F:F,MATCH(D856,dim_kpi!C:C,0)),"")</f>
        <v>N</v>
      </c>
    </row>
    <row r="857" ht="12.75" customHeight="1">
      <c r="A857" s="20" t="str">
        <f>fact_kpi_weekly!A857</f>
        <v>260517</v>
      </c>
      <c r="B857" s="21">
        <f>fact_kpi_weekly!B857</f>
        <v>46159</v>
      </c>
      <c r="C857" s="9" t="str">
        <f>fact_kpi_weekly!C857</f>
        <v>Care Delivery</v>
      </c>
      <c r="D857" s="9" t="str">
        <f>fact_kpi_weekly!D857</f>
        <v>Bought Time Billed</v>
      </c>
      <c r="E857" s="9" t="str">
        <f>fact_kpi_weekly!E857</f>
        <v>Goal</v>
      </c>
      <c r="F857" s="9" t="str">
        <f>IF(fact_kpi_weekly!F857="","",fact_kpi_weekly!F857)</f>
        <v/>
      </c>
      <c r="G857" s="9" t="str">
        <f>fact_kpi_weekly!G857</f>
        <v>N/A</v>
      </c>
      <c r="H857" s="9" t="str">
        <f>fact_kpi_weekly!H857</f>
        <v>Alex &amp; Kit</v>
      </c>
      <c r="I857" s="9">
        <f>fact_kpi_weekly!I857</f>
        <v>0.63</v>
      </c>
      <c r="J857" s="22">
        <f>fact_kpi_weekly!J857</f>
        <v>0.63</v>
      </c>
      <c r="K857" s="20" t="str">
        <f t="array" ref="K857">IFERROR(INDEX(dim_date!H:H,MATCH(A857,dim_date!A:A,0)),"")</f>
        <v>May</v>
      </c>
      <c r="L857" s="20" t="str">
        <f t="array" ref="L857">IFERROR(INDEX(dim_date!G:G,MATCH(A857,dim_date!A:A,0)),"")</f>
        <v>05</v>
      </c>
      <c r="M857" s="9" t="str">
        <f t="array" ref="M857">IFERROR(INDEX(dim_date!I:I,MATCH(A857,dim_date!A:A,0)),"")</f>
        <v>Q2</v>
      </c>
      <c r="N857" s="20" t="str">
        <f t="array" ref="N857">IFERROR(INDEX(dim_date!K:K,MATCH(A857,dim_date!A:A,0)),"")</f>
        <v>21</v>
      </c>
      <c r="O857" s="9" t="str">
        <f t="array" ref="O857">IFERROR(INDEX(dim_date!F:F,MATCH(A857,dim_date!A:A,0)),"")</f>
        <v>5/17-5/23</v>
      </c>
      <c r="P857" s="9" t="str">
        <f t="array" ref="P857">IFERROR(INDEX(dim_kpi!E:E,MATCH(D857,dim_kpi!C:C,0)),"")</f>
        <v>%</v>
      </c>
      <c r="Q857" s="9" t="str">
        <f t="array" ref="Q857">IFERROR(INDEX(dim_kpi!F:F,MATCH(D857,dim_kpi!C:C,0)),"")</f>
        <v>N</v>
      </c>
    </row>
    <row r="858" ht="12.75" customHeight="1">
      <c r="A858" s="20" t="str">
        <f>fact_kpi_weekly!A858</f>
        <v>260524</v>
      </c>
      <c r="B858" s="21">
        <f>fact_kpi_weekly!B858</f>
        <v>46166</v>
      </c>
      <c r="C858" s="9" t="str">
        <f>fact_kpi_weekly!C858</f>
        <v>Care Delivery</v>
      </c>
      <c r="D858" s="9" t="str">
        <f>fact_kpi_weekly!D858</f>
        <v>Bought Time Billed</v>
      </c>
      <c r="E858" s="9" t="str">
        <f>fact_kpi_weekly!E858</f>
        <v>Goal</v>
      </c>
      <c r="F858" s="9" t="str">
        <f>IF(fact_kpi_weekly!F858="","",fact_kpi_weekly!F858)</f>
        <v/>
      </c>
      <c r="G858" s="9" t="str">
        <f>fact_kpi_weekly!G858</f>
        <v>N/A</v>
      </c>
      <c r="H858" s="9" t="str">
        <f>fact_kpi_weekly!H858</f>
        <v>Alex &amp; Kit</v>
      </c>
      <c r="I858" s="9">
        <f>fact_kpi_weekly!I858</f>
        <v>0.63</v>
      </c>
      <c r="J858" s="22">
        <f>fact_kpi_weekly!J858</f>
        <v>0.63</v>
      </c>
      <c r="K858" s="20" t="str">
        <f t="array" ref="K858">IFERROR(INDEX(dim_date!H:H,MATCH(A858,dim_date!A:A,0)),"")</f>
        <v>May</v>
      </c>
      <c r="L858" s="20" t="str">
        <f t="array" ref="L858">IFERROR(INDEX(dim_date!G:G,MATCH(A858,dim_date!A:A,0)),"")</f>
        <v>05</v>
      </c>
      <c r="M858" s="9" t="str">
        <f t="array" ref="M858">IFERROR(INDEX(dim_date!I:I,MATCH(A858,dim_date!A:A,0)),"")</f>
        <v>Q2</v>
      </c>
      <c r="N858" s="20" t="str">
        <f t="array" ref="N858">IFERROR(INDEX(dim_date!K:K,MATCH(A858,dim_date!A:A,0)),"")</f>
        <v>22</v>
      </c>
      <c r="O858" s="9" t="str">
        <f t="array" ref="O858">IFERROR(INDEX(dim_date!F:F,MATCH(A858,dim_date!A:A,0)),"")</f>
        <v>5/24-5/30</v>
      </c>
      <c r="P858" s="9" t="str">
        <f t="array" ref="P858">IFERROR(INDEX(dim_kpi!E:E,MATCH(D858,dim_kpi!C:C,0)),"")</f>
        <v>%</v>
      </c>
      <c r="Q858" s="9" t="str">
        <f t="array" ref="Q858">IFERROR(INDEX(dim_kpi!F:F,MATCH(D858,dim_kpi!C:C,0)),"")</f>
        <v>N</v>
      </c>
    </row>
    <row r="859" ht="12.75" customHeight="1">
      <c r="A859" s="20" t="str">
        <f>fact_kpi_weekly!A859</f>
        <v>260601</v>
      </c>
      <c r="B859" s="21">
        <f>fact_kpi_weekly!B859</f>
        <v>46174</v>
      </c>
      <c r="C859" s="9" t="str">
        <f>fact_kpi_weekly!C859</f>
        <v>Care Delivery</v>
      </c>
      <c r="D859" s="9" t="str">
        <f>fact_kpi_weekly!D859</f>
        <v>Bought Time Billed</v>
      </c>
      <c r="E859" s="9" t="str">
        <f>fact_kpi_weekly!E859</f>
        <v>Goal</v>
      </c>
      <c r="F859" s="9" t="str">
        <f>IF(fact_kpi_weekly!F859="","",fact_kpi_weekly!F859)</f>
        <v/>
      </c>
      <c r="G859" s="9" t="str">
        <f>fact_kpi_weekly!G859</f>
        <v>N/A</v>
      </c>
      <c r="H859" s="9" t="str">
        <f>fact_kpi_weekly!H859</f>
        <v>Alex &amp; Kit</v>
      </c>
      <c r="I859" s="9">
        <f>fact_kpi_weekly!I859</f>
        <v>0.66</v>
      </c>
      <c r="J859" s="22">
        <f>fact_kpi_weekly!J859</f>
        <v>0.66</v>
      </c>
      <c r="K859" s="20" t="str">
        <f t="array" ref="K859">IFERROR(INDEX(dim_date!H:H,MATCH(A859,dim_date!A:A,0)),"")</f>
        <v>Jun</v>
      </c>
      <c r="L859" s="20" t="str">
        <f t="array" ref="L859">IFERROR(INDEX(dim_date!G:G,MATCH(A859,dim_date!A:A,0)),"")</f>
        <v>06</v>
      </c>
      <c r="M859" s="9" t="str">
        <f t="array" ref="M859">IFERROR(INDEX(dim_date!I:I,MATCH(A859,dim_date!A:A,0)),"")</f>
        <v>Q2</v>
      </c>
      <c r="N859" s="20" t="str">
        <f t="array" ref="N859">IFERROR(INDEX(dim_date!K:K,MATCH(A859,dim_date!A:A,0)),"")</f>
        <v>23</v>
      </c>
      <c r="O859" s="9" t="str">
        <f t="array" ref="O859">IFERROR(INDEX(dim_date!F:F,MATCH(A859,dim_date!A:A,0)),"")</f>
        <v>5/31-6/6</v>
      </c>
      <c r="P859" s="9" t="str">
        <f t="array" ref="P859">IFERROR(INDEX(dim_kpi!E:E,MATCH(D859,dim_kpi!C:C,0)),"")</f>
        <v>%</v>
      </c>
      <c r="Q859" s="9" t="str">
        <f t="array" ref="Q859">IFERROR(INDEX(dim_kpi!F:F,MATCH(D859,dim_kpi!C:C,0)),"")</f>
        <v>N</v>
      </c>
    </row>
    <row r="860" ht="12.75" customHeight="1">
      <c r="A860" s="20" t="str">
        <f>fact_kpi_weekly!A860</f>
        <v>260607</v>
      </c>
      <c r="B860" s="21">
        <f>fact_kpi_weekly!B860</f>
        <v>46180</v>
      </c>
      <c r="C860" s="9" t="str">
        <f>fact_kpi_weekly!C860</f>
        <v>Care Delivery</v>
      </c>
      <c r="D860" s="9" t="str">
        <f>fact_kpi_weekly!D860</f>
        <v>Bought Time Billed</v>
      </c>
      <c r="E860" s="9" t="str">
        <f>fact_kpi_weekly!E860</f>
        <v>Goal</v>
      </c>
      <c r="F860" s="9" t="str">
        <f>IF(fact_kpi_weekly!F860="","",fact_kpi_weekly!F860)</f>
        <v/>
      </c>
      <c r="G860" s="9" t="str">
        <f>fact_kpi_weekly!G860</f>
        <v>N/A</v>
      </c>
      <c r="H860" s="9" t="str">
        <f>fact_kpi_weekly!H860</f>
        <v>Alex &amp; Kit</v>
      </c>
      <c r="I860" s="9">
        <f>fact_kpi_weekly!I860</f>
        <v>0.66</v>
      </c>
      <c r="J860" s="22">
        <f>fact_kpi_weekly!J860</f>
        <v>0.66</v>
      </c>
      <c r="K860" s="20" t="str">
        <f t="array" ref="K860">IFERROR(INDEX(dim_date!H:H,MATCH(A860,dim_date!A:A,0)),"")</f>
        <v>Jun</v>
      </c>
      <c r="L860" s="20" t="str">
        <f t="array" ref="L860">IFERROR(INDEX(dim_date!G:G,MATCH(A860,dim_date!A:A,0)),"")</f>
        <v>06</v>
      </c>
      <c r="M860" s="9" t="str">
        <f t="array" ref="M860">IFERROR(INDEX(dim_date!I:I,MATCH(A860,dim_date!A:A,0)),"")</f>
        <v>Q2</v>
      </c>
      <c r="N860" s="20" t="str">
        <f t="array" ref="N860">IFERROR(INDEX(dim_date!K:K,MATCH(A860,dim_date!A:A,0)),"")</f>
        <v>24</v>
      </c>
      <c r="O860" s="9" t="str">
        <f t="array" ref="O860">IFERROR(INDEX(dim_date!F:F,MATCH(A860,dim_date!A:A,0)),"")</f>
        <v>6/7-6/13</v>
      </c>
      <c r="P860" s="9" t="str">
        <f t="array" ref="P860">IFERROR(INDEX(dim_kpi!E:E,MATCH(D860,dim_kpi!C:C,0)),"")</f>
        <v>%</v>
      </c>
      <c r="Q860" s="9" t="str">
        <f t="array" ref="Q860">IFERROR(INDEX(dim_kpi!F:F,MATCH(D860,dim_kpi!C:C,0)),"")</f>
        <v>N</v>
      </c>
    </row>
    <row r="861" ht="12.75" customHeight="1">
      <c r="A861" s="20" t="str">
        <f>fact_kpi_weekly!A861</f>
        <v>260614</v>
      </c>
      <c r="B861" s="21">
        <f>fact_kpi_weekly!B861</f>
        <v>46187</v>
      </c>
      <c r="C861" s="9" t="str">
        <f>fact_kpi_weekly!C861</f>
        <v>Care Delivery</v>
      </c>
      <c r="D861" s="9" t="str">
        <f>fact_kpi_weekly!D861</f>
        <v>Bought Time Billed</v>
      </c>
      <c r="E861" s="9" t="str">
        <f>fact_kpi_weekly!E861</f>
        <v>Goal</v>
      </c>
      <c r="F861" s="9" t="str">
        <f>IF(fact_kpi_weekly!F861="","",fact_kpi_weekly!F861)</f>
        <v/>
      </c>
      <c r="G861" s="9" t="str">
        <f>fact_kpi_weekly!G861</f>
        <v>N/A</v>
      </c>
      <c r="H861" s="9" t="str">
        <f>fact_kpi_weekly!H861</f>
        <v>Alex &amp; Kit</v>
      </c>
      <c r="I861" s="9">
        <f>fact_kpi_weekly!I861</f>
        <v>0.66</v>
      </c>
      <c r="J861" s="22">
        <f>fact_kpi_weekly!J861</f>
        <v>0.66</v>
      </c>
      <c r="K861" s="20" t="str">
        <f t="array" ref="K861">IFERROR(INDEX(dim_date!H:H,MATCH(A861,dim_date!A:A,0)),"")</f>
        <v>Jun</v>
      </c>
      <c r="L861" s="20" t="str">
        <f t="array" ref="L861">IFERROR(INDEX(dim_date!G:G,MATCH(A861,dim_date!A:A,0)),"")</f>
        <v>06</v>
      </c>
      <c r="M861" s="9" t="str">
        <f t="array" ref="M861">IFERROR(INDEX(dim_date!I:I,MATCH(A861,dim_date!A:A,0)),"")</f>
        <v>Q2</v>
      </c>
      <c r="N861" s="20" t="str">
        <f t="array" ref="N861">IFERROR(INDEX(dim_date!K:K,MATCH(A861,dim_date!A:A,0)),"")</f>
        <v>25</v>
      </c>
      <c r="O861" s="9" t="str">
        <f t="array" ref="O861">IFERROR(INDEX(dim_date!F:F,MATCH(A861,dim_date!A:A,0)),"")</f>
        <v>6/14-6/20</v>
      </c>
      <c r="P861" s="9" t="str">
        <f t="array" ref="P861">IFERROR(INDEX(dim_kpi!E:E,MATCH(D861,dim_kpi!C:C,0)),"")</f>
        <v>%</v>
      </c>
      <c r="Q861" s="9" t="str">
        <f t="array" ref="Q861">IFERROR(INDEX(dim_kpi!F:F,MATCH(D861,dim_kpi!C:C,0)),"")</f>
        <v>N</v>
      </c>
    </row>
    <row r="862" ht="12.75" customHeight="1">
      <c r="A862" s="20" t="str">
        <f>fact_kpi_weekly!A862</f>
        <v>260621</v>
      </c>
      <c r="B862" s="21">
        <f>fact_kpi_weekly!B862</f>
        <v>46194</v>
      </c>
      <c r="C862" s="9" t="str">
        <f>fact_kpi_weekly!C862</f>
        <v>Care Delivery</v>
      </c>
      <c r="D862" s="9" t="str">
        <f>fact_kpi_weekly!D862</f>
        <v>Bought Time Billed</v>
      </c>
      <c r="E862" s="9" t="str">
        <f>fact_kpi_weekly!E862</f>
        <v>Goal</v>
      </c>
      <c r="F862" s="9" t="str">
        <f>IF(fact_kpi_weekly!F862="","",fact_kpi_weekly!F862)</f>
        <v/>
      </c>
      <c r="G862" s="9" t="str">
        <f>fact_kpi_weekly!G862</f>
        <v>N/A</v>
      </c>
      <c r="H862" s="9" t="str">
        <f>fact_kpi_weekly!H862</f>
        <v>Alex &amp; Kit</v>
      </c>
      <c r="I862" s="9">
        <f>fact_kpi_weekly!I862</f>
        <v>0.66</v>
      </c>
      <c r="J862" s="22">
        <f>fact_kpi_weekly!J862</f>
        <v>0.66</v>
      </c>
      <c r="K862" s="20" t="str">
        <f t="array" ref="K862">IFERROR(INDEX(dim_date!H:H,MATCH(A862,dim_date!A:A,0)),"")</f>
        <v>Jun</v>
      </c>
      <c r="L862" s="20" t="str">
        <f t="array" ref="L862">IFERROR(INDEX(dim_date!G:G,MATCH(A862,dim_date!A:A,0)),"")</f>
        <v>06</v>
      </c>
      <c r="M862" s="9" t="str">
        <f t="array" ref="M862">IFERROR(INDEX(dim_date!I:I,MATCH(A862,dim_date!A:A,0)),"")</f>
        <v>Q2</v>
      </c>
      <c r="N862" s="20" t="str">
        <f t="array" ref="N862">IFERROR(INDEX(dim_date!K:K,MATCH(A862,dim_date!A:A,0)),"")</f>
        <v>26</v>
      </c>
      <c r="O862" s="9" t="str">
        <f t="array" ref="O862">IFERROR(INDEX(dim_date!F:F,MATCH(A862,dim_date!A:A,0)),"")</f>
        <v>6/21-6/27</v>
      </c>
      <c r="P862" s="9" t="str">
        <f t="array" ref="P862">IFERROR(INDEX(dim_kpi!E:E,MATCH(D862,dim_kpi!C:C,0)),"")</f>
        <v>%</v>
      </c>
      <c r="Q862" s="9" t="str">
        <f t="array" ref="Q862">IFERROR(INDEX(dim_kpi!F:F,MATCH(D862,dim_kpi!C:C,0)),"")</f>
        <v>N</v>
      </c>
    </row>
    <row r="863" ht="12.75" customHeight="1">
      <c r="A863" s="20" t="str">
        <f>fact_kpi_weekly!A863</f>
        <v>260628</v>
      </c>
      <c r="B863" s="21">
        <f>fact_kpi_weekly!B863</f>
        <v>46201</v>
      </c>
      <c r="C863" s="9" t="str">
        <f>fact_kpi_weekly!C863</f>
        <v>Care Delivery</v>
      </c>
      <c r="D863" s="9" t="str">
        <f>fact_kpi_weekly!D863</f>
        <v>Bought Time Billed</v>
      </c>
      <c r="E863" s="9" t="str">
        <f>fact_kpi_weekly!E863</f>
        <v>Goal</v>
      </c>
      <c r="F863" s="9" t="str">
        <f>IF(fact_kpi_weekly!F863="","",fact_kpi_weekly!F863)</f>
        <v/>
      </c>
      <c r="G863" s="9" t="str">
        <f>fact_kpi_weekly!G863</f>
        <v>N/A</v>
      </c>
      <c r="H863" s="9" t="str">
        <f>fact_kpi_weekly!H863</f>
        <v>Alex &amp; Kit</v>
      </c>
      <c r="I863" s="9">
        <f>fact_kpi_weekly!I863</f>
        <v>0.66</v>
      </c>
      <c r="J863" s="22">
        <f>fact_kpi_weekly!J863</f>
        <v>0.66</v>
      </c>
      <c r="K863" s="20" t="str">
        <f t="array" ref="K863">IFERROR(INDEX(dim_date!H:H,MATCH(A863,dim_date!A:A,0)),"")</f>
        <v>Jun</v>
      </c>
      <c r="L863" s="20" t="str">
        <f t="array" ref="L863">IFERROR(INDEX(dim_date!G:G,MATCH(A863,dim_date!A:A,0)),"")</f>
        <v>06</v>
      </c>
      <c r="M863" s="9" t="str">
        <f t="array" ref="M863">IFERROR(INDEX(dim_date!I:I,MATCH(A863,dim_date!A:A,0)),"")</f>
        <v>Q2</v>
      </c>
      <c r="N863" s="20" t="str">
        <f t="array" ref="N863">IFERROR(INDEX(dim_date!K:K,MATCH(A863,dim_date!A:A,0)),"")</f>
        <v>27</v>
      </c>
      <c r="O863" s="9" t="str">
        <f t="array" ref="O863">IFERROR(INDEX(dim_date!F:F,MATCH(A863,dim_date!A:A,0)),"")</f>
        <v>6/28-7/4</v>
      </c>
      <c r="P863" s="9" t="str">
        <f t="array" ref="P863">IFERROR(INDEX(dim_kpi!E:E,MATCH(D863,dim_kpi!C:C,0)),"")</f>
        <v>%</v>
      </c>
      <c r="Q863" s="9" t="str">
        <f t="array" ref="Q863">IFERROR(INDEX(dim_kpi!F:F,MATCH(D863,dim_kpi!C:C,0)),"")</f>
        <v>N</v>
      </c>
    </row>
    <row r="864" ht="12.75" customHeight="1">
      <c r="A864" s="20" t="str">
        <f>fact_kpi_weekly!A864</f>
        <v>260705</v>
      </c>
      <c r="B864" s="21">
        <f>fact_kpi_weekly!B864</f>
        <v>46208</v>
      </c>
      <c r="C864" s="9" t="str">
        <f>fact_kpi_weekly!C864</f>
        <v>Care Delivery</v>
      </c>
      <c r="D864" s="9" t="str">
        <f>fact_kpi_weekly!D864</f>
        <v>Bought Time Billed</v>
      </c>
      <c r="E864" s="9" t="str">
        <f>fact_kpi_weekly!E864</f>
        <v>Goal</v>
      </c>
      <c r="F864" s="9" t="str">
        <f>IF(fact_kpi_weekly!F864="","",fact_kpi_weekly!F864)</f>
        <v/>
      </c>
      <c r="G864" s="9" t="str">
        <f>fact_kpi_weekly!G864</f>
        <v>N/A</v>
      </c>
      <c r="H864" s="9" t="str">
        <f>fact_kpi_weekly!H864</f>
        <v>Alex &amp; Kit</v>
      </c>
      <c r="I864" s="9">
        <f>fact_kpi_weekly!I864</f>
        <v>0.69</v>
      </c>
      <c r="J864" s="22">
        <f>fact_kpi_weekly!J864</f>
        <v>0.69</v>
      </c>
      <c r="K864" s="20" t="str">
        <f t="array" ref="K864">IFERROR(INDEX(dim_date!H:H,MATCH(A864,dim_date!A:A,0)),"")</f>
        <v>Jul</v>
      </c>
      <c r="L864" s="20" t="str">
        <f t="array" ref="L864">IFERROR(INDEX(dim_date!G:G,MATCH(A864,dim_date!A:A,0)),"")</f>
        <v>07</v>
      </c>
      <c r="M864" s="9" t="str">
        <f t="array" ref="M864">IFERROR(INDEX(dim_date!I:I,MATCH(A864,dim_date!A:A,0)),"")</f>
        <v>Q3</v>
      </c>
      <c r="N864" s="20" t="str">
        <f t="array" ref="N864">IFERROR(INDEX(dim_date!K:K,MATCH(A864,dim_date!A:A,0)),"")</f>
        <v>28</v>
      </c>
      <c r="O864" s="9" t="str">
        <f t="array" ref="O864">IFERROR(INDEX(dim_date!F:F,MATCH(A864,dim_date!A:A,0)),"")</f>
        <v>7/5-7/11</v>
      </c>
      <c r="P864" s="9" t="str">
        <f t="array" ref="P864">IFERROR(INDEX(dim_kpi!E:E,MATCH(D864,dim_kpi!C:C,0)),"")</f>
        <v>%</v>
      </c>
      <c r="Q864" s="9" t="str">
        <f t="array" ref="Q864">IFERROR(INDEX(dim_kpi!F:F,MATCH(D864,dim_kpi!C:C,0)),"")</f>
        <v>N</v>
      </c>
    </row>
    <row r="865" ht="12.75" customHeight="1">
      <c r="A865" s="20" t="str">
        <f>fact_kpi_weekly!A865</f>
        <v>260712</v>
      </c>
      <c r="B865" s="21">
        <f>fact_kpi_weekly!B865</f>
        <v>46215</v>
      </c>
      <c r="C865" s="9" t="str">
        <f>fact_kpi_weekly!C865</f>
        <v>Care Delivery</v>
      </c>
      <c r="D865" s="9" t="str">
        <f>fact_kpi_weekly!D865</f>
        <v>Bought Time Billed</v>
      </c>
      <c r="E865" s="9" t="str">
        <f>fact_kpi_weekly!E865</f>
        <v>Goal</v>
      </c>
      <c r="F865" s="9" t="str">
        <f>IF(fact_kpi_weekly!F865="","",fact_kpi_weekly!F865)</f>
        <v/>
      </c>
      <c r="G865" s="9" t="str">
        <f>fact_kpi_weekly!G865</f>
        <v>N/A</v>
      </c>
      <c r="H865" s="9" t="str">
        <f>fact_kpi_weekly!H865</f>
        <v>Alex &amp; Kit</v>
      </c>
      <c r="I865" s="9">
        <f>fact_kpi_weekly!I865</f>
        <v>0.69</v>
      </c>
      <c r="J865" s="22">
        <f>fact_kpi_weekly!J865</f>
        <v>0.69</v>
      </c>
      <c r="K865" s="20" t="str">
        <f t="array" ref="K865">IFERROR(INDEX(dim_date!H:H,MATCH(A865,dim_date!A:A,0)),"")</f>
        <v>Jul</v>
      </c>
      <c r="L865" s="20" t="str">
        <f t="array" ref="L865">IFERROR(INDEX(dim_date!G:G,MATCH(A865,dim_date!A:A,0)),"")</f>
        <v>07</v>
      </c>
      <c r="M865" s="9" t="str">
        <f t="array" ref="M865">IFERROR(INDEX(dim_date!I:I,MATCH(A865,dim_date!A:A,0)),"")</f>
        <v>Q3</v>
      </c>
      <c r="N865" s="20" t="str">
        <f t="array" ref="N865">IFERROR(INDEX(dim_date!K:K,MATCH(A865,dim_date!A:A,0)),"")</f>
        <v>29</v>
      </c>
      <c r="O865" s="9" t="str">
        <f t="array" ref="O865">IFERROR(INDEX(dim_date!F:F,MATCH(A865,dim_date!A:A,0)),"")</f>
        <v>7/12-7/18</v>
      </c>
      <c r="P865" s="9" t="str">
        <f t="array" ref="P865">IFERROR(INDEX(dim_kpi!E:E,MATCH(D865,dim_kpi!C:C,0)),"")</f>
        <v>%</v>
      </c>
      <c r="Q865" s="9" t="str">
        <f t="array" ref="Q865">IFERROR(INDEX(dim_kpi!F:F,MATCH(D865,dim_kpi!C:C,0)),"")</f>
        <v>N</v>
      </c>
    </row>
    <row r="866" ht="12.75" customHeight="1">
      <c r="A866" s="20" t="str">
        <f>fact_kpi_weekly!A866</f>
        <v>260719</v>
      </c>
      <c r="B866" s="21">
        <f>fact_kpi_weekly!B866</f>
        <v>46222</v>
      </c>
      <c r="C866" s="9" t="str">
        <f>fact_kpi_weekly!C866</f>
        <v>Care Delivery</v>
      </c>
      <c r="D866" s="9" t="str">
        <f>fact_kpi_weekly!D866</f>
        <v>Bought Time Billed</v>
      </c>
      <c r="E866" s="9" t="str">
        <f>fact_kpi_weekly!E866</f>
        <v>Goal</v>
      </c>
      <c r="F866" s="9" t="str">
        <f>IF(fact_kpi_weekly!F866="","",fact_kpi_weekly!F866)</f>
        <v/>
      </c>
      <c r="G866" s="9" t="str">
        <f>fact_kpi_weekly!G866</f>
        <v>N/A</v>
      </c>
      <c r="H866" s="9" t="str">
        <f>fact_kpi_weekly!H866</f>
        <v>Alex &amp; Kit</v>
      </c>
      <c r="I866" s="9">
        <f>fact_kpi_weekly!I866</f>
        <v>0.69</v>
      </c>
      <c r="J866" s="22">
        <f>fact_kpi_weekly!J866</f>
        <v>0.69</v>
      </c>
      <c r="K866" s="20" t="str">
        <f t="array" ref="K866">IFERROR(INDEX(dim_date!H:H,MATCH(A866,dim_date!A:A,0)),"")</f>
        <v>Jul</v>
      </c>
      <c r="L866" s="20" t="str">
        <f t="array" ref="L866">IFERROR(INDEX(dim_date!G:G,MATCH(A866,dim_date!A:A,0)),"")</f>
        <v>07</v>
      </c>
      <c r="M866" s="9" t="str">
        <f t="array" ref="M866">IFERROR(INDEX(dim_date!I:I,MATCH(A866,dim_date!A:A,0)),"")</f>
        <v>Q3</v>
      </c>
      <c r="N866" s="20" t="str">
        <f t="array" ref="N866">IFERROR(INDEX(dim_date!K:K,MATCH(A866,dim_date!A:A,0)),"")</f>
        <v>30</v>
      </c>
      <c r="O866" s="9" t="str">
        <f t="array" ref="O866">IFERROR(INDEX(dim_date!F:F,MATCH(A866,dim_date!A:A,0)),"")</f>
        <v>7/19-7/25</v>
      </c>
      <c r="P866" s="9" t="str">
        <f t="array" ref="P866">IFERROR(INDEX(dim_kpi!E:E,MATCH(D866,dim_kpi!C:C,0)),"")</f>
        <v>%</v>
      </c>
      <c r="Q866" s="9" t="str">
        <f t="array" ref="Q866">IFERROR(INDEX(dim_kpi!F:F,MATCH(D866,dim_kpi!C:C,0)),"")</f>
        <v>N</v>
      </c>
    </row>
    <row r="867" ht="12.75" customHeight="1">
      <c r="A867" s="20" t="str">
        <f>fact_kpi_weekly!A867</f>
        <v>260726</v>
      </c>
      <c r="B867" s="21">
        <f>fact_kpi_weekly!B867</f>
        <v>46229</v>
      </c>
      <c r="C867" s="9" t="str">
        <f>fact_kpi_weekly!C867</f>
        <v>Care Delivery</v>
      </c>
      <c r="D867" s="9" t="str">
        <f>fact_kpi_weekly!D867</f>
        <v>Bought Time Billed</v>
      </c>
      <c r="E867" s="9" t="str">
        <f>fact_kpi_weekly!E867</f>
        <v>Goal</v>
      </c>
      <c r="F867" s="9" t="str">
        <f>IF(fact_kpi_weekly!F867="","",fact_kpi_weekly!F867)</f>
        <v/>
      </c>
      <c r="G867" s="9" t="str">
        <f>fact_kpi_weekly!G867</f>
        <v>N/A</v>
      </c>
      <c r="H867" s="9" t="str">
        <f>fact_kpi_weekly!H867</f>
        <v>Alex &amp; Kit</v>
      </c>
      <c r="I867" s="9">
        <f>fact_kpi_weekly!I867</f>
        <v>0.69</v>
      </c>
      <c r="J867" s="22">
        <f>fact_kpi_weekly!J867</f>
        <v>0.69</v>
      </c>
      <c r="K867" s="20" t="str">
        <f t="array" ref="K867">IFERROR(INDEX(dim_date!H:H,MATCH(A867,dim_date!A:A,0)),"")</f>
        <v>Jul</v>
      </c>
      <c r="L867" s="20" t="str">
        <f t="array" ref="L867">IFERROR(INDEX(dim_date!G:G,MATCH(A867,dim_date!A:A,0)),"")</f>
        <v>07</v>
      </c>
      <c r="M867" s="9" t="str">
        <f t="array" ref="M867">IFERROR(INDEX(dim_date!I:I,MATCH(A867,dim_date!A:A,0)),"")</f>
        <v>Q3</v>
      </c>
      <c r="N867" s="20" t="str">
        <f t="array" ref="N867">IFERROR(INDEX(dim_date!K:K,MATCH(A867,dim_date!A:A,0)),"")</f>
        <v>31</v>
      </c>
      <c r="O867" s="9" t="str">
        <f t="array" ref="O867">IFERROR(INDEX(dim_date!F:F,MATCH(A867,dim_date!A:A,0)),"")</f>
        <v>7/26-8/1</v>
      </c>
      <c r="P867" s="9" t="str">
        <f t="array" ref="P867">IFERROR(INDEX(dim_kpi!E:E,MATCH(D867,dim_kpi!C:C,0)),"")</f>
        <v>%</v>
      </c>
      <c r="Q867" s="9" t="str">
        <f t="array" ref="Q867">IFERROR(INDEX(dim_kpi!F:F,MATCH(D867,dim_kpi!C:C,0)),"")</f>
        <v>N</v>
      </c>
    </row>
    <row r="868" ht="12.75" customHeight="1">
      <c r="A868" s="20" t="str">
        <f>fact_kpi_weekly!A868</f>
        <v>260802</v>
      </c>
      <c r="B868" s="21">
        <f>fact_kpi_weekly!B868</f>
        <v>46236</v>
      </c>
      <c r="C868" s="9" t="str">
        <f>fact_kpi_weekly!C868</f>
        <v>Care Delivery</v>
      </c>
      <c r="D868" s="9" t="str">
        <f>fact_kpi_weekly!D868</f>
        <v>Bought Time Billed</v>
      </c>
      <c r="E868" s="9" t="str">
        <f>fact_kpi_weekly!E868</f>
        <v>Goal</v>
      </c>
      <c r="F868" s="9" t="str">
        <f>IF(fact_kpi_weekly!F868="","",fact_kpi_weekly!F868)</f>
        <v/>
      </c>
      <c r="G868" s="9" t="str">
        <f>fact_kpi_weekly!G868</f>
        <v>N/A</v>
      </c>
      <c r="H868" s="9" t="str">
        <f>fact_kpi_weekly!H868</f>
        <v>Alex &amp; Kit</v>
      </c>
      <c r="I868" s="9">
        <f>fact_kpi_weekly!I868</f>
        <v>0.72</v>
      </c>
      <c r="J868" s="22">
        <f>fact_kpi_weekly!J868</f>
        <v>0.72</v>
      </c>
      <c r="K868" s="20" t="str">
        <f t="array" ref="K868">IFERROR(INDEX(dim_date!H:H,MATCH(A868,dim_date!A:A,0)),"")</f>
        <v>Aug</v>
      </c>
      <c r="L868" s="20" t="str">
        <f t="array" ref="L868">IFERROR(INDEX(dim_date!G:G,MATCH(A868,dim_date!A:A,0)),"")</f>
        <v>08</v>
      </c>
      <c r="M868" s="9" t="str">
        <f t="array" ref="M868">IFERROR(INDEX(dim_date!I:I,MATCH(A868,dim_date!A:A,0)),"")</f>
        <v>Q3</v>
      </c>
      <c r="N868" s="20" t="str">
        <f t="array" ref="N868">IFERROR(INDEX(dim_date!K:K,MATCH(A868,dim_date!A:A,0)),"")</f>
        <v>32</v>
      </c>
      <c r="O868" s="9" t="str">
        <f t="array" ref="O868">IFERROR(INDEX(dim_date!F:F,MATCH(A868,dim_date!A:A,0)),"")</f>
        <v>8/2-8/8</v>
      </c>
      <c r="P868" s="9" t="str">
        <f t="array" ref="P868">IFERROR(INDEX(dim_kpi!E:E,MATCH(D868,dim_kpi!C:C,0)),"")</f>
        <v>%</v>
      </c>
      <c r="Q868" s="9" t="str">
        <f t="array" ref="Q868">IFERROR(INDEX(dim_kpi!F:F,MATCH(D868,dim_kpi!C:C,0)),"")</f>
        <v>N</v>
      </c>
    </row>
    <row r="869" ht="12.75" customHeight="1">
      <c r="A869" s="20" t="str">
        <f>fact_kpi_weekly!A869</f>
        <v>260809</v>
      </c>
      <c r="B869" s="21">
        <f>fact_kpi_weekly!B869</f>
        <v>46243</v>
      </c>
      <c r="C869" s="9" t="str">
        <f>fact_kpi_weekly!C869</f>
        <v>Care Delivery</v>
      </c>
      <c r="D869" s="9" t="str">
        <f>fact_kpi_weekly!D869</f>
        <v>Bought Time Billed</v>
      </c>
      <c r="E869" s="9" t="str">
        <f>fact_kpi_weekly!E869</f>
        <v>Goal</v>
      </c>
      <c r="F869" s="9" t="str">
        <f>IF(fact_kpi_weekly!F869="","",fact_kpi_weekly!F869)</f>
        <v/>
      </c>
      <c r="G869" s="9" t="str">
        <f>fact_kpi_weekly!G869</f>
        <v>N/A</v>
      </c>
      <c r="H869" s="9" t="str">
        <f>fact_kpi_weekly!H869</f>
        <v>Alex &amp; Kit</v>
      </c>
      <c r="I869" s="9">
        <f>fact_kpi_weekly!I869</f>
        <v>0.72</v>
      </c>
      <c r="J869" s="22">
        <f>fact_kpi_weekly!J869</f>
        <v>0.72</v>
      </c>
      <c r="K869" s="20" t="str">
        <f t="array" ref="K869">IFERROR(INDEX(dim_date!H:H,MATCH(A869,dim_date!A:A,0)),"")</f>
        <v>Aug</v>
      </c>
      <c r="L869" s="20" t="str">
        <f t="array" ref="L869">IFERROR(INDEX(dim_date!G:G,MATCH(A869,dim_date!A:A,0)),"")</f>
        <v>08</v>
      </c>
      <c r="M869" s="9" t="str">
        <f t="array" ref="M869">IFERROR(INDEX(dim_date!I:I,MATCH(A869,dim_date!A:A,0)),"")</f>
        <v>Q3</v>
      </c>
      <c r="N869" s="20" t="str">
        <f t="array" ref="N869">IFERROR(INDEX(dim_date!K:K,MATCH(A869,dim_date!A:A,0)),"")</f>
        <v>33</v>
      </c>
      <c r="O869" s="9" t="str">
        <f t="array" ref="O869">IFERROR(INDEX(dim_date!F:F,MATCH(A869,dim_date!A:A,0)),"")</f>
        <v>8/9-8/15</v>
      </c>
      <c r="P869" s="9" t="str">
        <f t="array" ref="P869">IFERROR(INDEX(dim_kpi!E:E,MATCH(D869,dim_kpi!C:C,0)),"")</f>
        <v>%</v>
      </c>
      <c r="Q869" s="9" t="str">
        <f t="array" ref="Q869">IFERROR(INDEX(dim_kpi!F:F,MATCH(D869,dim_kpi!C:C,0)),"")</f>
        <v>N</v>
      </c>
    </row>
    <row r="870" ht="12.75" customHeight="1">
      <c r="A870" s="20" t="str">
        <f>fact_kpi_weekly!A870</f>
        <v>260816</v>
      </c>
      <c r="B870" s="21">
        <f>fact_kpi_weekly!B870</f>
        <v>46250</v>
      </c>
      <c r="C870" s="9" t="str">
        <f>fact_kpi_weekly!C870</f>
        <v>Care Delivery</v>
      </c>
      <c r="D870" s="9" t="str">
        <f>fact_kpi_weekly!D870</f>
        <v>Bought Time Billed</v>
      </c>
      <c r="E870" s="9" t="str">
        <f>fact_kpi_weekly!E870</f>
        <v>Goal</v>
      </c>
      <c r="F870" s="9" t="str">
        <f>IF(fact_kpi_weekly!F870="","",fact_kpi_weekly!F870)</f>
        <v/>
      </c>
      <c r="G870" s="9" t="str">
        <f>fact_kpi_weekly!G870</f>
        <v>N/A</v>
      </c>
      <c r="H870" s="9" t="str">
        <f>fact_kpi_weekly!H870</f>
        <v>Alex &amp; Kit</v>
      </c>
      <c r="I870" s="9">
        <f>fact_kpi_weekly!I870</f>
        <v>0.72</v>
      </c>
      <c r="J870" s="22">
        <f>fact_kpi_weekly!J870</f>
        <v>0.72</v>
      </c>
      <c r="K870" s="20" t="str">
        <f t="array" ref="K870">IFERROR(INDEX(dim_date!H:H,MATCH(A870,dim_date!A:A,0)),"")</f>
        <v>Aug</v>
      </c>
      <c r="L870" s="20" t="str">
        <f t="array" ref="L870">IFERROR(INDEX(dim_date!G:G,MATCH(A870,dim_date!A:A,0)),"")</f>
        <v>08</v>
      </c>
      <c r="M870" s="9" t="str">
        <f t="array" ref="M870">IFERROR(INDEX(dim_date!I:I,MATCH(A870,dim_date!A:A,0)),"")</f>
        <v>Q3</v>
      </c>
      <c r="N870" s="20" t="str">
        <f t="array" ref="N870">IFERROR(INDEX(dim_date!K:K,MATCH(A870,dim_date!A:A,0)),"")</f>
        <v>34</v>
      </c>
      <c r="O870" s="9" t="str">
        <f t="array" ref="O870">IFERROR(INDEX(dim_date!F:F,MATCH(A870,dim_date!A:A,0)),"")</f>
        <v>8/16-8/22</v>
      </c>
      <c r="P870" s="9" t="str">
        <f t="array" ref="P870">IFERROR(INDEX(dim_kpi!E:E,MATCH(D870,dim_kpi!C:C,0)),"")</f>
        <v>%</v>
      </c>
      <c r="Q870" s="9" t="str">
        <f t="array" ref="Q870">IFERROR(INDEX(dim_kpi!F:F,MATCH(D870,dim_kpi!C:C,0)),"")</f>
        <v>N</v>
      </c>
    </row>
    <row r="871" ht="12.75" customHeight="1">
      <c r="A871" s="20" t="str">
        <f>fact_kpi_weekly!A871</f>
        <v>260823</v>
      </c>
      <c r="B871" s="21">
        <f>fact_kpi_weekly!B871</f>
        <v>46257</v>
      </c>
      <c r="C871" s="9" t="str">
        <f>fact_kpi_weekly!C871</f>
        <v>Care Delivery</v>
      </c>
      <c r="D871" s="9" t="str">
        <f>fact_kpi_weekly!D871</f>
        <v>Bought Time Billed</v>
      </c>
      <c r="E871" s="9" t="str">
        <f>fact_kpi_weekly!E871</f>
        <v>Goal</v>
      </c>
      <c r="F871" s="9" t="str">
        <f>IF(fact_kpi_weekly!F871="","",fact_kpi_weekly!F871)</f>
        <v/>
      </c>
      <c r="G871" s="9" t="str">
        <f>fact_kpi_weekly!G871</f>
        <v>N/A</v>
      </c>
      <c r="H871" s="9" t="str">
        <f>fact_kpi_weekly!H871</f>
        <v>Alex &amp; Kit</v>
      </c>
      <c r="I871" s="9">
        <f>fact_kpi_weekly!I871</f>
        <v>0.72</v>
      </c>
      <c r="J871" s="22">
        <f>fact_kpi_weekly!J871</f>
        <v>0.72</v>
      </c>
      <c r="K871" s="20" t="str">
        <f t="array" ref="K871">IFERROR(INDEX(dim_date!H:H,MATCH(A871,dim_date!A:A,0)),"")</f>
        <v>Aug</v>
      </c>
      <c r="L871" s="20" t="str">
        <f t="array" ref="L871">IFERROR(INDEX(dim_date!G:G,MATCH(A871,dim_date!A:A,0)),"")</f>
        <v>08</v>
      </c>
      <c r="M871" s="9" t="str">
        <f t="array" ref="M871">IFERROR(INDEX(dim_date!I:I,MATCH(A871,dim_date!A:A,0)),"")</f>
        <v>Q3</v>
      </c>
      <c r="N871" s="20" t="str">
        <f t="array" ref="N871">IFERROR(INDEX(dim_date!K:K,MATCH(A871,dim_date!A:A,0)),"")</f>
        <v>35</v>
      </c>
      <c r="O871" s="9" t="str">
        <f t="array" ref="O871">IFERROR(INDEX(dim_date!F:F,MATCH(A871,dim_date!A:A,0)),"")</f>
        <v>8/23-8/29</v>
      </c>
      <c r="P871" s="9" t="str">
        <f t="array" ref="P871">IFERROR(INDEX(dim_kpi!E:E,MATCH(D871,dim_kpi!C:C,0)),"")</f>
        <v>%</v>
      </c>
      <c r="Q871" s="9" t="str">
        <f t="array" ref="Q871">IFERROR(INDEX(dim_kpi!F:F,MATCH(D871,dim_kpi!C:C,0)),"")</f>
        <v>N</v>
      </c>
    </row>
    <row r="872" ht="12.75" customHeight="1">
      <c r="A872" s="20" t="str">
        <f>fact_kpi_weekly!A872</f>
        <v>260830</v>
      </c>
      <c r="B872" s="21">
        <f>fact_kpi_weekly!B872</f>
        <v>46264</v>
      </c>
      <c r="C872" s="9" t="str">
        <f>fact_kpi_weekly!C872</f>
        <v>Care Delivery</v>
      </c>
      <c r="D872" s="9" t="str">
        <f>fact_kpi_weekly!D872</f>
        <v>Bought Time Billed</v>
      </c>
      <c r="E872" s="9" t="str">
        <f>fact_kpi_weekly!E872</f>
        <v>Goal</v>
      </c>
      <c r="F872" s="9" t="str">
        <f>IF(fact_kpi_weekly!F872="","",fact_kpi_weekly!F872)</f>
        <v/>
      </c>
      <c r="G872" s="9" t="str">
        <f>fact_kpi_weekly!G872</f>
        <v>N/A</v>
      </c>
      <c r="H872" s="9" t="str">
        <f>fact_kpi_weekly!H872</f>
        <v>Alex &amp; Kit</v>
      </c>
      <c r="I872" s="9">
        <f>fact_kpi_weekly!I872</f>
        <v>0.72</v>
      </c>
      <c r="J872" s="22">
        <f>fact_kpi_weekly!J872</f>
        <v>0.72</v>
      </c>
      <c r="K872" s="20" t="str">
        <f t="array" ref="K872">IFERROR(INDEX(dim_date!H:H,MATCH(A872,dim_date!A:A,0)),"")</f>
        <v>Aug</v>
      </c>
      <c r="L872" s="20" t="str">
        <f t="array" ref="L872">IFERROR(INDEX(dim_date!G:G,MATCH(A872,dim_date!A:A,0)),"")</f>
        <v>08</v>
      </c>
      <c r="M872" s="9" t="str">
        <f t="array" ref="M872">IFERROR(INDEX(dim_date!I:I,MATCH(A872,dim_date!A:A,0)),"")</f>
        <v>Q3</v>
      </c>
      <c r="N872" s="20" t="str">
        <f t="array" ref="N872">IFERROR(INDEX(dim_date!K:K,MATCH(A872,dim_date!A:A,0)),"")</f>
        <v>36</v>
      </c>
      <c r="O872" s="9" t="str">
        <f t="array" ref="O872">IFERROR(INDEX(dim_date!F:F,MATCH(A872,dim_date!A:A,0)),"")</f>
        <v>8/30-9/5</v>
      </c>
      <c r="P872" s="9" t="str">
        <f t="array" ref="P872">IFERROR(INDEX(dim_kpi!E:E,MATCH(D872,dim_kpi!C:C,0)),"")</f>
        <v>%</v>
      </c>
      <c r="Q872" s="9" t="str">
        <f t="array" ref="Q872">IFERROR(INDEX(dim_kpi!F:F,MATCH(D872,dim_kpi!C:C,0)),"")</f>
        <v>N</v>
      </c>
    </row>
    <row r="873" ht="12.75" customHeight="1">
      <c r="A873" s="20" t="str">
        <f>fact_kpi_weekly!A873</f>
        <v>260906</v>
      </c>
      <c r="B873" s="21">
        <f>fact_kpi_weekly!B873</f>
        <v>46271</v>
      </c>
      <c r="C873" s="9" t="str">
        <f>fact_kpi_weekly!C873</f>
        <v>Care Delivery</v>
      </c>
      <c r="D873" s="9" t="str">
        <f>fact_kpi_weekly!D873</f>
        <v>Bought Time Billed</v>
      </c>
      <c r="E873" s="9" t="str">
        <f>fact_kpi_weekly!E873</f>
        <v>Goal</v>
      </c>
      <c r="F873" s="9" t="str">
        <f>IF(fact_kpi_weekly!F873="","",fact_kpi_weekly!F873)</f>
        <v/>
      </c>
      <c r="G873" s="9" t="str">
        <f>fact_kpi_weekly!G873</f>
        <v>N/A</v>
      </c>
      <c r="H873" s="9" t="str">
        <f>fact_kpi_weekly!H873</f>
        <v>Alex &amp; Kit</v>
      </c>
      <c r="I873" s="9">
        <f>fact_kpi_weekly!I873</f>
        <v>0.72</v>
      </c>
      <c r="J873" s="22">
        <f>fact_kpi_weekly!J873</f>
        <v>0.72</v>
      </c>
      <c r="K873" s="20" t="str">
        <f t="array" ref="K873">IFERROR(INDEX(dim_date!H:H,MATCH(A873,dim_date!A:A,0)),"")</f>
        <v>Sep</v>
      </c>
      <c r="L873" s="20" t="str">
        <f t="array" ref="L873">IFERROR(INDEX(dim_date!G:G,MATCH(A873,dim_date!A:A,0)),"")</f>
        <v>09</v>
      </c>
      <c r="M873" s="9" t="str">
        <f t="array" ref="M873">IFERROR(INDEX(dim_date!I:I,MATCH(A873,dim_date!A:A,0)),"")</f>
        <v>Q3</v>
      </c>
      <c r="N873" s="20" t="str">
        <f t="array" ref="N873">IFERROR(INDEX(dim_date!K:K,MATCH(A873,dim_date!A:A,0)),"")</f>
        <v>37</v>
      </c>
      <c r="O873" s="9" t="str">
        <f t="array" ref="O873">IFERROR(INDEX(dim_date!F:F,MATCH(A873,dim_date!A:A,0)),"")</f>
        <v>9/6-9/12</v>
      </c>
      <c r="P873" s="9" t="str">
        <f t="array" ref="P873">IFERROR(INDEX(dim_kpi!E:E,MATCH(D873,dim_kpi!C:C,0)),"")</f>
        <v>%</v>
      </c>
      <c r="Q873" s="9" t="str">
        <f t="array" ref="Q873">IFERROR(INDEX(dim_kpi!F:F,MATCH(D873,dim_kpi!C:C,0)),"")</f>
        <v>N</v>
      </c>
    </row>
    <row r="874" ht="12.75" customHeight="1">
      <c r="A874" s="20" t="str">
        <f>fact_kpi_weekly!A874</f>
        <v>260913</v>
      </c>
      <c r="B874" s="21">
        <f>fact_kpi_weekly!B874</f>
        <v>46278</v>
      </c>
      <c r="C874" s="9" t="str">
        <f>fact_kpi_weekly!C874</f>
        <v>Care Delivery</v>
      </c>
      <c r="D874" s="9" t="str">
        <f>fact_kpi_weekly!D874</f>
        <v>Bought Time Billed</v>
      </c>
      <c r="E874" s="9" t="str">
        <f>fact_kpi_weekly!E874</f>
        <v>Goal</v>
      </c>
      <c r="F874" s="9" t="str">
        <f>IF(fact_kpi_weekly!F874="","",fact_kpi_weekly!F874)</f>
        <v/>
      </c>
      <c r="G874" s="9" t="str">
        <f>fact_kpi_weekly!G874</f>
        <v>N/A</v>
      </c>
      <c r="H874" s="9" t="str">
        <f>fact_kpi_weekly!H874</f>
        <v>Alex &amp; Kit</v>
      </c>
      <c r="I874" s="9">
        <f>fact_kpi_weekly!I874</f>
        <v>0.72</v>
      </c>
      <c r="J874" s="22">
        <f>fact_kpi_weekly!J874</f>
        <v>0.72</v>
      </c>
      <c r="K874" s="20" t="str">
        <f t="array" ref="K874">IFERROR(INDEX(dim_date!H:H,MATCH(A874,dim_date!A:A,0)),"")</f>
        <v>Sep</v>
      </c>
      <c r="L874" s="20" t="str">
        <f t="array" ref="L874">IFERROR(INDEX(dim_date!G:G,MATCH(A874,dim_date!A:A,0)),"")</f>
        <v>09</v>
      </c>
      <c r="M874" s="9" t="str">
        <f t="array" ref="M874">IFERROR(INDEX(dim_date!I:I,MATCH(A874,dim_date!A:A,0)),"")</f>
        <v>Q3</v>
      </c>
      <c r="N874" s="20" t="str">
        <f t="array" ref="N874">IFERROR(INDEX(dim_date!K:K,MATCH(A874,dim_date!A:A,0)),"")</f>
        <v>38</v>
      </c>
      <c r="O874" s="9" t="str">
        <f t="array" ref="O874">IFERROR(INDEX(dim_date!F:F,MATCH(A874,dim_date!A:A,0)),"")</f>
        <v>9/13-9/19</v>
      </c>
      <c r="P874" s="9" t="str">
        <f t="array" ref="P874">IFERROR(INDEX(dim_kpi!E:E,MATCH(D874,dim_kpi!C:C,0)),"")</f>
        <v>%</v>
      </c>
      <c r="Q874" s="9" t="str">
        <f t="array" ref="Q874">IFERROR(INDEX(dim_kpi!F:F,MATCH(D874,dim_kpi!C:C,0)),"")</f>
        <v>N</v>
      </c>
    </row>
    <row r="875" ht="12.75" customHeight="1">
      <c r="A875" s="20" t="str">
        <f>fact_kpi_weekly!A875</f>
        <v>260920</v>
      </c>
      <c r="B875" s="21">
        <f>fact_kpi_weekly!B875</f>
        <v>46285</v>
      </c>
      <c r="C875" s="9" t="str">
        <f>fact_kpi_weekly!C875</f>
        <v>Care Delivery</v>
      </c>
      <c r="D875" s="9" t="str">
        <f>fact_kpi_weekly!D875</f>
        <v>Bought Time Billed</v>
      </c>
      <c r="E875" s="9" t="str">
        <f>fact_kpi_weekly!E875</f>
        <v>Goal</v>
      </c>
      <c r="F875" s="9" t="str">
        <f>IF(fact_kpi_weekly!F875="","",fact_kpi_weekly!F875)</f>
        <v/>
      </c>
      <c r="G875" s="9" t="str">
        <f>fact_kpi_weekly!G875</f>
        <v>N/A</v>
      </c>
      <c r="H875" s="9" t="str">
        <f>fact_kpi_weekly!H875</f>
        <v>Alex &amp; Kit</v>
      </c>
      <c r="I875" s="9">
        <f>fact_kpi_weekly!I875</f>
        <v>0.72</v>
      </c>
      <c r="J875" s="22">
        <f>fact_kpi_weekly!J875</f>
        <v>0.72</v>
      </c>
      <c r="K875" s="20" t="str">
        <f t="array" ref="K875">IFERROR(INDEX(dim_date!H:H,MATCH(A875,dim_date!A:A,0)),"")</f>
        <v>Sep</v>
      </c>
      <c r="L875" s="20" t="str">
        <f t="array" ref="L875">IFERROR(INDEX(dim_date!G:G,MATCH(A875,dim_date!A:A,0)),"")</f>
        <v>09</v>
      </c>
      <c r="M875" s="9" t="str">
        <f t="array" ref="M875">IFERROR(INDEX(dim_date!I:I,MATCH(A875,dim_date!A:A,0)),"")</f>
        <v>Q3</v>
      </c>
      <c r="N875" s="20" t="str">
        <f t="array" ref="N875">IFERROR(INDEX(dim_date!K:K,MATCH(A875,dim_date!A:A,0)),"")</f>
        <v>39</v>
      </c>
      <c r="O875" s="9" t="str">
        <f t="array" ref="O875">IFERROR(INDEX(dim_date!F:F,MATCH(A875,dim_date!A:A,0)),"")</f>
        <v>9/20-9/26</v>
      </c>
      <c r="P875" s="9" t="str">
        <f t="array" ref="P875">IFERROR(INDEX(dim_kpi!E:E,MATCH(D875,dim_kpi!C:C,0)),"")</f>
        <v>%</v>
      </c>
      <c r="Q875" s="9" t="str">
        <f t="array" ref="Q875">IFERROR(INDEX(dim_kpi!F:F,MATCH(D875,dim_kpi!C:C,0)),"")</f>
        <v>N</v>
      </c>
    </row>
    <row r="876" ht="12.75" customHeight="1">
      <c r="A876" s="20" t="str">
        <f>fact_kpi_weekly!A876</f>
        <v>260927</v>
      </c>
      <c r="B876" s="21">
        <f>fact_kpi_weekly!B876</f>
        <v>46292</v>
      </c>
      <c r="C876" s="9" t="str">
        <f>fact_kpi_weekly!C876</f>
        <v>Care Delivery</v>
      </c>
      <c r="D876" s="9" t="str">
        <f>fact_kpi_weekly!D876</f>
        <v>Bought Time Billed</v>
      </c>
      <c r="E876" s="9" t="str">
        <f>fact_kpi_weekly!E876</f>
        <v>Goal</v>
      </c>
      <c r="F876" s="9" t="str">
        <f>IF(fact_kpi_weekly!F876="","",fact_kpi_weekly!F876)</f>
        <v/>
      </c>
      <c r="G876" s="9" t="str">
        <f>fact_kpi_weekly!G876</f>
        <v>N/A</v>
      </c>
      <c r="H876" s="9" t="str">
        <f>fact_kpi_weekly!H876</f>
        <v>Alex &amp; Kit</v>
      </c>
      <c r="I876" s="9">
        <f>fact_kpi_weekly!I876</f>
        <v>0.72</v>
      </c>
      <c r="J876" s="22">
        <f>fact_kpi_weekly!J876</f>
        <v>0.72</v>
      </c>
      <c r="K876" s="20" t="str">
        <f t="array" ref="K876">IFERROR(INDEX(dim_date!H:H,MATCH(A876,dim_date!A:A,0)),"")</f>
        <v>Sep</v>
      </c>
      <c r="L876" s="20" t="str">
        <f t="array" ref="L876">IFERROR(INDEX(dim_date!G:G,MATCH(A876,dim_date!A:A,0)),"")</f>
        <v>09</v>
      </c>
      <c r="M876" s="9" t="str">
        <f t="array" ref="M876">IFERROR(INDEX(dim_date!I:I,MATCH(A876,dim_date!A:A,0)),"")</f>
        <v>Q3</v>
      </c>
      <c r="N876" s="20" t="str">
        <f t="array" ref="N876">IFERROR(INDEX(dim_date!K:K,MATCH(A876,dim_date!A:A,0)),"")</f>
        <v>40</v>
      </c>
      <c r="O876" s="9" t="str">
        <f t="array" ref="O876">IFERROR(INDEX(dim_date!F:F,MATCH(A876,dim_date!A:A,0)),"")</f>
        <v>9/27-10/3</v>
      </c>
      <c r="P876" s="9" t="str">
        <f t="array" ref="P876">IFERROR(INDEX(dim_kpi!E:E,MATCH(D876,dim_kpi!C:C,0)),"")</f>
        <v>%</v>
      </c>
      <c r="Q876" s="9" t="str">
        <f t="array" ref="Q876">IFERROR(INDEX(dim_kpi!F:F,MATCH(D876,dim_kpi!C:C,0)),"")</f>
        <v>N</v>
      </c>
    </row>
    <row r="877" ht="12.75" customHeight="1">
      <c r="A877" s="20" t="str">
        <f>fact_kpi_weekly!A877</f>
        <v>261004</v>
      </c>
      <c r="B877" s="21">
        <f>fact_kpi_weekly!B877</f>
        <v>46299</v>
      </c>
      <c r="C877" s="9" t="str">
        <f>fact_kpi_weekly!C877</f>
        <v>Care Delivery</v>
      </c>
      <c r="D877" s="9" t="str">
        <f>fact_kpi_weekly!D877</f>
        <v>Bought Time Billed</v>
      </c>
      <c r="E877" s="9" t="str">
        <f>fact_kpi_weekly!E877</f>
        <v>Goal</v>
      </c>
      <c r="F877" s="9" t="str">
        <f>IF(fact_kpi_weekly!F877="","",fact_kpi_weekly!F877)</f>
        <v/>
      </c>
      <c r="G877" s="9" t="str">
        <f>fact_kpi_weekly!G877</f>
        <v>N/A</v>
      </c>
      <c r="H877" s="9" t="str">
        <f>fact_kpi_weekly!H877</f>
        <v>Alex &amp; Kit</v>
      </c>
      <c r="I877" s="9">
        <f>fact_kpi_weekly!I877</f>
        <v>0.73</v>
      </c>
      <c r="J877" s="22">
        <f>fact_kpi_weekly!J877</f>
        <v>0.73</v>
      </c>
      <c r="K877" s="20" t="str">
        <f t="array" ref="K877">IFERROR(INDEX(dim_date!H:H,MATCH(A877,dim_date!A:A,0)),"")</f>
        <v>Oct</v>
      </c>
      <c r="L877" s="20" t="str">
        <f t="array" ref="L877">IFERROR(INDEX(dim_date!G:G,MATCH(A877,dim_date!A:A,0)),"")</f>
        <v>10</v>
      </c>
      <c r="M877" s="9" t="str">
        <f t="array" ref="M877">IFERROR(INDEX(dim_date!I:I,MATCH(A877,dim_date!A:A,0)),"")</f>
        <v>Q4</v>
      </c>
      <c r="N877" s="20" t="str">
        <f t="array" ref="N877">IFERROR(INDEX(dim_date!K:K,MATCH(A877,dim_date!A:A,0)),"")</f>
        <v>41</v>
      </c>
      <c r="O877" s="9" t="str">
        <f t="array" ref="O877">IFERROR(INDEX(dim_date!F:F,MATCH(A877,dim_date!A:A,0)),"")</f>
        <v>10/4-10/10</v>
      </c>
      <c r="P877" s="9" t="str">
        <f t="array" ref="P877">IFERROR(INDEX(dim_kpi!E:E,MATCH(D877,dim_kpi!C:C,0)),"")</f>
        <v>%</v>
      </c>
      <c r="Q877" s="9" t="str">
        <f t="array" ref="Q877">IFERROR(INDEX(dim_kpi!F:F,MATCH(D877,dim_kpi!C:C,0)),"")</f>
        <v>N</v>
      </c>
    </row>
    <row r="878" ht="12.75" customHeight="1">
      <c r="A878" s="20" t="str">
        <f>fact_kpi_weekly!A878</f>
        <v>261011</v>
      </c>
      <c r="B878" s="21">
        <f>fact_kpi_weekly!B878</f>
        <v>46306</v>
      </c>
      <c r="C878" s="9" t="str">
        <f>fact_kpi_weekly!C878</f>
        <v>Care Delivery</v>
      </c>
      <c r="D878" s="9" t="str">
        <f>fact_kpi_weekly!D878</f>
        <v>Bought Time Billed</v>
      </c>
      <c r="E878" s="9" t="str">
        <f>fact_kpi_weekly!E878</f>
        <v>Goal</v>
      </c>
      <c r="F878" s="9" t="str">
        <f>IF(fact_kpi_weekly!F878="","",fact_kpi_weekly!F878)</f>
        <v/>
      </c>
      <c r="G878" s="9" t="str">
        <f>fact_kpi_weekly!G878</f>
        <v>N/A</v>
      </c>
      <c r="H878" s="9" t="str">
        <f>fact_kpi_weekly!H878</f>
        <v>Alex &amp; Kit</v>
      </c>
      <c r="I878" s="9">
        <f>fact_kpi_weekly!I878</f>
        <v>0.73</v>
      </c>
      <c r="J878" s="22">
        <f>fact_kpi_weekly!J878</f>
        <v>0.73</v>
      </c>
      <c r="K878" s="20" t="str">
        <f t="array" ref="K878">IFERROR(INDEX(dim_date!H:H,MATCH(A878,dim_date!A:A,0)),"")</f>
        <v>Oct</v>
      </c>
      <c r="L878" s="20" t="str">
        <f t="array" ref="L878">IFERROR(INDEX(dim_date!G:G,MATCH(A878,dim_date!A:A,0)),"")</f>
        <v>10</v>
      </c>
      <c r="M878" s="9" t="str">
        <f t="array" ref="M878">IFERROR(INDEX(dim_date!I:I,MATCH(A878,dim_date!A:A,0)),"")</f>
        <v>Q4</v>
      </c>
      <c r="N878" s="20" t="str">
        <f t="array" ref="N878">IFERROR(INDEX(dim_date!K:K,MATCH(A878,dim_date!A:A,0)),"")</f>
        <v>42</v>
      </c>
      <c r="O878" s="9" t="str">
        <f t="array" ref="O878">IFERROR(INDEX(dim_date!F:F,MATCH(A878,dim_date!A:A,0)),"")</f>
        <v>10/11-10/17</v>
      </c>
      <c r="P878" s="9" t="str">
        <f t="array" ref="P878">IFERROR(INDEX(dim_kpi!E:E,MATCH(D878,dim_kpi!C:C,0)),"")</f>
        <v>%</v>
      </c>
      <c r="Q878" s="9" t="str">
        <f t="array" ref="Q878">IFERROR(INDEX(dim_kpi!F:F,MATCH(D878,dim_kpi!C:C,0)),"")</f>
        <v>N</v>
      </c>
    </row>
    <row r="879" ht="12.75" customHeight="1">
      <c r="A879" s="20" t="str">
        <f>fact_kpi_weekly!A879</f>
        <v>261018</v>
      </c>
      <c r="B879" s="21">
        <f>fact_kpi_weekly!B879</f>
        <v>46313</v>
      </c>
      <c r="C879" s="9" t="str">
        <f>fact_kpi_weekly!C879</f>
        <v>Care Delivery</v>
      </c>
      <c r="D879" s="9" t="str">
        <f>fact_kpi_weekly!D879</f>
        <v>Bought Time Billed</v>
      </c>
      <c r="E879" s="9" t="str">
        <f>fact_kpi_weekly!E879</f>
        <v>Goal</v>
      </c>
      <c r="F879" s="9" t="str">
        <f>IF(fact_kpi_weekly!F879="","",fact_kpi_weekly!F879)</f>
        <v/>
      </c>
      <c r="G879" s="9" t="str">
        <f>fact_kpi_weekly!G879</f>
        <v>N/A</v>
      </c>
      <c r="H879" s="9" t="str">
        <f>fact_kpi_weekly!H879</f>
        <v>Alex &amp; Kit</v>
      </c>
      <c r="I879" s="9">
        <f>fact_kpi_weekly!I879</f>
        <v>0.73</v>
      </c>
      <c r="J879" s="22">
        <f>fact_kpi_weekly!J879</f>
        <v>0.73</v>
      </c>
      <c r="K879" s="20" t="str">
        <f t="array" ref="K879">IFERROR(INDEX(dim_date!H:H,MATCH(A879,dim_date!A:A,0)),"")</f>
        <v>Oct</v>
      </c>
      <c r="L879" s="20" t="str">
        <f t="array" ref="L879">IFERROR(INDEX(dim_date!G:G,MATCH(A879,dim_date!A:A,0)),"")</f>
        <v>10</v>
      </c>
      <c r="M879" s="9" t="str">
        <f t="array" ref="M879">IFERROR(INDEX(dim_date!I:I,MATCH(A879,dim_date!A:A,0)),"")</f>
        <v>Q4</v>
      </c>
      <c r="N879" s="20" t="str">
        <f t="array" ref="N879">IFERROR(INDEX(dim_date!K:K,MATCH(A879,dim_date!A:A,0)),"")</f>
        <v>43</v>
      </c>
      <c r="O879" s="9" t="str">
        <f t="array" ref="O879">IFERROR(INDEX(dim_date!F:F,MATCH(A879,dim_date!A:A,0)),"")</f>
        <v>10/18-10/24</v>
      </c>
      <c r="P879" s="9" t="str">
        <f t="array" ref="P879">IFERROR(INDEX(dim_kpi!E:E,MATCH(D879,dim_kpi!C:C,0)),"")</f>
        <v>%</v>
      </c>
      <c r="Q879" s="9" t="str">
        <f t="array" ref="Q879">IFERROR(INDEX(dim_kpi!F:F,MATCH(D879,dim_kpi!C:C,0)),"")</f>
        <v>N</v>
      </c>
    </row>
    <row r="880" ht="12.75" customHeight="1">
      <c r="A880" s="20" t="str">
        <f>fact_kpi_weekly!A880</f>
        <v>261025</v>
      </c>
      <c r="B880" s="21">
        <f>fact_kpi_weekly!B880</f>
        <v>46320</v>
      </c>
      <c r="C880" s="9" t="str">
        <f>fact_kpi_weekly!C880</f>
        <v>Care Delivery</v>
      </c>
      <c r="D880" s="9" t="str">
        <f>fact_kpi_weekly!D880</f>
        <v>Bought Time Billed</v>
      </c>
      <c r="E880" s="9" t="str">
        <f>fact_kpi_weekly!E880</f>
        <v>Goal</v>
      </c>
      <c r="F880" s="9" t="str">
        <f>IF(fact_kpi_weekly!F880="","",fact_kpi_weekly!F880)</f>
        <v/>
      </c>
      <c r="G880" s="9" t="str">
        <f>fact_kpi_weekly!G880</f>
        <v>N/A</v>
      </c>
      <c r="H880" s="9" t="str">
        <f>fact_kpi_weekly!H880</f>
        <v>Alex &amp; Kit</v>
      </c>
      <c r="I880" s="9">
        <f>fact_kpi_weekly!I880</f>
        <v>0.73</v>
      </c>
      <c r="J880" s="22">
        <f>fact_kpi_weekly!J880</f>
        <v>0.73</v>
      </c>
      <c r="K880" s="20" t="str">
        <f t="array" ref="K880">IFERROR(INDEX(dim_date!H:H,MATCH(A880,dim_date!A:A,0)),"")</f>
        <v>Oct</v>
      </c>
      <c r="L880" s="20" t="str">
        <f t="array" ref="L880">IFERROR(INDEX(dim_date!G:G,MATCH(A880,dim_date!A:A,0)),"")</f>
        <v>10</v>
      </c>
      <c r="M880" s="9" t="str">
        <f t="array" ref="M880">IFERROR(INDEX(dim_date!I:I,MATCH(A880,dim_date!A:A,0)),"")</f>
        <v>Q4</v>
      </c>
      <c r="N880" s="20" t="str">
        <f t="array" ref="N880">IFERROR(INDEX(dim_date!K:K,MATCH(A880,dim_date!A:A,0)),"")</f>
        <v>44</v>
      </c>
      <c r="O880" s="9" t="str">
        <f t="array" ref="O880">IFERROR(INDEX(dim_date!F:F,MATCH(A880,dim_date!A:A,0)),"")</f>
        <v>10/25-10/31</v>
      </c>
      <c r="P880" s="9" t="str">
        <f t="array" ref="P880">IFERROR(INDEX(dim_kpi!E:E,MATCH(D880,dim_kpi!C:C,0)),"")</f>
        <v>%</v>
      </c>
      <c r="Q880" s="9" t="str">
        <f t="array" ref="Q880">IFERROR(INDEX(dim_kpi!F:F,MATCH(D880,dim_kpi!C:C,0)),"")</f>
        <v>N</v>
      </c>
    </row>
    <row r="881" ht="12.75" customHeight="1">
      <c r="A881" s="20" t="str">
        <f>fact_kpi_weekly!A881</f>
        <v>261101</v>
      </c>
      <c r="B881" s="21">
        <f>fact_kpi_weekly!B881</f>
        <v>46327</v>
      </c>
      <c r="C881" s="9" t="str">
        <f>fact_kpi_weekly!C881</f>
        <v>Care Delivery</v>
      </c>
      <c r="D881" s="9" t="str">
        <f>fact_kpi_weekly!D881</f>
        <v>Bought Time Billed</v>
      </c>
      <c r="E881" s="9" t="str">
        <f>fact_kpi_weekly!E881</f>
        <v>Goal</v>
      </c>
      <c r="F881" s="9" t="str">
        <f>IF(fact_kpi_weekly!F881="","",fact_kpi_weekly!F881)</f>
        <v/>
      </c>
      <c r="G881" s="9" t="str">
        <f>fact_kpi_weekly!G881</f>
        <v>N/A</v>
      </c>
      <c r="H881" s="9" t="str">
        <f>fact_kpi_weekly!H881</f>
        <v>Alex &amp; Kit</v>
      </c>
      <c r="I881" s="9">
        <f>fact_kpi_weekly!I881</f>
        <v>0.85</v>
      </c>
      <c r="J881" s="22">
        <f>fact_kpi_weekly!J881</f>
        <v>0.85</v>
      </c>
      <c r="K881" s="20" t="str">
        <f t="array" ref="K881">IFERROR(INDEX(dim_date!H:H,MATCH(A881,dim_date!A:A,0)),"")</f>
        <v>Nov</v>
      </c>
      <c r="L881" s="20" t="str">
        <f t="array" ref="L881">IFERROR(INDEX(dim_date!G:G,MATCH(A881,dim_date!A:A,0)),"")</f>
        <v>11</v>
      </c>
      <c r="M881" s="9" t="str">
        <f t="array" ref="M881">IFERROR(INDEX(dim_date!I:I,MATCH(A881,dim_date!A:A,0)),"")</f>
        <v>Q4</v>
      </c>
      <c r="N881" s="20" t="str">
        <f t="array" ref="N881">IFERROR(INDEX(dim_date!K:K,MATCH(A881,dim_date!A:A,0)),"")</f>
        <v>45</v>
      </c>
      <c r="O881" s="9" t="str">
        <f t="array" ref="O881">IFERROR(INDEX(dim_date!F:F,MATCH(A881,dim_date!A:A,0)),"")</f>
        <v>11/1-11/7</v>
      </c>
      <c r="P881" s="9" t="str">
        <f t="array" ref="P881">IFERROR(INDEX(dim_kpi!E:E,MATCH(D881,dim_kpi!C:C,0)),"")</f>
        <v>%</v>
      </c>
      <c r="Q881" s="9" t="str">
        <f t="array" ref="Q881">IFERROR(INDEX(dim_kpi!F:F,MATCH(D881,dim_kpi!C:C,0)),"")</f>
        <v>N</v>
      </c>
    </row>
    <row r="882" ht="12.75" customHeight="1">
      <c r="A882" s="20" t="str">
        <f>fact_kpi_weekly!A882</f>
        <v>261108</v>
      </c>
      <c r="B882" s="21">
        <f>fact_kpi_weekly!B882</f>
        <v>46334</v>
      </c>
      <c r="C882" s="9" t="str">
        <f>fact_kpi_weekly!C882</f>
        <v>Care Delivery</v>
      </c>
      <c r="D882" s="9" t="str">
        <f>fact_kpi_weekly!D882</f>
        <v>Bought Time Billed</v>
      </c>
      <c r="E882" s="9" t="str">
        <f>fact_kpi_weekly!E882</f>
        <v>Goal</v>
      </c>
      <c r="F882" s="9" t="str">
        <f>IF(fact_kpi_weekly!F882="","",fact_kpi_weekly!F882)</f>
        <v/>
      </c>
      <c r="G882" s="9" t="str">
        <f>fact_kpi_weekly!G882</f>
        <v>N/A</v>
      </c>
      <c r="H882" s="9" t="str">
        <f>fact_kpi_weekly!H882</f>
        <v>Alex &amp; Kit</v>
      </c>
      <c r="I882" s="9">
        <f>fact_kpi_weekly!I882</f>
        <v>0.85</v>
      </c>
      <c r="J882" s="22">
        <f>fact_kpi_weekly!J882</f>
        <v>0.85</v>
      </c>
      <c r="K882" s="20" t="str">
        <f t="array" ref="K882">IFERROR(INDEX(dim_date!H:H,MATCH(A882,dim_date!A:A,0)),"")</f>
        <v>Nov</v>
      </c>
      <c r="L882" s="20" t="str">
        <f t="array" ref="L882">IFERROR(INDEX(dim_date!G:G,MATCH(A882,dim_date!A:A,0)),"")</f>
        <v>11</v>
      </c>
      <c r="M882" s="9" t="str">
        <f t="array" ref="M882">IFERROR(INDEX(dim_date!I:I,MATCH(A882,dim_date!A:A,0)),"")</f>
        <v>Q4</v>
      </c>
      <c r="N882" s="20" t="str">
        <f t="array" ref="N882">IFERROR(INDEX(dim_date!K:K,MATCH(A882,dim_date!A:A,0)),"")</f>
        <v>46</v>
      </c>
      <c r="O882" s="9" t="str">
        <f t="array" ref="O882">IFERROR(INDEX(dim_date!F:F,MATCH(A882,dim_date!A:A,0)),"")</f>
        <v>11/8-11/14</v>
      </c>
      <c r="P882" s="9" t="str">
        <f t="array" ref="P882">IFERROR(INDEX(dim_kpi!E:E,MATCH(D882,dim_kpi!C:C,0)),"")</f>
        <v>%</v>
      </c>
      <c r="Q882" s="9" t="str">
        <f t="array" ref="Q882">IFERROR(INDEX(dim_kpi!F:F,MATCH(D882,dim_kpi!C:C,0)),"")</f>
        <v>N</v>
      </c>
    </row>
    <row r="883" ht="12.75" customHeight="1">
      <c r="A883" s="20" t="str">
        <f>fact_kpi_weekly!A883</f>
        <v>261115</v>
      </c>
      <c r="B883" s="21">
        <f>fact_kpi_weekly!B883</f>
        <v>46341</v>
      </c>
      <c r="C883" s="9" t="str">
        <f>fact_kpi_weekly!C883</f>
        <v>Care Delivery</v>
      </c>
      <c r="D883" s="9" t="str">
        <f>fact_kpi_weekly!D883</f>
        <v>Bought Time Billed</v>
      </c>
      <c r="E883" s="9" t="str">
        <f>fact_kpi_weekly!E883</f>
        <v>Goal</v>
      </c>
      <c r="F883" s="9" t="str">
        <f>IF(fact_kpi_weekly!F883="","",fact_kpi_weekly!F883)</f>
        <v/>
      </c>
      <c r="G883" s="9" t="str">
        <f>fact_kpi_weekly!G883</f>
        <v>N/A</v>
      </c>
      <c r="H883" s="9" t="str">
        <f>fact_kpi_weekly!H883</f>
        <v>Alex &amp; Kit</v>
      </c>
      <c r="I883" s="9">
        <f>fact_kpi_weekly!I883</f>
        <v>0.85</v>
      </c>
      <c r="J883" s="22">
        <f>fact_kpi_weekly!J883</f>
        <v>0.85</v>
      </c>
      <c r="K883" s="20" t="str">
        <f t="array" ref="K883">IFERROR(INDEX(dim_date!H:H,MATCH(A883,dim_date!A:A,0)),"")</f>
        <v>Nov</v>
      </c>
      <c r="L883" s="20" t="str">
        <f t="array" ref="L883">IFERROR(INDEX(dim_date!G:G,MATCH(A883,dim_date!A:A,0)),"")</f>
        <v>11</v>
      </c>
      <c r="M883" s="9" t="str">
        <f t="array" ref="M883">IFERROR(INDEX(dim_date!I:I,MATCH(A883,dim_date!A:A,0)),"")</f>
        <v>Q4</v>
      </c>
      <c r="N883" s="20" t="str">
        <f t="array" ref="N883">IFERROR(INDEX(dim_date!K:K,MATCH(A883,dim_date!A:A,0)),"")</f>
        <v>47</v>
      </c>
      <c r="O883" s="9" t="str">
        <f t="array" ref="O883">IFERROR(INDEX(dim_date!F:F,MATCH(A883,dim_date!A:A,0)),"")</f>
        <v>11/15-11/21</v>
      </c>
      <c r="P883" s="9" t="str">
        <f t="array" ref="P883">IFERROR(INDEX(dim_kpi!E:E,MATCH(D883,dim_kpi!C:C,0)),"")</f>
        <v>%</v>
      </c>
      <c r="Q883" s="9" t="str">
        <f t="array" ref="Q883">IFERROR(INDEX(dim_kpi!F:F,MATCH(D883,dim_kpi!C:C,0)),"")</f>
        <v>N</v>
      </c>
    </row>
    <row r="884" ht="12.75" customHeight="1">
      <c r="A884" s="20" t="str">
        <f>fact_kpi_weekly!A884</f>
        <v>261122</v>
      </c>
      <c r="B884" s="21">
        <f>fact_kpi_weekly!B884</f>
        <v>46348</v>
      </c>
      <c r="C884" s="9" t="str">
        <f>fact_kpi_weekly!C884</f>
        <v>Care Delivery</v>
      </c>
      <c r="D884" s="9" t="str">
        <f>fact_kpi_weekly!D884</f>
        <v>Bought Time Billed</v>
      </c>
      <c r="E884" s="9" t="str">
        <f>fact_kpi_weekly!E884</f>
        <v>Goal</v>
      </c>
      <c r="F884" s="9" t="str">
        <f>IF(fact_kpi_weekly!F884="","",fact_kpi_weekly!F884)</f>
        <v/>
      </c>
      <c r="G884" s="9" t="str">
        <f>fact_kpi_weekly!G884</f>
        <v>N/A</v>
      </c>
      <c r="H884" s="9" t="str">
        <f>fact_kpi_weekly!H884</f>
        <v>Alex &amp; Kit</v>
      </c>
      <c r="I884" s="9">
        <f>fact_kpi_weekly!I884</f>
        <v>0.85</v>
      </c>
      <c r="J884" s="22">
        <f>fact_kpi_weekly!J884</f>
        <v>0.85</v>
      </c>
      <c r="K884" s="20" t="str">
        <f t="array" ref="K884">IFERROR(INDEX(dim_date!H:H,MATCH(A884,dim_date!A:A,0)),"")</f>
        <v>Nov</v>
      </c>
      <c r="L884" s="20" t="str">
        <f t="array" ref="L884">IFERROR(INDEX(dim_date!G:G,MATCH(A884,dim_date!A:A,0)),"")</f>
        <v>11</v>
      </c>
      <c r="M884" s="9" t="str">
        <f t="array" ref="M884">IFERROR(INDEX(dim_date!I:I,MATCH(A884,dim_date!A:A,0)),"")</f>
        <v>Q4</v>
      </c>
      <c r="N884" s="20" t="str">
        <f t="array" ref="N884">IFERROR(INDEX(dim_date!K:K,MATCH(A884,dim_date!A:A,0)),"")</f>
        <v>48</v>
      </c>
      <c r="O884" s="9" t="str">
        <f t="array" ref="O884">IFERROR(INDEX(dim_date!F:F,MATCH(A884,dim_date!A:A,0)),"")</f>
        <v>11/22-11/28</v>
      </c>
      <c r="P884" s="9" t="str">
        <f t="array" ref="P884">IFERROR(INDEX(dim_kpi!E:E,MATCH(D884,dim_kpi!C:C,0)),"")</f>
        <v>%</v>
      </c>
      <c r="Q884" s="9" t="str">
        <f t="array" ref="Q884">IFERROR(INDEX(dim_kpi!F:F,MATCH(D884,dim_kpi!C:C,0)),"")</f>
        <v>N</v>
      </c>
    </row>
    <row r="885" ht="12.75" customHeight="1">
      <c r="A885" s="20" t="str">
        <f>fact_kpi_weekly!A885</f>
        <v>261129</v>
      </c>
      <c r="B885" s="21">
        <f>fact_kpi_weekly!B885</f>
        <v>46355</v>
      </c>
      <c r="C885" s="9" t="str">
        <f>fact_kpi_weekly!C885</f>
        <v>Care Delivery</v>
      </c>
      <c r="D885" s="9" t="str">
        <f>fact_kpi_weekly!D885</f>
        <v>Bought Time Billed</v>
      </c>
      <c r="E885" s="9" t="str">
        <f>fact_kpi_weekly!E885</f>
        <v>Goal</v>
      </c>
      <c r="F885" s="9" t="str">
        <f>IF(fact_kpi_weekly!F885="","",fact_kpi_weekly!F885)</f>
        <v/>
      </c>
      <c r="G885" s="9" t="str">
        <f>fact_kpi_weekly!G885</f>
        <v>N/A</v>
      </c>
      <c r="H885" s="9" t="str">
        <f>fact_kpi_weekly!H885</f>
        <v>Alex &amp; Kit</v>
      </c>
      <c r="I885" s="9">
        <f>fact_kpi_weekly!I885</f>
        <v>0.85</v>
      </c>
      <c r="J885" s="22">
        <f>fact_kpi_weekly!J885</f>
        <v>0.85</v>
      </c>
      <c r="K885" s="20" t="str">
        <f t="array" ref="K885">IFERROR(INDEX(dim_date!H:H,MATCH(A885,dim_date!A:A,0)),"")</f>
        <v>Nov</v>
      </c>
      <c r="L885" s="20" t="str">
        <f t="array" ref="L885">IFERROR(INDEX(dim_date!G:G,MATCH(A885,dim_date!A:A,0)),"")</f>
        <v>11</v>
      </c>
      <c r="M885" s="9" t="str">
        <f t="array" ref="M885">IFERROR(INDEX(dim_date!I:I,MATCH(A885,dim_date!A:A,0)),"")</f>
        <v>Q4</v>
      </c>
      <c r="N885" s="20" t="str">
        <f t="array" ref="N885">IFERROR(INDEX(dim_date!K:K,MATCH(A885,dim_date!A:A,0)),"")</f>
        <v>49</v>
      </c>
      <c r="O885" s="9" t="str">
        <f t="array" ref="O885">IFERROR(INDEX(dim_date!F:F,MATCH(A885,dim_date!A:A,0)),"")</f>
        <v>11/29-12/5</v>
      </c>
      <c r="P885" s="9" t="str">
        <f t="array" ref="P885">IFERROR(INDEX(dim_kpi!E:E,MATCH(D885,dim_kpi!C:C,0)),"")</f>
        <v>%</v>
      </c>
      <c r="Q885" s="9" t="str">
        <f t="array" ref="Q885">IFERROR(INDEX(dim_kpi!F:F,MATCH(D885,dim_kpi!C:C,0)),"")</f>
        <v>N</v>
      </c>
    </row>
    <row r="886" ht="12.75" customHeight="1">
      <c r="A886" s="20" t="str">
        <f>fact_kpi_weekly!A886</f>
        <v>261206</v>
      </c>
      <c r="B886" s="21">
        <f>fact_kpi_weekly!B886</f>
        <v>46362</v>
      </c>
      <c r="C886" s="9" t="str">
        <f>fact_kpi_weekly!C886</f>
        <v>Care Delivery</v>
      </c>
      <c r="D886" s="9" t="str">
        <f>fact_kpi_weekly!D886</f>
        <v>Bought Time Billed</v>
      </c>
      <c r="E886" s="9" t="str">
        <f>fact_kpi_weekly!E886</f>
        <v>Goal</v>
      </c>
      <c r="F886" s="9" t="str">
        <f>IF(fact_kpi_weekly!F886="","",fact_kpi_weekly!F886)</f>
        <v/>
      </c>
      <c r="G886" s="9" t="str">
        <f>fact_kpi_weekly!G886</f>
        <v>N/A</v>
      </c>
      <c r="H886" s="9" t="str">
        <f>fact_kpi_weekly!H886</f>
        <v>Alex &amp; Kit</v>
      </c>
      <c r="I886" s="9">
        <f>fact_kpi_weekly!I886</f>
        <v>0.7</v>
      </c>
      <c r="J886" s="22">
        <f>fact_kpi_weekly!J886</f>
        <v>0.7</v>
      </c>
      <c r="K886" s="20" t="str">
        <f t="array" ref="K886">IFERROR(INDEX(dim_date!H:H,MATCH(A886,dim_date!A:A,0)),"")</f>
        <v>Dec</v>
      </c>
      <c r="L886" s="20" t="str">
        <f t="array" ref="L886">IFERROR(INDEX(dim_date!G:G,MATCH(A886,dim_date!A:A,0)),"")</f>
        <v>12</v>
      </c>
      <c r="M886" s="9" t="str">
        <f t="array" ref="M886">IFERROR(INDEX(dim_date!I:I,MATCH(A886,dim_date!A:A,0)),"")</f>
        <v>Q4</v>
      </c>
      <c r="N886" s="20" t="str">
        <f t="array" ref="N886">IFERROR(INDEX(dim_date!K:K,MATCH(A886,dim_date!A:A,0)),"")</f>
        <v>50</v>
      </c>
      <c r="O886" s="9" t="str">
        <f t="array" ref="O886">IFERROR(INDEX(dim_date!F:F,MATCH(A886,dim_date!A:A,0)),"")</f>
        <v>12/6-12/12</v>
      </c>
      <c r="P886" s="9" t="str">
        <f t="array" ref="P886">IFERROR(INDEX(dim_kpi!E:E,MATCH(D886,dim_kpi!C:C,0)),"")</f>
        <v>%</v>
      </c>
      <c r="Q886" s="9" t="str">
        <f t="array" ref="Q886">IFERROR(INDEX(dim_kpi!F:F,MATCH(D886,dim_kpi!C:C,0)),"")</f>
        <v>N</v>
      </c>
    </row>
    <row r="887" ht="12.75" customHeight="1">
      <c r="A887" s="20" t="str">
        <f>fact_kpi_weekly!A887</f>
        <v>261213</v>
      </c>
      <c r="B887" s="21">
        <f>fact_kpi_weekly!B887</f>
        <v>46369</v>
      </c>
      <c r="C887" s="9" t="str">
        <f>fact_kpi_weekly!C887</f>
        <v>Care Delivery</v>
      </c>
      <c r="D887" s="9" t="str">
        <f>fact_kpi_weekly!D887</f>
        <v>Bought Time Billed</v>
      </c>
      <c r="E887" s="9" t="str">
        <f>fact_kpi_weekly!E887</f>
        <v>Goal</v>
      </c>
      <c r="F887" s="9" t="str">
        <f>IF(fact_kpi_weekly!F887="","",fact_kpi_weekly!F887)</f>
        <v/>
      </c>
      <c r="G887" s="9" t="str">
        <f>fact_kpi_weekly!G887</f>
        <v>N/A</v>
      </c>
      <c r="H887" s="9" t="str">
        <f>fact_kpi_weekly!H887</f>
        <v>Alex &amp; Kit</v>
      </c>
      <c r="I887" s="9">
        <f>fact_kpi_weekly!I887</f>
        <v>0.7</v>
      </c>
      <c r="J887" s="22">
        <f>fact_kpi_weekly!J887</f>
        <v>0.7</v>
      </c>
      <c r="K887" s="20" t="str">
        <f t="array" ref="K887">IFERROR(INDEX(dim_date!H:H,MATCH(A887,dim_date!A:A,0)),"")</f>
        <v>Dec</v>
      </c>
      <c r="L887" s="20" t="str">
        <f t="array" ref="L887">IFERROR(INDEX(dim_date!G:G,MATCH(A887,dim_date!A:A,0)),"")</f>
        <v>12</v>
      </c>
      <c r="M887" s="9" t="str">
        <f t="array" ref="M887">IFERROR(INDEX(dim_date!I:I,MATCH(A887,dim_date!A:A,0)),"")</f>
        <v>Q4</v>
      </c>
      <c r="N887" s="20" t="str">
        <f t="array" ref="N887">IFERROR(INDEX(dim_date!K:K,MATCH(A887,dim_date!A:A,0)),"")</f>
        <v>51</v>
      </c>
      <c r="O887" s="9" t="str">
        <f t="array" ref="O887">IFERROR(INDEX(dim_date!F:F,MATCH(A887,dim_date!A:A,0)),"")</f>
        <v>12/13-12/19</v>
      </c>
      <c r="P887" s="9" t="str">
        <f t="array" ref="P887">IFERROR(INDEX(dim_kpi!E:E,MATCH(D887,dim_kpi!C:C,0)),"")</f>
        <v>%</v>
      </c>
      <c r="Q887" s="9" t="str">
        <f t="array" ref="Q887">IFERROR(INDEX(dim_kpi!F:F,MATCH(D887,dim_kpi!C:C,0)),"")</f>
        <v>N</v>
      </c>
    </row>
    <row r="888" ht="12.75" customHeight="1">
      <c r="A888" s="20" t="str">
        <f>fact_kpi_weekly!A888</f>
        <v>261220</v>
      </c>
      <c r="B888" s="21">
        <f>fact_kpi_weekly!B888</f>
        <v>46376</v>
      </c>
      <c r="C888" s="9" t="str">
        <f>fact_kpi_weekly!C888</f>
        <v>Care Delivery</v>
      </c>
      <c r="D888" s="9" t="str">
        <f>fact_kpi_weekly!D888</f>
        <v>Bought Time Billed</v>
      </c>
      <c r="E888" s="9" t="str">
        <f>fact_kpi_weekly!E888</f>
        <v>Goal</v>
      </c>
      <c r="F888" s="9" t="str">
        <f>IF(fact_kpi_weekly!F888="","",fact_kpi_weekly!F888)</f>
        <v/>
      </c>
      <c r="G888" s="9" t="str">
        <f>fact_kpi_weekly!G888</f>
        <v>N/A</v>
      </c>
      <c r="H888" s="9" t="str">
        <f>fact_kpi_weekly!H888</f>
        <v>Alex &amp; Kit</v>
      </c>
      <c r="I888" s="9">
        <f>fact_kpi_weekly!I888</f>
        <v>0.7</v>
      </c>
      <c r="J888" s="22">
        <f>fact_kpi_weekly!J888</f>
        <v>0.7</v>
      </c>
      <c r="K888" s="20" t="str">
        <f t="array" ref="K888">IFERROR(INDEX(dim_date!H:H,MATCH(A888,dim_date!A:A,0)),"")</f>
        <v>Dec</v>
      </c>
      <c r="L888" s="20" t="str">
        <f t="array" ref="L888">IFERROR(INDEX(dim_date!G:G,MATCH(A888,dim_date!A:A,0)),"")</f>
        <v>12</v>
      </c>
      <c r="M888" s="9" t="str">
        <f t="array" ref="M888">IFERROR(INDEX(dim_date!I:I,MATCH(A888,dim_date!A:A,0)),"")</f>
        <v>Q4</v>
      </c>
      <c r="N888" s="20" t="str">
        <f t="array" ref="N888">IFERROR(INDEX(dim_date!K:K,MATCH(A888,dim_date!A:A,0)),"")</f>
        <v>52</v>
      </c>
      <c r="O888" s="9" t="str">
        <f t="array" ref="O888">IFERROR(INDEX(dim_date!F:F,MATCH(A888,dim_date!A:A,0)),"")</f>
        <v>12/20-12/26</v>
      </c>
      <c r="P888" s="9" t="str">
        <f t="array" ref="P888">IFERROR(INDEX(dim_kpi!E:E,MATCH(D888,dim_kpi!C:C,0)),"")</f>
        <v>%</v>
      </c>
      <c r="Q888" s="9" t="str">
        <f t="array" ref="Q888">IFERROR(INDEX(dim_kpi!F:F,MATCH(D888,dim_kpi!C:C,0)),"")</f>
        <v>N</v>
      </c>
    </row>
    <row r="889" ht="12.75" customHeight="1">
      <c r="A889" s="20" t="str">
        <f>fact_kpi_weekly!A889</f>
        <v>261227</v>
      </c>
      <c r="B889" s="21">
        <f>fact_kpi_weekly!B889</f>
        <v>46383</v>
      </c>
      <c r="C889" s="9" t="str">
        <f>fact_kpi_weekly!C889</f>
        <v>Care Delivery</v>
      </c>
      <c r="D889" s="9" t="str">
        <f>fact_kpi_weekly!D889</f>
        <v>Bought Time Billed</v>
      </c>
      <c r="E889" s="9" t="str">
        <f>fact_kpi_weekly!E889</f>
        <v>Goal</v>
      </c>
      <c r="F889" s="9" t="str">
        <f>IF(fact_kpi_weekly!F889="","",fact_kpi_weekly!F889)</f>
        <v/>
      </c>
      <c r="G889" s="9" t="str">
        <f>fact_kpi_weekly!G889</f>
        <v>N/A</v>
      </c>
      <c r="H889" s="9" t="str">
        <f>fact_kpi_weekly!H889</f>
        <v>Alex &amp; Kit</v>
      </c>
      <c r="I889" s="9">
        <f>fact_kpi_weekly!I889</f>
        <v>0.7</v>
      </c>
      <c r="J889" s="22">
        <f>fact_kpi_weekly!J889</f>
        <v>0.7</v>
      </c>
      <c r="K889" s="20" t="str">
        <f t="array" ref="K889">IFERROR(INDEX(dim_date!H:H,MATCH(A889,dim_date!A:A,0)),"")</f>
        <v>Dec</v>
      </c>
      <c r="L889" s="20" t="str">
        <f t="array" ref="L889">IFERROR(INDEX(dim_date!G:G,MATCH(A889,dim_date!A:A,0)),"")</f>
        <v>12</v>
      </c>
      <c r="M889" s="9" t="str">
        <f t="array" ref="M889">IFERROR(INDEX(dim_date!I:I,MATCH(A889,dim_date!A:A,0)),"")</f>
        <v>Q4</v>
      </c>
      <c r="N889" s="20" t="str">
        <f t="array" ref="N889">IFERROR(INDEX(dim_date!K:K,MATCH(A889,dim_date!A:A,0)),"")</f>
        <v>53</v>
      </c>
      <c r="O889" s="9" t="str">
        <f t="array" ref="O889">IFERROR(INDEX(dim_date!F:F,MATCH(A889,dim_date!A:A,0)),"")</f>
        <v>12/27-1/2</v>
      </c>
      <c r="P889" s="9" t="str">
        <f t="array" ref="P889">IFERROR(INDEX(dim_kpi!E:E,MATCH(D889,dim_kpi!C:C,0)),"")</f>
        <v>%</v>
      </c>
      <c r="Q889" s="9" t="str">
        <f t="array" ref="Q889">IFERROR(INDEX(dim_kpi!F:F,MATCH(D889,dim_kpi!C:C,0)),"")</f>
        <v>N</v>
      </c>
    </row>
    <row r="890" ht="12.75" customHeight="1">
      <c r="A890" s="20" t="str">
        <f>fact_kpi_weekly!A890</f>
        <v>260315</v>
      </c>
      <c r="B890" s="21">
        <f>fact_kpi_weekly!B890</f>
        <v>46096</v>
      </c>
      <c r="C890" s="9" t="str">
        <f>fact_kpi_weekly!C890</f>
        <v>Care Delivery</v>
      </c>
      <c r="D890" s="9" t="str">
        <f>fact_kpi_weekly!D890</f>
        <v>Care Delivery Time per Care Manager</v>
      </c>
      <c r="E890" s="9" t="str">
        <f>fact_kpi_weekly!E890</f>
        <v>Goal</v>
      </c>
      <c r="F890" s="9" t="str">
        <f>IF(fact_kpi_weekly!F890="","",fact_kpi_weekly!F890)</f>
        <v/>
      </c>
      <c r="G890" s="9" t="str">
        <f>fact_kpi_weekly!G890</f>
        <v>N/A</v>
      </c>
      <c r="H890" s="9" t="str">
        <f>fact_kpi_weekly!H890</f>
        <v>Alex &amp; Kit</v>
      </c>
      <c r="I890" s="9" t="str">
        <f>fact_kpi_weekly!I890</f>
        <v>March 70%</v>
      </c>
      <c r="J890" s="22" t="str">
        <f>fact_kpi_weekly!J890</f>
        <v/>
      </c>
      <c r="K890" s="20" t="str">
        <f t="array" ref="K890">IFERROR(INDEX(dim_date!H:H,MATCH(A890,dim_date!A:A,0)),"")</f>
        <v>Mar</v>
      </c>
      <c r="L890" s="20" t="str">
        <f t="array" ref="L890">IFERROR(INDEX(dim_date!G:G,MATCH(A890,dim_date!A:A,0)),"")</f>
        <v>03</v>
      </c>
      <c r="M890" s="9" t="str">
        <f t="array" ref="M890">IFERROR(INDEX(dim_date!I:I,MATCH(A890,dim_date!A:A,0)),"")</f>
        <v>Q1</v>
      </c>
      <c r="N890" s="20" t="str">
        <f t="array" ref="N890">IFERROR(INDEX(dim_date!K:K,MATCH(A890,dim_date!A:A,0)),"")</f>
        <v>12</v>
      </c>
      <c r="O890" s="9" t="str">
        <f t="array" ref="O890">IFERROR(INDEX(dim_date!F:F,MATCH(A890,dim_date!A:A,0)),"")</f>
        <v>3/15-3/21</v>
      </c>
      <c r="P890" s="9" t="str">
        <f t="array" ref="P890">IFERROR(INDEX(dim_kpi!E:E,MATCH(D890,dim_kpi!C:C,0)),"")</f>
        <v/>
      </c>
      <c r="Q890" s="9" t="str">
        <f t="array" ref="Q890">IFERROR(INDEX(dim_kpi!F:F,MATCH(D890,dim_kpi!C:C,0)),"")</f>
        <v/>
      </c>
    </row>
    <row r="891" ht="12.75" customHeight="1">
      <c r="A891" s="20" t="str">
        <f>fact_kpi_weekly!A891</f>
        <v>260322</v>
      </c>
      <c r="B891" s="21">
        <f>fact_kpi_weekly!B891</f>
        <v>46103</v>
      </c>
      <c r="C891" s="9" t="str">
        <f>fact_kpi_weekly!C891</f>
        <v>Care Delivery</v>
      </c>
      <c r="D891" s="9" t="str">
        <f>fact_kpi_weekly!D891</f>
        <v>Care Delivery Time per Care Manager</v>
      </c>
      <c r="E891" s="9" t="str">
        <f>fact_kpi_weekly!E891</f>
        <v>Goal</v>
      </c>
      <c r="F891" s="9" t="str">
        <f>IF(fact_kpi_weekly!F891="","",fact_kpi_weekly!F891)</f>
        <v/>
      </c>
      <c r="G891" s="9" t="str">
        <f>fact_kpi_weekly!G891</f>
        <v>N/A</v>
      </c>
      <c r="H891" s="9" t="str">
        <f>fact_kpi_weekly!H891</f>
        <v>Alex &amp; Kit</v>
      </c>
      <c r="I891" s="9">
        <f>fact_kpi_weekly!I891</f>
        <v>0.7</v>
      </c>
      <c r="J891" s="22">
        <f>fact_kpi_weekly!J891</f>
        <v>0.7</v>
      </c>
      <c r="K891" s="20" t="str">
        <f t="array" ref="K891">IFERROR(INDEX(dim_date!H:H,MATCH(A891,dim_date!A:A,0)),"")</f>
        <v>Mar</v>
      </c>
      <c r="L891" s="20" t="str">
        <f t="array" ref="L891">IFERROR(INDEX(dim_date!G:G,MATCH(A891,dim_date!A:A,0)),"")</f>
        <v>03</v>
      </c>
      <c r="M891" s="9" t="str">
        <f t="array" ref="M891">IFERROR(INDEX(dim_date!I:I,MATCH(A891,dim_date!A:A,0)),"")</f>
        <v>Q1</v>
      </c>
      <c r="N891" s="20" t="str">
        <f t="array" ref="N891">IFERROR(INDEX(dim_date!K:K,MATCH(A891,dim_date!A:A,0)),"")</f>
        <v>13</v>
      </c>
      <c r="O891" s="9" t="str">
        <f t="array" ref="O891">IFERROR(INDEX(dim_date!F:F,MATCH(A891,dim_date!A:A,0)),"")</f>
        <v>3/22-3/28</v>
      </c>
      <c r="P891" s="9" t="str">
        <f t="array" ref="P891">IFERROR(INDEX(dim_kpi!E:E,MATCH(D891,dim_kpi!C:C,0)),"")</f>
        <v/>
      </c>
      <c r="Q891" s="9" t="str">
        <f t="array" ref="Q891">IFERROR(INDEX(dim_kpi!F:F,MATCH(D891,dim_kpi!C:C,0)),"")</f>
        <v/>
      </c>
    </row>
    <row r="892" ht="12.75" customHeight="1">
      <c r="A892" s="20" t="str">
        <f>fact_kpi_weekly!A892</f>
        <v>260329</v>
      </c>
      <c r="B892" s="21">
        <f>fact_kpi_weekly!B892</f>
        <v>46110</v>
      </c>
      <c r="C892" s="9" t="str">
        <f>fact_kpi_weekly!C892</f>
        <v>Care Delivery</v>
      </c>
      <c r="D892" s="9" t="str">
        <f>fact_kpi_weekly!D892</f>
        <v>Care Delivery Time per Care Manager</v>
      </c>
      <c r="E892" s="9" t="str">
        <f>fact_kpi_weekly!E892</f>
        <v>Goal</v>
      </c>
      <c r="F892" s="9" t="str">
        <f>IF(fact_kpi_weekly!F892="","",fact_kpi_weekly!F892)</f>
        <v/>
      </c>
      <c r="G892" s="9" t="str">
        <f>fact_kpi_weekly!G892</f>
        <v>N/A</v>
      </c>
      <c r="H892" s="9" t="str">
        <f>fact_kpi_weekly!H892</f>
        <v>Alex &amp; Kit</v>
      </c>
      <c r="I892" s="9">
        <f>fact_kpi_weekly!I892</f>
        <v>0.8</v>
      </c>
      <c r="J892" s="22">
        <f>fact_kpi_weekly!J892</f>
        <v>0.8</v>
      </c>
      <c r="K892" s="20" t="str">
        <f t="array" ref="K892">IFERROR(INDEX(dim_date!H:H,MATCH(A892,dim_date!A:A,0)),"")</f>
        <v>Mar</v>
      </c>
      <c r="L892" s="20" t="str">
        <f t="array" ref="L892">IFERROR(INDEX(dim_date!G:G,MATCH(A892,dim_date!A:A,0)),"")</f>
        <v>03</v>
      </c>
      <c r="M892" s="9" t="str">
        <f t="array" ref="M892">IFERROR(INDEX(dim_date!I:I,MATCH(A892,dim_date!A:A,0)),"")</f>
        <v>Q1</v>
      </c>
      <c r="N892" s="20" t="str">
        <f t="array" ref="N892">IFERROR(INDEX(dim_date!K:K,MATCH(A892,dim_date!A:A,0)),"")</f>
        <v>14</v>
      </c>
      <c r="O892" s="9" t="str">
        <f t="array" ref="O892">IFERROR(INDEX(dim_date!F:F,MATCH(A892,dim_date!A:A,0)),"")</f>
        <v>3/29-4/4</v>
      </c>
      <c r="P892" s="9" t="str">
        <f t="array" ref="P892">IFERROR(INDEX(dim_kpi!E:E,MATCH(D892,dim_kpi!C:C,0)),"")</f>
        <v/>
      </c>
      <c r="Q892" s="9" t="str">
        <f t="array" ref="Q892">IFERROR(INDEX(dim_kpi!F:F,MATCH(D892,dim_kpi!C:C,0)),"")</f>
        <v/>
      </c>
    </row>
    <row r="893" ht="12.75" customHeight="1">
      <c r="A893" s="20" t="str">
        <f>fact_kpi_weekly!A893</f>
        <v>260405</v>
      </c>
      <c r="B893" s="21">
        <f>fact_kpi_weekly!B893</f>
        <v>46117</v>
      </c>
      <c r="C893" s="9" t="str">
        <f>fact_kpi_weekly!C893</f>
        <v>Care Delivery</v>
      </c>
      <c r="D893" s="9" t="str">
        <f>fact_kpi_weekly!D893</f>
        <v>Care Delivery Time per Care Manager</v>
      </c>
      <c r="E893" s="9" t="str">
        <f>fact_kpi_weekly!E893</f>
        <v>Goal</v>
      </c>
      <c r="F893" s="9" t="str">
        <f>IF(fact_kpi_weekly!F893="","",fact_kpi_weekly!F893)</f>
        <v/>
      </c>
      <c r="G893" s="9" t="str">
        <f>fact_kpi_weekly!G893</f>
        <v>N/A</v>
      </c>
      <c r="H893" s="9" t="str">
        <f>fact_kpi_weekly!H893</f>
        <v>Alex &amp; Kit</v>
      </c>
      <c r="I893" s="9">
        <f>fact_kpi_weekly!I893</f>
        <v>0.8</v>
      </c>
      <c r="J893" s="22">
        <f>fact_kpi_weekly!J893</f>
        <v>0.8</v>
      </c>
      <c r="K893" s="20" t="str">
        <f t="array" ref="K893">IFERROR(INDEX(dim_date!H:H,MATCH(A893,dim_date!A:A,0)),"")</f>
        <v>Apr</v>
      </c>
      <c r="L893" s="20" t="str">
        <f t="array" ref="L893">IFERROR(INDEX(dim_date!G:G,MATCH(A893,dim_date!A:A,0)),"")</f>
        <v>04</v>
      </c>
      <c r="M893" s="9" t="str">
        <f t="array" ref="M893">IFERROR(INDEX(dim_date!I:I,MATCH(A893,dim_date!A:A,0)),"")</f>
        <v>Q2</v>
      </c>
      <c r="N893" s="20" t="str">
        <f t="array" ref="N893">IFERROR(INDEX(dim_date!K:K,MATCH(A893,dim_date!A:A,0)),"")</f>
        <v>15</v>
      </c>
      <c r="O893" s="9" t="str">
        <f t="array" ref="O893">IFERROR(INDEX(dim_date!F:F,MATCH(A893,dim_date!A:A,0)),"")</f>
        <v>4/5-4/11</v>
      </c>
      <c r="P893" s="9" t="str">
        <f t="array" ref="P893">IFERROR(INDEX(dim_kpi!E:E,MATCH(D893,dim_kpi!C:C,0)),"")</f>
        <v/>
      </c>
      <c r="Q893" s="9" t="str">
        <f t="array" ref="Q893">IFERROR(INDEX(dim_kpi!F:F,MATCH(D893,dim_kpi!C:C,0)),"")</f>
        <v/>
      </c>
    </row>
    <row r="894" ht="12.75" customHeight="1">
      <c r="A894" s="20" t="str">
        <f>fact_kpi_weekly!A894</f>
        <v>260412</v>
      </c>
      <c r="B894" s="21">
        <f>fact_kpi_weekly!B894</f>
        <v>46124</v>
      </c>
      <c r="C894" s="9" t="str">
        <f>fact_kpi_weekly!C894</f>
        <v>Care Delivery</v>
      </c>
      <c r="D894" s="9" t="str">
        <f>fact_kpi_weekly!D894</f>
        <v>Care Delivery Time per Care Manager</v>
      </c>
      <c r="E894" s="9" t="str">
        <f>fact_kpi_weekly!E894</f>
        <v>Goal</v>
      </c>
      <c r="F894" s="9" t="str">
        <f>IF(fact_kpi_weekly!F894="","",fact_kpi_weekly!F894)</f>
        <v/>
      </c>
      <c r="G894" s="9" t="str">
        <f>fact_kpi_weekly!G894</f>
        <v>N/A</v>
      </c>
      <c r="H894" s="9" t="str">
        <f>fact_kpi_weekly!H894</f>
        <v>Alex &amp; Kit</v>
      </c>
      <c r="I894" s="9">
        <f>fact_kpi_weekly!I894</f>
        <v>0.8</v>
      </c>
      <c r="J894" s="22">
        <f>fact_kpi_weekly!J894</f>
        <v>0.8</v>
      </c>
      <c r="K894" s="20" t="str">
        <f t="array" ref="K894">IFERROR(INDEX(dim_date!H:H,MATCH(A894,dim_date!A:A,0)),"")</f>
        <v>Apr</v>
      </c>
      <c r="L894" s="20" t="str">
        <f t="array" ref="L894">IFERROR(INDEX(dim_date!G:G,MATCH(A894,dim_date!A:A,0)),"")</f>
        <v>04</v>
      </c>
      <c r="M894" s="9" t="str">
        <f t="array" ref="M894">IFERROR(INDEX(dim_date!I:I,MATCH(A894,dim_date!A:A,0)),"")</f>
        <v>Q2</v>
      </c>
      <c r="N894" s="20" t="str">
        <f t="array" ref="N894">IFERROR(INDEX(dim_date!K:K,MATCH(A894,dim_date!A:A,0)),"")</f>
        <v>16</v>
      </c>
      <c r="O894" s="9" t="str">
        <f t="array" ref="O894">IFERROR(INDEX(dim_date!F:F,MATCH(A894,dim_date!A:A,0)),"")</f>
        <v>4/12-4/18</v>
      </c>
      <c r="P894" s="9" t="str">
        <f t="array" ref="P894">IFERROR(INDEX(dim_kpi!E:E,MATCH(D894,dim_kpi!C:C,0)),"")</f>
        <v/>
      </c>
      <c r="Q894" s="9" t="str">
        <f t="array" ref="Q894">IFERROR(INDEX(dim_kpi!F:F,MATCH(D894,dim_kpi!C:C,0)),"")</f>
        <v/>
      </c>
    </row>
    <row r="895" ht="12.75" customHeight="1">
      <c r="A895" s="20" t="str">
        <f>fact_kpi_weekly!A895</f>
        <v>260419</v>
      </c>
      <c r="B895" s="21">
        <f>fact_kpi_weekly!B895</f>
        <v>46131</v>
      </c>
      <c r="C895" s="9" t="str">
        <f>fact_kpi_weekly!C895</f>
        <v>Care Delivery</v>
      </c>
      <c r="D895" s="9" t="str">
        <f>fact_kpi_weekly!D895</f>
        <v>Care Delivery Time per Care Manager</v>
      </c>
      <c r="E895" s="9" t="str">
        <f>fact_kpi_weekly!E895</f>
        <v>Goal</v>
      </c>
      <c r="F895" s="9" t="str">
        <f>IF(fact_kpi_weekly!F895="","",fact_kpi_weekly!F895)</f>
        <v/>
      </c>
      <c r="G895" s="9" t="str">
        <f>fact_kpi_weekly!G895</f>
        <v>N/A</v>
      </c>
      <c r="H895" s="9" t="str">
        <f>fact_kpi_weekly!H895</f>
        <v>Alex &amp; Kit</v>
      </c>
      <c r="I895" s="9">
        <f>fact_kpi_weekly!I895</f>
        <v>0.8</v>
      </c>
      <c r="J895" s="22">
        <f>fact_kpi_weekly!J895</f>
        <v>0.8</v>
      </c>
      <c r="K895" s="20" t="str">
        <f t="array" ref="K895">IFERROR(INDEX(dim_date!H:H,MATCH(A895,dim_date!A:A,0)),"")</f>
        <v>Apr</v>
      </c>
      <c r="L895" s="20" t="str">
        <f t="array" ref="L895">IFERROR(INDEX(dim_date!G:G,MATCH(A895,dim_date!A:A,0)),"")</f>
        <v>04</v>
      </c>
      <c r="M895" s="9" t="str">
        <f t="array" ref="M895">IFERROR(INDEX(dim_date!I:I,MATCH(A895,dim_date!A:A,0)),"")</f>
        <v>Q2</v>
      </c>
      <c r="N895" s="20" t="str">
        <f t="array" ref="N895">IFERROR(INDEX(dim_date!K:K,MATCH(A895,dim_date!A:A,0)),"")</f>
        <v>17</v>
      </c>
      <c r="O895" s="9" t="str">
        <f t="array" ref="O895">IFERROR(INDEX(dim_date!F:F,MATCH(A895,dim_date!A:A,0)),"")</f>
        <v>4/19-4/25</v>
      </c>
      <c r="P895" s="9" t="str">
        <f t="array" ref="P895">IFERROR(INDEX(dim_kpi!E:E,MATCH(D895,dim_kpi!C:C,0)),"")</f>
        <v/>
      </c>
      <c r="Q895" s="9" t="str">
        <f t="array" ref="Q895">IFERROR(INDEX(dim_kpi!F:F,MATCH(D895,dim_kpi!C:C,0)),"")</f>
        <v/>
      </c>
    </row>
    <row r="896" ht="12.75" customHeight="1">
      <c r="A896" s="20" t="str">
        <f>fact_kpi_weekly!A896</f>
        <v>260426</v>
      </c>
      <c r="B896" s="21">
        <f>fact_kpi_weekly!B896</f>
        <v>46138</v>
      </c>
      <c r="C896" s="9" t="str">
        <f>fact_kpi_weekly!C896</f>
        <v>Care Delivery</v>
      </c>
      <c r="D896" s="9" t="str">
        <f>fact_kpi_weekly!D896</f>
        <v>Care Delivery Time per Care Manager</v>
      </c>
      <c r="E896" s="9" t="str">
        <f>fact_kpi_weekly!E896</f>
        <v>Goal</v>
      </c>
      <c r="F896" s="9" t="str">
        <f>IF(fact_kpi_weekly!F896="","",fact_kpi_weekly!F896)</f>
        <v/>
      </c>
      <c r="G896" s="9" t="str">
        <f>fact_kpi_weekly!G896</f>
        <v>N/A</v>
      </c>
      <c r="H896" s="9" t="str">
        <f>fact_kpi_weekly!H896</f>
        <v>Alex &amp; Kit</v>
      </c>
      <c r="I896" s="9">
        <f>fact_kpi_weekly!I896</f>
        <v>0.8</v>
      </c>
      <c r="J896" s="22">
        <f>fact_kpi_weekly!J896</f>
        <v>0.8</v>
      </c>
      <c r="K896" s="20" t="str">
        <f t="array" ref="K896">IFERROR(INDEX(dim_date!H:H,MATCH(A896,dim_date!A:A,0)),"")</f>
        <v>Apr</v>
      </c>
      <c r="L896" s="20" t="str">
        <f t="array" ref="L896">IFERROR(INDEX(dim_date!G:G,MATCH(A896,dim_date!A:A,0)),"")</f>
        <v>04</v>
      </c>
      <c r="M896" s="9" t="str">
        <f t="array" ref="M896">IFERROR(INDEX(dim_date!I:I,MATCH(A896,dim_date!A:A,0)),"")</f>
        <v>Q2</v>
      </c>
      <c r="N896" s="20" t="str">
        <f t="array" ref="N896">IFERROR(INDEX(dim_date!K:K,MATCH(A896,dim_date!A:A,0)),"")</f>
        <v>18</v>
      </c>
      <c r="O896" s="9" t="str">
        <f t="array" ref="O896">IFERROR(INDEX(dim_date!F:F,MATCH(A896,dim_date!A:A,0)),"")</f>
        <v>4/26-5/2</v>
      </c>
      <c r="P896" s="9" t="str">
        <f t="array" ref="P896">IFERROR(INDEX(dim_kpi!E:E,MATCH(D896,dim_kpi!C:C,0)),"")</f>
        <v/>
      </c>
      <c r="Q896" s="9" t="str">
        <f t="array" ref="Q896">IFERROR(INDEX(dim_kpi!F:F,MATCH(D896,dim_kpi!C:C,0)),"")</f>
        <v/>
      </c>
    </row>
    <row r="897" ht="12.75" customHeight="1">
      <c r="A897" s="20" t="str">
        <f>fact_kpi_weekly!A897</f>
        <v>260503</v>
      </c>
      <c r="B897" s="21">
        <f>fact_kpi_weekly!B897</f>
        <v>46145</v>
      </c>
      <c r="C897" s="9" t="str">
        <f>fact_kpi_weekly!C897</f>
        <v>Care Delivery</v>
      </c>
      <c r="D897" s="9" t="str">
        <f>fact_kpi_weekly!D897</f>
        <v>Care Delivery Time per Care Manager</v>
      </c>
      <c r="E897" s="9" t="str">
        <f>fact_kpi_weekly!E897</f>
        <v>Goal</v>
      </c>
      <c r="F897" s="9" t="str">
        <f>IF(fact_kpi_weekly!F897="","",fact_kpi_weekly!F897)</f>
        <v/>
      </c>
      <c r="G897" s="9" t="str">
        <f>fact_kpi_weekly!G897</f>
        <v>N/A</v>
      </c>
      <c r="H897" s="9" t="str">
        <f>fact_kpi_weekly!H897</f>
        <v>Alex &amp; Kit</v>
      </c>
      <c r="I897" s="9">
        <f>fact_kpi_weekly!I897</f>
        <v>0.8</v>
      </c>
      <c r="J897" s="22">
        <f>fact_kpi_weekly!J897</f>
        <v>0.8</v>
      </c>
      <c r="K897" s="20" t="str">
        <f t="array" ref="K897">IFERROR(INDEX(dim_date!H:H,MATCH(A897,dim_date!A:A,0)),"")</f>
        <v>May</v>
      </c>
      <c r="L897" s="20" t="str">
        <f t="array" ref="L897">IFERROR(INDEX(dim_date!G:G,MATCH(A897,dim_date!A:A,0)),"")</f>
        <v>05</v>
      </c>
      <c r="M897" s="9" t="str">
        <f t="array" ref="M897">IFERROR(INDEX(dim_date!I:I,MATCH(A897,dim_date!A:A,0)),"")</f>
        <v>Q2</v>
      </c>
      <c r="N897" s="20" t="str">
        <f t="array" ref="N897">IFERROR(INDEX(dim_date!K:K,MATCH(A897,dim_date!A:A,0)),"")</f>
        <v>19</v>
      </c>
      <c r="O897" s="9" t="str">
        <f t="array" ref="O897">IFERROR(INDEX(dim_date!F:F,MATCH(A897,dim_date!A:A,0)),"")</f>
        <v>5/3-5/9</v>
      </c>
      <c r="P897" s="9" t="str">
        <f t="array" ref="P897">IFERROR(INDEX(dim_kpi!E:E,MATCH(D897,dim_kpi!C:C,0)),"")</f>
        <v/>
      </c>
      <c r="Q897" s="9" t="str">
        <f t="array" ref="Q897">IFERROR(INDEX(dim_kpi!F:F,MATCH(D897,dim_kpi!C:C,0)),"")</f>
        <v/>
      </c>
    </row>
    <row r="898" ht="12.75" customHeight="1">
      <c r="A898" s="20" t="str">
        <f>fact_kpi_weekly!A898</f>
        <v>260510</v>
      </c>
      <c r="B898" s="21">
        <f>fact_kpi_weekly!B898</f>
        <v>46152</v>
      </c>
      <c r="C898" s="9" t="str">
        <f>fact_kpi_weekly!C898</f>
        <v>Care Delivery</v>
      </c>
      <c r="D898" s="9" t="str">
        <f>fact_kpi_weekly!D898</f>
        <v>Care Delivery Time per Care Manager</v>
      </c>
      <c r="E898" s="9" t="str">
        <f>fact_kpi_weekly!E898</f>
        <v>Goal</v>
      </c>
      <c r="F898" s="9" t="str">
        <f>IF(fact_kpi_weekly!F898="","",fact_kpi_weekly!F898)</f>
        <v/>
      </c>
      <c r="G898" s="9" t="str">
        <f>fact_kpi_weekly!G898</f>
        <v>N/A</v>
      </c>
      <c r="H898" s="9" t="str">
        <f>fact_kpi_weekly!H898</f>
        <v>Alex &amp; Kit</v>
      </c>
      <c r="I898" s="9">
        <f>fact_kpi_weekly!I898</f>
        <v>0.8</v>
      </c>
      <c r="J898" s="22">
        <f>fact_kpi_weekly!J898</f>
        <v>0.8</v>
      </c>
      <c r="K898" s="20" t="str">
        <f t="array" ref="K898">IFERROR(INDEX(dim_date!H:H,MATCH(A898,dim_date!A:A,0)),"")</f>
        <v>May</v>
      </c>
      <c r="L898" s="20" t="str">
        <f t="array" ref="L898">IFERROR(INDEX(dim_date!G:G,MATCH(A898,dim_date!A:A,0)),"")</f>
        <v>05</v>
      </c>
      <c r="M898" s="9" t="str">
        <f t="array" ref="M898">IFERROR(INDEX(dim_date!I:I,MATCH(A898,dim_date!A:A,0)),"")</f>
        <v>Q2</v>
      </c>
      <c r="N898" s="20" t="str">
        <f t="array" ref="N898">IFERROR(INDEX(dim_date!K:K,MATCH(A898,dim_date!A:A,0)),"")</f>
        <v>20</v>
      </c>
      <c r="O898" s="9" t="str">
        <f t="array" ref="O898">IFERROR(INDEX(dim_date!F:F,MATCH(A898,dim_date!A:A,0)),"")</f>
        <v>5/10-5/16</v>
      </c>
      <c r="P898" s="9" t="str">
        <f t="array" ref="P898">IFERROR(INDEX(dim_kpi!E:E,MATCH(D898,dim_kpi!C:C,0)),"")</f>
        <v/>
      </c>
      <c r="Q898" s="9" t="str">
        <f t="array" ref="Q898">IFERROR(INDEX(dim_kpi!F:F,MATCH(D898,dim_kpi!C:C,0)),"")</f>
        <v/>
      </c>
    </row>
    <row r="899" ht="12.75" customHeight="1">
      <c r="A899" s="20" t="str">
        <f>fact_kpi_weekly!A899</f>
        <v>260517</v>
      </c>
      <c r="B899" s="21">
        <f>fact_kpi_weekly!B899</f>
        <v>46159</v>
      </c>
      <c r="C899" s="9" t="str">
        <f>fact_kpi_weekly!C899</f>
        <v>Care Delivery</v>
      </c>
      <c r="D899" s="9" t="str">
        <f>fact_kpi_weekly!D899</f>
        <v>Care Delivery Time per Care Manager</v>
      </c>
      <c r="E899" s="9" t="str">
        <f>fact_kpi_weekly!E899</f>
        <v>Goal</v>
      </c>
      <c r="F899" s="9" t="str">
        <f>IF(fact_kpi_weekly!F899="","",fact_kpi_weekly!F899)</f>
        <v/>
      </c>
      <c r="G899" s="9" t="str">
        <f>fact_kpi_weekly!G899</f>
        <v>N/A</v>
      </c>
      <c r="H899" s="9" t="str">
        <f>fact_kpi_weekly!H899</f>
        <v>Alex &amp; Kit</v>
      </c>
      <c r="I899" s="9">
        <f>fact_kpi_weekly!I899</f>
        <v>0.8</v>
      </c>
      <c r="J899" s="22">
        <f>fact_kpi_weekly!J899</f>
        <v>0.8</v>
      </c>
      <c r="K899" s="20" t="str">
        <f t="array" ref="K899">IFERROR(INDEX(dim_date!H:H,MATCH(A899,dim_date!A:A,0)),"")</f>
        <v>May</v>
      </c>
      <c r="L899" s="20" t="str">
        <f t="array" ref="L899">IFERROR(INDEX(dim_date!G:G,MATCH(A899,dim_date!A:A,0)),"")</f>
        <v>05</v>
      </c>
      <c r="M899" s="9" t="str">
        <f t="array" ref="M899">IFERROR(INDEX(dim_date!I:I,MATCH(A899,dim_date!A:A,0)),"")</f>
        <v>Q2</v>
      </c>
      <c r="N899" s="20" t="str">
        <f t="array" ref="N899">IFERROR(INDEX(dim_date!K:K,MATCH(A899,dim_date!A:A,0)),"")</f>
        <v>21</v>
      </c>
      <c r="O899" s="9" t="str">
        <f t="array" ref="O899">IFERROR(INDEX(dim_date!F:F,MATCH(A899,dim_date!A:A,0)),"")</f>
        <v>5/17-5/23</v>
      </c>
      <c r="P899" s="9" t="str">
        <f t="array" ref="P899">IFERROR(INDEX(dim_kpi!E:E,MATCH(D899,dim_kpi!C:C,0)),"")</f>
        <v/>
      </c>
      <c r="Q899" s="9" t="str">
        <f t="array" ref="Q899">IFERROR(INDEX(dim_kpi!F:F,MATCH(D899,dim_kpi!C:C,0)),"")</f>
        <v/>
      </c>
    </row>
    <row r="900" ht="12.75" customHeight="1">
      <c r="A900" s="20" t="str">
        <f>fact_kpi_weekly!A900</f>
        <v>260301</v>
      </c>
      <c r="B900" s="21">
        <f>fact_kpi_weekly!B900</f>
        <v>46082</v>
      </c>
      <c r="C900" s="9" t="str">
        <f>fact_kpi_weekly!C900</f>
        <v>Care Delivery</v>
      </c>
      <c r="D900" s="9" t="str">
        <f>fact_kpi_weekly!D900</f>
        <v>Optimization of Care Delivery Time to Billed</v>
      </c>
      <c r="E900" s="9" t="str">
        <f>fact_kpi_weekly!E900</f>
        <v>Actual</v>
      </c>
      <c r="F900" s="9" t="str">
        <f>IF(fact_kpi_weekly!F900="","",fact_kpi_weekly!F900)</f>
        <v/>
      </c>
      <c r="G900" s="9" t="str">
        <f>fact_kpi_weekly!G900</f>
        <v>N/A</v>
      </c>
      <c r="H900" s="9" t="str">
        <f>fact_kpi_weekly!H900</f>
        <v>Alex &amp; Kit</v>
      </c>
      <c r="I900" s="9">
        <f>fact_kpi_weekly!I900</f>
        <v>0.61</v>
      </c>
      <c r="J900" s="22">
        <f>fact_kpi_weekly!J900</f>
        <v>0.61</v>
      </c>
      <c r="K900" s="20" t="str">
        <f t="array" ref="K900">IFERROR(INDEX(dim_date!H:H,MATCH(A900,dim_date!A:A,0)),"")</f>
        <v>Mar</v>
      </c>
      <c r="L900" s="20" t="str">
        <f t="array" ref="L900">IFERROR(INDEX(dim_date!G:G,MATCH(A900,dim_date!A:A,0)),"")</f>
        <v>03</v>
      </c>
      <c r="M900" s="9" t="str">
        <f t="array" ref="M900">IFERROR(INDEX(dim_date!I:I,MATCH(A900,dim_date!A:A,0)),"")</f>
        <v>Q1</v>
      </c>
      <c r="N900" s="20" t="str">
        <f t="array" ref="N900">IFERROR(INDEX(dim_date!K:K,MATCH(A900,dim_date!A:A,0)),"")</f>
        <v>10</v>
      </c>
      <c r="O900" s="9" t="str">
        <f t="array" ref="O900">IFERROR(INDEX(dim_date!F:F,MATCH(A900,dim_date!A:A,0)),"")</f>
        <v>3/1-3/7</v>
      </c>
      <c r="P900" s="9" t="str">
        <f t="array" ref="P900">IFERROR(INDEX(dim_kpi!E:E,MATCH(D900,dim_kpi!C:C,0)),"")</f>
        <v>%</v>
      </c>
      <c r="Q900" s="9" t="str">
        <f t="array" ref="Q900">IFERROR(INDEX(dim_kpi!F:F,MATCH(D900,dim_kpi!C:C,0)),"")</f>
        <v>N</v>
      </c>
    </row>
    <row r="901" ht="12.75" customHeight="1">
      <c r="A901" s="20" t="str">
        <f>fact_kpi_weekly!A901</f>
        <v>260308</v>
      </c>
      <c r="B901" s="21">
        <f>fact_kpi_weekly!B901</f>
        <v>46089</v>
      </c>
      <c r="C901" s="9" t="str">
        <f>fact_kpi_weekly!C901</f>
        <v>Care Delivery</v>
      </c>
      <c r="D901" s="9" t="str">
        <f>fact_kpi_weekly!D901</f>
        <v>Optimization of Care Delivery Time to Billed</v>
      </c>
      <c r="E901" s="9" t="str">
        <f>fact_kpi_weekly!E901</f>
        <v>Actual</v>
      </c>
      <c r="F901" s="9" t="str">
        <f>IF(fact_kpi_weekly!F901="","",fact_kpi_weekly!F901)</f>
        <v/>
      </c>
      <c r="G901" s="9" t="str">
        <f>fact_kpi_weekly!G901</f>
        <v>N/A</v>
      </c>
      <c r="H901" s="9" t="str">
        <f>fact_kpi_weekly!H901</f>
        <v>Alex &amp; Kit</v>
      </c>
      <c r="I901" s="9">
        <f>fact_kpi_weekly!I901</f>
        <v>0.6</v>
      </c>
      <c r="J901" s="22">
        <f>fact_kpi_weekly!J901</f>
        <v>0.6</v>
      </c>
      <c r="K901" s="20" t="str">
        <f t="array" ref="K901">IFERROR(INDEX(dim_date!H:H,MATCH(A901,dim_date!A:A,0)),"")</f>
        <v>Mar</v>
      </c>
      <c r="L901" s="20" t="str">
        <f t="array" ref="L901">IFERROR(INDEX(dim_date!G:G,MATCH(A901,dim_date!A:A,0)),"")</f>
        <v>03</v>
      </c>
      <c r="M901" s="9" t="str">
        <f t="array" ref="M901">IFERROR(INDEX(dim_date!I:I,MATCH(A901,dim_date!A:A,0)),"")</f>
        <v>Q1</v>
      </c>
      <c r="N901" s="20" t="str">
        <f t="array" ref="N901">IFERROR(INDEX(dim_date!K:K,MATCH(A901,dim_date!A:A,0)),"")</f>
        <v>11</v>
      </c>
      <c r="O901" s="9" t="str">
        <f t="array" ref="O901">IFERROR(INDEX(dim_date!F:F,MATCH(A901,dim_date!A:A,0)),"")</f>
        <v>3/8-3/14</v>
      </c>
      <c r="P901" s="9" t="str">
        <f t="array" ref="P901">IFERROR(INDEX(dim_kpi!E:E,MATCH(D901,dim_kpi!C:C,0)),"")</f>
        <v>%</v>
      </c>
      <c r="Q901" s="9" t="str">
        <f t="array" ref="Q901">IFERROR(INDEX(dim_kpi!F:F,MATCH(D901,dim_kpi!C:C,0)),"")</f>
        <v>N</v>
      </c>
    </row>
    <row r="902" ht="12.75" customHeight="1">
      <c r="A902" s="20" t="str">
        <f>fact_kpi_weekly!A902</f>
        <v>260315</v>
      </c>
      <c r="B902" s="21">
        <f>fact_kpi_weekly!B902</f>
        <v>46096</v>
      </c>
      <c r="C902" s="9" t="str">
        <f>fact_kpi_weekly!C902</f>
        <v>Care Delivery</v>
      </c>
      <c r="D902" s="9" t="str">
        <f>fact_kpi_weekly!D902</f>
        <v>Optimization of Care Delivery Time to Billed</v>
      </c>
      <c r="E902" s="9" t="str">
        <f>fact_kpi_weekly!E902</f>
        <v>Actual</v>
      </c>
      <c r="F902" s="9" t="str">
        <f>IF(fact_kpi_weekly!F902="","",fact_kpi_weekly!F902)</f>
        <v/>
      </c>
      <c r="G902" s="9" t="str">
        <f>fact_kpi_weekly!G902</f>
        <v>N/A</v>
      </c>
      <c r="H902" s="9" t="str">
        <f>fact_kpi_weekly!H902</f>
        <v>Alex &amp; Kit</v>
      </c>
      <c r="I902" s="9">
        <f>fact_kpi_weekly!I902</f>
        <v>0.62</v>
      </c>
      <c r="J902" s="22">
        <f>fact_kpi_weekly!J902</f>
        <v>0.62</v>
      </c>
      <c r="K902" s="20" t="str">
        <f t="array" ref="K902">IFERROR(INDEX(dim_date!H:H,MATCH(A902,dim_date!A:A,0)),"")</f>
        <v>Mar</v>
      </c>
      <c r="L902" s="20" t="str">
        <f t="array" ref="L902">IFERROR(INDEX(dim_date!G:G,MATCH(A902,dim_date!A:A,0)),"")</f>
        <v>03</v>
      </c>
      <c r="M902" s="9" t="str">
        <f t="array" ref="M902">IFERROR(INDEX(dim_date!I:I,MATCH(A902,dim_date!A:A,0)),"")</f>
        <v>Q1</v>
      </c>
      <c r="N902" s="20" t="str">
        <f t="array" ref="N902">IFERROR(INDEX(dim_date!K:K,MATCH(A902,dim_date!A:A,0)),"")</f>
        <v>12</v>
      </c>
      <c r="O902" s="9" t="str">
        <f t="array" ref="O902">IFERROR(INDEX(dim_date!F:F,MATCH(A902,dim_date!A:A,0)),"")</f>
        <v>3/15-3/21</v>
      </c>
      <c r="P902" s="9" t="str">
        <f t="array" ref="P902">IFERROR(INDEX(dim_kpi!E:E,MATCH(D902,dim_kpi!C:C,0)),"")</f>
        <v>%</v>
      </c>
      <c r="Q902" s="9" t="str">
        <f t="array" ref="Q902">IFERROR(INDEX(dim_kpi!F:F,MATCH(D902,dim_kpi!C:C,0)),"")</f>
        <v>N</v>
      </c>
    </row>
    <row r="903" ht="12.75" customHeight="1">
      <c r="A903" s="20" t="str">
        <f>fact_kpi_weekly!A903</f>
        <v>260322</v>
      </c>
      <c r="B903" s="21">
        <f>fact_kpi_weekly!B903</f>
        <v>46103</v>
      </c>
      <c r="C903" s="9" t="str">
        <f>fact_kpi_weekly!C903</f>
        <v>Care Delivery</v>
      </c>
      <c r="D903" s="9" t="str">
        <f>fact_kpi_weekly!D903</f>
        <v>Optimization of Care Delivery Time to Billed</v>
      </c>
      <c r="E903" s="9" t="str">
        <f>fact_kpi_weekly!E903</f>
        <v>Actual</v>
      </c>
      <c r="F903" s="9" t="str">
        <f>IF(fact_kpi_weekly!F903="","",fact_kpi_weekly!F903)</f>
        <v/>
      </c>
      <c r="G903" s="9" t="str">
        <f>fact_kpi_weekly!G903</f>
        <v>N/A</v>
      </c>
      <c r="H903" s="9" t="str">
        <f>fact_kpi_weekly!H903</f>
        <v>Alex &amp; Kit</v>
      </c>
      <c r="I903" s="9">
        <f>fact_kpi_weekly!I903</f>
        <v>0.65</v>
      </c>
      <c r="J903" s="22">
        <f>fact_kpi_weekly!J903</f>
        <v>0.65</v>
      </c>
      <c r="K903" s="20" t="str">
        <f t="array" ref="K903">IFERROR(INDEX(dim_date!H:H,MATCH(A903,dim_date!A:A,0)),"")</f>
        <v>Mar</v>
      </c>
      <c r="L903" s="20" t="str">
        <f t="array" ref="L903">IFERROR(INDEX(dim_date!G:G,MATCH(A903,dim_date!A:A,0)),"")</f>
        <v>03</v>
      </c>
      <c r="M903" s="9" t="str">
        <f t="array" ref="M903">IFERROR(INDEX(dim_date!I:I,MATCH(A903,dim_date!A:A,0)),"")</f>
        <v>Q1</v>
      </c>
      <c r="N903" s="20" t="str">
        <f t="array" ref="N903">IFERROR(INDEX(dim_date!K:K,MATCH(A903,dim_date!A:A,0)),"")</f>
        <v>13</v>
      </c>
      <c r="O903" s="9" t="str">
        <f t="array" ref="O903">IFERROR(INDEX(dim_date!F:F,MATCH(A903,dim_date!A:A,0)),"")</f>
        <v>3/22-3/28</v>
      </c>
      <c r="P903" s="9" t="str">
        <f t="array" ref="P903">IFERROR(INDEX(dim_kpi!E:E,MATCH(D903,dim_kpi!C:C,0)),"")</f>
        <v>%</v>
      </c>
      <c r="Q903" s="9" t="str">
        <f t="array" ref="Q903">IFERROR(INDEX(dim_kpi!F:F,MATCH(D903,dim_kpi!C:C,0)),"")</f>
        <v>N</v>
      </c>
    </row>
    <row r="904" ht="12.75" customHeight="1">
      <c r="A904" s="20" t="str">
        <f>fact_kpi_weekly!A904</f>
        <v>260329</v>
      </c>
      <c r="B904" s="21">
        <f>fact_kpi_weekly!B904</f>
        <v>46110</v>
      </c>
      <c r="C904" s="9" t="str">
        <f>fact_kpi_weekly!C904</f>
        <v>Care Delivery</v>
      </c>
      <c r="D904" s="9" t="str">
        <f>fact_kpi_weekly!D904</f>
        <v>Optimization of Care Delivery Time to Billed</v>
      </c>
      <c r="E904" s="9" t="str">
        <f>fact_kpi_weekly!E904</f>
        <v>Actual</v>
      </c>
      <c r="F904" s="9" t="str">
        <f>IF(fact_kpi_weekly!F904="","",fact_kpi_weekly!F904)</f>
        <v/>
      </c>
      <c r="G904" s="9" t="str">
        <f>fact_kpi_weekly!G904</f>
        <v>N/A</v>
      </c>
      <c r="H904" s="9" t="str">
        <f>fact_kpi_weekly!H904</f>
        <v>Alex &amp; Kit</v>
      </c>
      <c r="I904" s="9">
        <f>fact_kpi_weekly!I904</f>
        <v>0.7</v>
      </c>
      <c r="J904" s="22">
        <f>fact_kpi_weekly!J904</f>
        <v>0.7</v>
      </c>
      <c r="K904" s="20" t="str">
        <f t="array" ref="K904">IFERROR(INDEX(dim_date!H:H,MATCH(A904,dim_date!A:A,0)),"")</f>
        <v>Mar</v>
      </c>
      <c r="L904" s="20" t="str">
        <f t="array" ref="L904">IFERROR(INDEX(dim_date!G:G,MATCH(A904,dim_date!A:A,0)),"")</f>
        <v>03</v>
      </c>
      <c r="M904" s="9" t="str">
        <f t="array" ref="M904">IFERROR(INDEX(dim_date!I:I,MATCH(A904,dim_date!A:A,0)),"")</f>
        <v>Q1</v>
      </c>
      <c r="N904" s="20" t="str">
        <f t="array" ref="N904">IFERROR(INDEX(dim_date!K:K,MATCH(A904,dim_date!A:A,0)),"")</f>
        <v>14</v>
      </c>
      <c r="O904" s="9" t="str">
        <f t="array" ref="O904">IFERROR(INDEX(dim_date!F:F,MATCH(A904,dim_date!A:A,0)),"")</f>
        <v>3/29-4/4</v>
      </c>
      <c r="P904" s="9" t="str">
        <f t="array" ref="P904">IFERROR(INDEX(dim_kpi!E:E,MATCH(D904,dim_kpi!C:C,0)),"")</f>
        <v>%</v>
      </c>
      <c r="Q904" s="9" t="str">
        <f t="array" ref="Q904">IFERROR(INDEX(dim_kpi!F:F,MATCH(D904,dim_kpi!C:C,0)),"")</f>
        <v>N</v>
      </c>
    </row>
    <row r="905" ht="12.75" customHeight="1">
      <c r="A905" s="20" t="str">
        <f>fact_kpi_weekly!A905</f>
        <v>260405</v>
      </c>
      <c r="B905" s="21">
        <f>fact_kpi_weekly!B905</f>
        <v>46117</v>
      </c>
      <c r="C905" s="9" t="str">
        <f>fact_kpi_weekly!C905</f>
        <v>Care Delivery</v>
      </c>
      <c r="D905" s="9" t="str">
        <f>fact_kpi_weekly!D905</f>
        <v>Optimization of Care Delivery Time to Billed</v>
      </c>
      <c r="E905" s="9" t="str">
        <f>fact_kpi_weekly!E905</f>
        <v>Actual</v>
      </c>
      <c r="F905" s="9" t="str">
        <f>IF(fact_kpi_weekly!F905="","",fact_kpi_weekly!F905)</f>
        <v/>
      </c>
      <c r="G905" s="9" t="str">
        <f>fact_kpi_weekly!G905</f>
        <v>N/A</v>
      </c>
      <c r="H905" s="9" t="str">
        <f>fact_kpi_weekly!H905</f>
        <v>Alex &amp; Kit</v>
      </c>
      <c r="I905" s="9">
        <f>fact_kpi_weekly!I905</f>
        <v>0.77</v>
      </c>
      <c r="J905" s="22">
        <f>fact_kpi_weekly!J905</f>
        <v>0.77</v>
      </c>
      <c r="K905" s="20" t="str">
        <f t="array" ref="K905">IFERROR(INDEX(dim_date!H:H,MATCH(A905,dim_date!A:A,0)),"")</f>
        <v>Apr</v>
      </c>
      <c r="L905" s="20" t="str">
        <f t="array" ref="L905">IFERROR(INDEX(dim_date!G:G,MATCH(A905,dim_date!A:A,0)),"")</f>
        <v>04</v>
      </c>
      <c r="M905" s="9" t="str">
        <f t="array" ref="M905">IFERROR(INDEX(dim_date!I:I,MATCH(A905,dim_date!A:A,0)),"")</f>
        <v>Q2</v>
      </c>
      <c r="N905" s="20" t="str">
        <f t="array" ref="N905">IFERROR(INDEX(dim_date!K:K,MATCH(A905,dim_date!A:A,0)),"")</f>
        <v>15</v>
      </c>
      <c r="O905" s="9" t="str">
        <f t="array" ref="O905">IFERROR(INDEX(dim_date!F:F,MATCH(A905,dim_date!A:A,0)),"")</f>
        <v>4/5-4/11</v>
      </c>
      <c r="P905" s="9" t="str">
        <f t="array" ref="P905">IFERROR(INDEX(dim_kpi!E:E,MATCH(D905,dim_kpi!C:C,0)),"")</f>
        <v>%</v>
      </c>
      <c r="Q905" s="9" t="str">
        <f t="array" ref="Q905">IFERROR(INDEX(dim_kpi!F:F,MATCH(D905,dim_kpi!C:C,0)),"")</f>
        <v>N</v>
      </c>
    </row>
    <row r="906" ht="12.75" customHeight="1">
      <c r="A906" s="20" t="str">
        <f>fact_kpi_weekly!A906</f>
        <v>260412</v>
      </c>
      <c r="B906" s="21">
        <f>fact_kpi_weekly!B906</f>
        <v>46124</v>
      </c>
      <c r="C906" s="9" t="str">
        <f>fact_kpi_weekly!C906</f>
        <v>Care Delivery</v>
      </c>
      <c r="D906" s="9" t="str">
        <f>fact_kpi_weekly!D906</f>
        <v>Optimization of Care Delivery Time to Billed</v>
      </c>
      <c r="E906" s="9" t="str">
        <f>fact_kpi_weekly!E906</f>
        <v>Actual</v>
      </c>
      <c r="F906" s="9" t="str">
        <f>IF(fact_kpi_weekly!F906="","",fact_kpi_weekly!F906)</f>
        <v/>
      </c>
      <c r="G906" s="9" t="str">
        <f>fact_kpi_weekly!G906</f>
        <v>N/A</v>
      </c>
      <c r="H906" s="9" t="str">
        <f>fact_kpi_weekly!H906</f>
        <v>Alex &amp; Kit</v>
      </c>
      <c r="I906" s="9">
        <f>fact_kpi_weekly!I906</f>
        <v>0.85</v>
      </c>
      <c r="J906" s="22">
        <f>fact_kpi_weekly!J906</f>
        <v>0.85</v>
      </c>
      <c r="K906" s="20" t="str">
        <f t="array" ref="K906">IFERROR(INDEX(dim_date!H:H,MATCH(A906,dim_date!A:A,0)),"")</f>
        <v>Apr</v>
      </c>
      <c r="L906" s="20" t="str">
        <f t="array" ref="L906">IFERROR(INDEX(dim_date!G:G,MATCH(A906,dim_date!A:A,0)),"")</f>
        <v>04</v>
      </c>
      <c r="M906" s="9" t="str">
        <f t="array" ref="M906">IFERROR(INDEX(dim_date!I:I,MATCH(A906,dim_date!A:A,0)),"")</f>
        <v>Q2</v>
      </c>
      <c r="N906" s="20" t="str">
        <f t="array" ref="N906">IFERROR(INDEX(dim_date!K:K,MATCH(A906,dim_date!A:A,0)),"")</f>
        <v>16</v>
      </c>
      <c r="O906" s="9" t="str">
        <f t="array" ref="O906">IFERROR(INDEX(dim_date!F:F,MATCH(A906,dim_date!A:A,0)),"")</f>
        <v>4/12-4/18</v>
      </c>
      <c r="P906" s="9" t="str">
        <f t="array" ref="P906">IFERROR(INDEX(dim_kpi!E:E,MATCH(D906,dim_kpi!C:C,0)),"")</f>
        <v>%</v>
      </c>
      <c r="Q906" s="9" t="str">
        <f t="array" ref="Q906">IFERROR(INDEX(dim_kpi!F:F,MATCH(D906,dim_kpi!C:C,0)),"")</f>
        <v>N</v>
      </c>
    </row>
    <row r="907" ht="12.75" customHeight="1">
      <c r="A907" s="20" t="str">
        <f>fact_kpi_weekly!A907</f>
        <v>260419</v>
      </c>
      <c r="B907" s="21">
        <f>fact_kpi_weekly!B907</f>
        <v>46131</v>
      </c>
      <c r="C907" s="9" t="str">
        <f>fact_kpi_weekly!C907</f>
        <v>Care Delivery</v>
      </c>
      <c r="D907" s="9" t="str">
        <f>fact_kpi_weekly!D907</f>
        <v>Optimization of Care Delivery Time to Billed</v>
      </c>
      <c r="E907" s="9" t="str">
        <f>fact_kpi_weekly!E907</f>
        <v>Actual</v>
      </c>
      <c r="F907" s="9" t="str">
        <f>IF(fact_kpi_weekly!F907="","",fact_kpi_weekly!F907)</f>
        <v/>
      </c>
      <c r="G907" s="9" t="str">
        <f>fact_kpi_weekly!G907</f>
        <v>N/A</v>
      </c>
      <c r="H907" s="9" t="str">
        <f>fact_kpi_weekly!H907</f>
        <v>Alex &amp; Kit</v>
      </c>
      <c r="I907" s="9">
        <f>fact_kpi_weekly!I907</f>
        <v>0.85</v>
      </c>
      <c r="J907" s="22">
        <f>fact_kpi_weekly!J907</f>
        <v>0.85</v>
      </c>
      <c r="K907" s="20" t="str">
        <f t="array" ref="K907">IFERROR(INDEX(dim_date!H:H,MATCH(A907,dim_date!A:A,0)),"")</f>
        <v>Apr</v>
      </c>
      <c r="L907" s="20" t="str">
        <f t="array" ref="L907">IFERROR(INDEX(dim_date!G:G,MATCH(A907,dim_date!A:A,0)),"")</f>
        <v>04</v>
      </c>
      <c r="M907" s="9" t="str">
        <f t="array" ref="M907">IFERROR(INDEX(dim_date!I:I,MATCH(A907,dim_date!A:A,0)),"")</f>
        <v>Q2</v>
      </c>
      <c r="N907" s="20" t="str">
        <f t="array" ref="N907">IFERROR(INDEX(dim_date!K:K,MATCH(A907,dim_date!A:A,0)),"")</f>
        <v>17</v>
      </c>
      <c r="O907" s="9" t="str">
        <f t="array" ref="O907">IFERROR(INDEX(dim_date!F:F,MATCH(A907,dim_date!A:A,0)),"")</f>
        <v>4/19-4/25</v>
      </c>
      <c r="P907" s="9" t="str">
        <f t="array" ref="P907">IFERROR(INDEX(dim_kpi!E:E,MATCH(D907,dim_kpi!C:C,0)),"")</f>
        <v>%</v>
      </c>
      <c r="Q907" s="9" t="str">
        <f t="array" ref="Q907">IFERROR(INDEX(dim_kpi!F:F,MATCH(D907,dim_kpi!C:C,0)),"")</f>
        <v>N</v>
      </c>
    </row>
    <row r="908" ht="12.75" customHeight="1">
      <c r="A908" s="20" t="str">
        <f>fact_kpi_weekly!A908</f>
        <v>260426</v>
      </c>
      <c r="B908" s="21">
        <f>fact_kpi_weekly!B908</f>
        <v>46138</v>
      </c>
      <c r="C908" s="9" t="str">
        <f>fact_kpi_weekly!C908</f>
        <v>Care Delivery</v>
      </c>
      <c r="D908" s="9" t="str">
        <f>fact_kpi_weekly!D908</f>
        <v>Optimization of Care Delivery Time to Billed</v>
      </c>
      <c r="E908" s="9" t="str">
        <f>fact_kpi_weekly!E908</f>
        <v>Actual</v>
      </c>
      <c r="F908" s="9" t="str">
        <f>IF(fact_kpi_weekly!F908="","",fact_kpi_weekly!F908)</f>
        <v/>
      </c>
      <c r="G908" s="9" t="str">
        <f>fact_kpi_weekly!G908</f>
        <v>N/A</v>
      </c>
      <c r="H908" s="9" t="str">
        <f>fact_kpi_weekly!H908</f>
        <v>Alex &amp; Kit</v>
      </c>
      <c r="I908" s="9">
        <f>fact_kpi_weekly!I908</f>
        <v>0.85</v>
      </c>
      <c r="J908" s="22">
        <f>fact_kpi_weekly!J908</f>
        <v>0.85</v>
      </c>
      <c r="K908" s="20" t="str">
        <f t="array" ref="K908">IFERROR(INDEX(dim_date!H:H,MATCH(A908,dim_date!A:A,0)),"")</f>
        <v>Apr</v>
      </c>
      <c r="L908" s="20" t="str">
        <f t="array" ref="L908">IFERROR(INDEX(dim_date!G:G,MATCH(A908,dim_date!A:A,0)),"")</f>
        <v>04</v>
      </c>
      <c r="M908" s="9" t="str">
        <f t="array" ref="M908">IFERROR(INDEX(dim_date!I:I,MATCH(A908,dim_date!A:A,0)),"")</f>
        <v>Q2</v>
      </c>
      <c r="N908" s="20" t="str">
        <f t="array" ref="N908">IFERROR(INDEX(dim_date!K:K,MATCH(A908,dim_date!A:A,0)),"")</f>
        <v>18</v>
      </c>
      <c r="O908" s="9" t="str">
        <f t="array" ref="O908">IFERROR(INDEX(dim_date!F:F,MATCH(A908,dim_date!A:A,0)),"")</f>
        <v>4/26-5/2</v>
      </c>
      <c r="P908" s="9" t="str">
        <f t="array" ref="P908">IFERROR(INDEX(dim_kpi!E:E,MATCH(D908,dim_kpi!C:C,0)),"")</f>
        <v>%</v>
      </c>
      <c r="Q908" s="9" t="str">
        <f t="array" ref="Q908">IFERROR(INDEX(dim_kpi!F:F,MATCH(D908,dim_kpi!C:C,0)),"")</f>
        <v>N</v>
      </c>
    </row>
    <row r="909" ht="12.75" customHeight="1">
      <c r="A909" s="20" t="str">
        <f>fact_kpi_weekly!A909</f>
        <v>260503</v>
      </c>
      <c r="B909" s="21">
        <f>fact_kpi_weekly!B909</f>
        <v>46145</v>
      </c>
      <c r="C909" s="9" t="str">
        <f>fact_kpi_weekly!C909</f>
        <v>Care Delivery</v>
      </c>
      <c r="D909" s="9" t="str">
        <f>fact_kpi_weekly!D909</f>
        <v>Optimization of Care Delivery Time to Billed</v>
      </c>
      <c r="E909" s="9" t="str">
        <f>fact_kpi_weekly!E909</f>
        <v>Actual</v>
      </c>
      <c r="F909" s="9" t="str">
        <f>IF(fact_kpi_weekly!F909="","",fact_kpi_weekly!F909)</f>
        <v/>
      </c>
      <c r="G909" s="9" t="str">
        <f>fact_kpi_weekly!G909</f>
        <v>N/A</v>
      </c>
      <c r="H909" s="9" t="str">
        <f>fact_kpi_weekly!H909</f>
        <v>Alex &amp; Kit</v>
      </c>
      <c r="I909" s="9">
        <f>fact_kpi_weekly!I909</f>
        <v>0.86</v>
      </c>
      <c r="J909" s="22">
        <f>fact_kpi_weekly!J909</f>
        <v>0.86</v>
      </c>
      <c r="K909" s="20" t="str">
        <f t="array" ref="K909">IFERROR(INDEX(dim_date!H:H,MATCH(A909,dim_date!A:A,0)),"")</f>
        <v>May</v>
      </c>
      <c r="L909" s="20" t="str">
        <f t="array" ref="L909">IFERROR(INDEX(dim_date!G:G,MATCH(A909,dim_date!A:A,0)),"")</f>
        <v>05</v>
      </c>
      <c r="M909" s="9" t="str">
        <f t="array" ref="M909">IFERROR(INDEX(dim_date!I:I,MATCH(A909,dim_date!A:A,0)),"")</f>
        <v>Q2</v>
      </c>
      <c r="N909" s="20" t="str">
        <f t="array" ref="N909">IFERROR(INDEX(dim_date!K:K,MATCH(A909,dim_date!A:A,0)),"")</f>
        <v>19</v>
      </c>
      <c r="O909" s="9" t="str">
        <f t="array" ref="O909">IFERROR(INDEX(dim_date!F:F,MATCH(A909,dim_date!A:A,0)),"")</f>
        <v>5/3-5/9</v>
      </c>
      <c r="P909" s="9" t="str">
        <f t="array" ref="P909">IFERROR(INDEX(dim_kpi!E:E,MATCH(D909,dim_kpi!C:C,0)),"")</f>
        <v>%</v>
      </c>
      <c r="Q909" s="9" t="str">
        <f t="array" ref="Q909">IFERROR(INDEX(dim_kpi!F:F,MATCH(D909,dim_kpi!C:C,0)),"")</f>
        <v>N</v>
      </c>
    </row>
    <row r="910" ht="12.75" customHeight="1">
      <c r="A910" s="20" t="str">
        <f>fact_kpi_weekly!A910</f>
        <v>260510</v>
      </c>
      <c r="B910" s="21">
        <f>fact_kpi_weekly!B910</f>
        <v>46152</v>
      </c>
      <c r="C910" s="9" t="str">
        <f>fact_kpi_weekly!C910</f>
        <v>Care Delivery</v>
      </c>
      <c r="D910" s="9" t="str">
        <f>fact_kpi_weekly!D910</f>
        <v>Optimization of Care Delivery Time to Billed</v>
      </c>
      <c r="E910" s="9" t="str">
        <f>fact_kpi_weekly!E910</f>
        <v>Actual</v>
      </c>
      <c r="F910" s="9" t="str">
        <f>IF(fact_kpi_weekly!F910="","",fact_kpi_weekly!F910)</f>
        <v/>
      </c>
      <c r="G910" s="9" t="str">
        <f>fact_kpi_weekly!G910</f>
        <v>N/A</v>
      </c>
      <c r="H910" s="9" t="str">
        <f>fact_kpi_weekly!H910</f>
        <v>Alex &amp; Kit</v>
      </c>
      <c r="I910" s="9">
        <f>fact_kpi_weekly!I910</f>
        <v>0.86</v>
      </c>
      <c r="J910" s="22">
        <f>fact_kpi_weekly!J910</f>
        <v>0.86</v>
      </c>
      <c r="K910" s="20" t="str">
        <f t="array" ref="K910">IFERROR(INDEX(dim_date!H:H,MATCH(A910,dim_date!A:A,0)),"")</f>
        <v>May</v>
      </c>
      <c r="L910" s="20" t="str">
        <f t="array" ref="L910">IFERROR(INDEX(dim_date!G:G,MATCH(A910,dim_date!A:A,0)),"")</f>
        <v>05</v>
      </c>
      <c r="M910" s="9" t="str">
        <f t="array" ref="M910">IFERROR(INDEX(dim_date!I:I,MATCH(A910,dim_date!A:A,0)),"")</f>
        <v>Q2</v>
      </c>
      <c r="N910" s="20" t="str">
        <f t="array" ref="N910">IFERROR(INDEX(dim_date!K:K,MATCH(A910,dim_date!A:A,0)),"")</f>
        <v>20</v>
      </c>
      <c r="O910" s="9" t="str">
        <f t="array" ref="O910">IFERROR(INDEX(dim_date!F:F,MATCH(A910,dim_date!A:A,0)),"")</f>
        <v>5/10-5/16</v>
      </c>
      <c r="P910" s="9" t="str">
        <f t="array" ref="P910">IFERROR(INDEX(dim_kpi!E:E,MATCH(D910,dim_kpi!C:C,0)),"")</f>
        <v>%</v>
      </c>
      <c r="Q910" s="9" t="str">
        <f t="array" ref="Q910">IFERROR(INDEX(dim_kpi!F:F,MATCH(D910,dim_kpi!C:C,0)),"")</f>
        <v>N</v>
      </c>
    </row>
    <row r="911" ht="12.75" customHeight="1">
      <c r="A911" s="20" t="str">
        <f>fact_kpi_weekly!A911</f>
        <v>260517</v>
      </c>
      <c r="B911" s="21">
        <f>fact_kpi_weekly!B911</f>
        <v>46159</v>
      </c>
      <c r="C911" s="9" t="str">
        <f>fact_kpi_weekly!C911</f>
        <v>Care Delivery</v>
      </c>
      <c r="D911" s="9" t="str">
        <f>fact_kpi_weekly!D911</f>
        <v>Optimization of Care Delivery Time to Billed</v>
      </c>
      <c r="E911" s="9" t="str">
        <f>fact_kpi_weekly!E911</f>
        <v>Actual</v>
      </c>
      <c r="F911" s="9" t="str">
        <f>IF(fact_kpi_weekly!F911="","",fact_kpi_weekly!F911)</f>
        <v/>
      </c>
      <c r="G911" s="9" t="str">
        <f>fact_kpi_weekly!G911</f>
        <v>N/A</v>
      </c>
      <c r="H911" s="9" t="str">
        <f>fact_kpi_weekly!H911</f>
        <v>Alex &amp; Kit</v>
      </c>
      <c r="I911" s="9">
        <f>fact_kpi_weekly!I911</f>
        <v>0.86</v>
      </c>
      <c r="J911" s="22">
        <f>fact_kpi_weekly!J911</f>
        <v>0.86</v>
      </c>
      <c r="K911" s="20" t="str">
        <f t="array" ref="K911">IFERROR(INDEX(dim_date!H:H,MATCH(A911,dim_date!A:A,0)),"")</f>
        <v>May</v>
      </c>
      <c r="L911" s="20" t="str">
        <f t="array" ref="L911">IFERROR(INDEX(dim_date!G:G,MATCH(A911,dim_date!A:A,0)),"")</f>
        <v>05</v>
      </c>
      <c r="M911" s="9" t="str">
        <f t="array" ref="M911">IFERROR(INDEX(dim_date!I:I,MATCH(A911,dim_date!A:A,0)),"")</f>
        <v>Q2</v>
      </c>
      <c r="N911" s="20" t="str">
        <f t="array" ref="N911">IFERROR(INDEX(dim_date!K:K,MATCH(A911,dim_date!A:A,0)),"")</f>
        <v>21</v>
      </c>
      <c r="O911" s="9" t="str">
        <f t="array" ref="O911">IFERROR(INDEX(dim_date!F:F,MATCH(A911,dim_date!A:A,0)),"")</f>
        <v>5/17-5/23</v>
      </c>
      <c r="P911" s="9" t="str">
        <f t="array" ref="P911">IFERROR(INDEX(dim_kpi!E:E,MATCH(D911,dim_kpi!C:C,0)),"")</f>
        <v>%</v>
      </c>
      <c r="Q911" s="9" t="str">
        <f t="array" ref="Q911">IFERROR(INDEX(dim_kpi!F:F,MATCH(D911,dim_kpi!C:C,0)),"")</f>
        <v>N</v>
      </c>
    </row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13"/>
    <col customWidth="1" min="2" max="2" width="10.13"/>
    <col customWidth="1" min="3" max="3" width="12.0"/>
    <col customWidth="1" min="4" max="4" width="17.38"/>
    <col customWidth="1" min="5" max="5" width="17.88"/>
    <col customWidth="1" min="6" max="7" width="10.63"/>
    <col customWidth="1" min="8" max="8" width="11.63"/>
    <col customWidth="1" min="9" max="9" width="7.0"/>
    <col customWidth="1" min="10" max="10" width="5.13"/>
    <col customWidth="1" min="11" max="11" width="10.0"/>
    <col customWidth="1" min="12" max="12" width="10.63"/>
    <col customWidth="1" min="13" max="13" width="26.63"/>
    <col customWidth="1" min="14" max="26" width="10.63"/>
  </cols>
  <sheetData>
    <row r="1" ht="12.75" customHeight="1">
      <c r="A1" s="38" t="s">
        <v>46</v>
      </c>
      <c r="B1" s="39" t="s">
        <v>156</v>
      </c>
      <c r="C1" s="38" t="s">
        <v>157</v>
      </c>
      <c r="D1" s="39" t="s">
        <v>158</v>
      </c>
      <c r="E1" s="39" t="s">
        <v>159</v>
      </c>
      <c r="F1" s="38" t="s">
        <v>60</v>
      </c>
      <c r="G1" s="38" t="s">
        <v>57</v>
      </c>
      <c r="H1" s="38" t="s">
        <v>56</v>
      </c>
      <c r="I1" s="10" t="s">
        <v>58</v>
      </c>
      <c r="J1" s="40" t="s">
        <v>160</v>
      </c>
      <c r="K1" s="38" t="s">
        <v>59</v>
      </c>
      <c r="M1" s="41" t="s">
        <v>161</v>
      </c>
    </row>
    <row r="2" ht="12.75" customHeight="1">
      <c r="A2" s="42" t="s">
        <v>162</v>
      </c>
      <c r="B2" s="21">
        <v>45292.0</v>
      </c>
      <c r="C2" s="20" t="s">
        <v>163</v>
      </c>
      <c r="D2" s="21">
        <v>45291.0</v>
      </c>
      <c r="E2" s="21">
        <v>45297.0</v>
      </c>
      <c r="F2" s="20" t="s">
        <v>164</v>
      </c>
      <c r="G2" s="42" t="s">
        <v>165</v>
      </c>
      <c r="H2" s="20" t="s">
        <v>166</v>
      </c>
      <c r="I2" s="9" t="s">
        <v>167</v>
      </c>
      <c r="J2" s="43">
        <v>2024.0</v>
      </c>
      <c r="K2" s="42" t="s">
        <v>165</v>
      </c>
    </row>
    <row r="3" ht="12.75" customHeight="1">
      <c r="A3" s="42" t="s">
        <v>168</v>
      </c>
      <c r="B3" s="21">
        <v>45293.0</v>
      </c>
      <c r="C3" s="20" t="s">
        <v>169</v>
      </c>
      <c r="D3" s="21">
        <v>45291.0</v>
      </c>
      <c r="E3" s="21">
        <v>45297.0</v>
      </c>
      <c r="F3" s="20" t="s">
        <v>164</v>
      </c>
      <c r="G3" s="42" t="s">
        <v>165</v>
      </c>
      <c r="H3" s="20" t="s">
        <v>166</v>
      </c>
      <c r="I3" s="9" t="s">
        <v>167</v>
      </c>
      <c r="J3" s="43">
        <v>2024.0</v>
      </c>
      <c r="K3" s="42" t="s">
        <v>165</v>
      </c>
    </row>
    <row r="4" ht="12.75" customHeight="1">
      <c r="A4" s="42" t="s">
        <v>170</v>
      </c>
      <c r="B4" s="21">
        <v>45294.0</v>
      </c>
      <c r="C4" s="20" t="s">
        <v>171</v>
      </c>
      <c r="D4" s="21">
        <v>45291.0</v>
      </c>
      <c r="E4" s="21">
        <v>45297.0</v>
      </c>
      <c r="F4" s="20" t="s">
        <v>164</v>
      </c>
      <c r="G4" s="42" t="s">
        <v>165</v>
      </c>
      <c r="H4" s="20" t="s">
        <v>166</v>
      </c>
      <c r="I4" s="9" t="s">
        <v>167</v>
      </c>
      <c r="J4" s="43">
        <v>2024.0</v>
      </c>
      <c r="K4" s="42" t="s">
        <v>165</v>
      </c>
    </row>
    <row r="5" ht="12.75" customHeight="1">
      <c r="A5" s="42" t="s">
        <v>172</v>
      </c>
      <c r="B5" s="21">
        <v>45295.0</v>
      </c>
      <c r="C5" s="20" t="s">
        <v>173</v>
      </c>
      <c r="D5" s="21">
        <v>45291.0</v>
      </c>
      <c r="E5" s="21">
        <v>45297.0</v>
      </c>
      <c r="F5" s="20" t="s">
        <v>164</v>
      </c>
      <c r="G5" s="42" t="s">
        <v>165</v>
      </c>
      <c r="H5" s="20" t="s">
        <v>166</v>
      </c>
      <c r="I5" s="9" t="s">
        <v>167</v>
      </c>
      <c r="J5" s="43">
        <v>2024.0</v>
      </c>
      <c r="K5" s="42" t="s">
        <v>165</v>
      </c>
    </row>
    <row r="6" ht="12.75" customHeight="1">
      <c r="A6" s="42" t="s">
        <v>174</v>
      </c>
      <c r="B6" s="21">
        <v>45296.0</v>
      </c>
      <c r="C6" s="20" t="s">
        <v>175</v>
      </c>
      <c r="D6" s="21">
        <v>45291.0</v>
      </c>
      <c r="E6" s="21">
        <v>45297.0</v>
      </c>
      <c r="F6" s="20" t="s">
        <v>164</v>
      </c>
      <c r="G6" s="42" t="s">
        <v>165</v>
      </c>
      <c r="H6" s="20" t="s">
        <v>166</v>
      </c>
      <c r="I6" s="9" t="s">
        <v>167</v>
      </c>
      <c r="J6" s="43">
        <v>2024.0</v>
      </c>
      <c r="K6" s="42" t="s">
        <v>165</v>
      </c>
    </row>
    <row r="7" ht="12.75" customHeight="1">
      <c r="A7" s="42" t="s">
        <v>176</v>
      </c>
      <c r="B7" s="21">
        <v>45297.0</v>
      </c>
      <c r="C7" s="20" t="s">
        <v>177</v>
      </c>
      <c r="D7" s="21">
        <v>45291.0</v>
      </c>
      <c r="E7" s="21">
        <v>45297.0</v>
      </c>
      <c r="F7" s="20" t="s">
        <v>164</v>
      </c>
      <c r="G7" s="42" t="s">
        <v>165</v>
      </c>
      <c r="H7" s="20" t="s">
        <v>166</v>
      </c>
      <c r="I7" s="9" t="s">
        <v>167</v>
      </c>
      <c r="J7" s="43">
        <v>2024.0</v>
      </c>
      <c r="K7" s="42" t="s">
        <v>165</v>
      </c>
    </row>
    <row r="8" ht="12.75" customHeight="1">
      <c r="A8" s="42" t="s">
        <v>178</v>
      </c>
      <c r="B8" s="21">
        <v>45298.0</v>
      </c>
      <c r="C8" s="20" t="s">
        <v>179</v>
      </c>
      <c r="D8" s="21">
        <v>45298.0</v>
      </c>
      <c r="E8" s="21">
        <v>45304.0</v>
      </c>
      <c r="F8" s="20" t="s">
        <v>180</v>
      </c>
      <c r="G8" s="42" t="s">
        <v>165</v>
      </c>
      <c r="H8" s="20" t="s">
        <v>166</v>
      </c>
      <c r="I8" s="9" t="s">
        <v>167</v>
      </c>
      <c r="J8" s="43">
        <v>2024.0</v>
      </c>
      <c r="K8" s="42" t="s">
        <v>181</v>
      </c>
    </row>
    <row r="9" ht="12.75" customHeight="1">
      <c r="A9" s="42" t="s">
        <v>182</v>
      </c>
      <c r="B9" s="21">
        <v>45299.0</v>
      </c>
      <c r="C9" s="20" t="s">
        <v>163</v>
      </c>
      <c r="D9" s="21">
        <v>45298.0</v>
      </c>
      <c r="E9" s="21">
        <v>45304.0</v>
      </c>
      <c r="F9" s="20" t="s">
        <v>180</v>
      </c>
      <c r="G9" s="42" t="s">
        <v>165</v>
      </c>
      <c r="H9" s="20" t="s">
        <v>166</v>
      </c>
      <c r="I9" s="9" t="s">
        <v>167</v>
      </c>
      <c r="J9" s="43">
        <v>2024.0</v>
      </c>
      <c r="K9" s="42" t="s">
        <v>181</v>
      </c>
    </row>
    <row r="10" ht="12.75" customHeight="1">
      <c r="A10" s="42" t="s">
        <v>183</v>
      </c>
      <c r="B10" s="21">
        <v>45300.0</v>
      </c>
      <c r="C10" s="20" t="s">
        <v>169</v>
      </c>
      <c r="D10" s="21">
        <v>45298.0</v>
      </c>
      <c r="E10" s="21">
        <v>45304.0</v>
      </c>
      <c r="F10" s="20" t="s">
        <v>180</v>
      </c>
      <c r="G10" s="42" t="s">
        <v>165</v>
      </c>
      <c r="H10" s="20" t="s">
        <v>166</v>
      </c>
      <c r="I10" s="9" t="s">
        <v>167</v>
      </c>
      <c r="J10" s="43">
        <v>2024.0</v>
      </c>
      <c r="K10" s="42" t="s">
        <v>181</v>
      </c>
    </row>
    <row r="11" ht="12.75" customHeight="1">
      <c r="A11" s="42" t="s">
        <v>184</v>
      </c>
      <c r="B11" s="21">
        <v>45301.0</v>
      </c>
      <c r="C11" s="20" t="s">
        <v>171</v>
      </c>
      <c r="D11" s="21">
        <v>45298.0</v>
      </c>
      <c r="E11" s="21">
        <v>45304.0</v>
      </c>
      <c r="F11" s="20" t="s">
        <v>180</v>
      </c>
      <c r="G11" s="42" t="s">
        <v>165</v>
      </c>
      <c r="H11" s="20" t="s">
        <v>166</v>
      </c>
      <c r="I11" s="9" t="s">
        <v>167</v>
      </c>
      <c r="J11" s="43">
        <v>2024.0</v>
      </c>
      <c r="K11" s="42" t="s">
        <v>181</v>
      </c>
    </row>
    <row r="12" ht="12.75" customHeight="1">
      <c r="A12" s="42" t="s">
        <v>185</v>
      </c>
      <c r="B12" s="21">
        <v>45302.0</v>
      </c>
      <c r="C12" s="20" t="s">
        <v>173</v>
      </c>
      <c r="D12" s="21">
        <v>45298.0</v>
      </c>
      <c r="E12" s="21">
        <v>45304.0</v>
      </c>
      <c r="F12" s="20" t="s">
        <v>180</v>
      </c>
      <c r="G12" s="42" t="s">
        <v>165</v>
      </c>
      <c r="H12" s="20" t="s">
        <v>166</v>
      </c>
      <c r="I12" s="9" t="s">
        <v>167</v>
      </c>
      <c r="J12" s="43">
        <v>2024.0</v>
      </c>
      <c r="K12" s="42" t="s">
        <v>181</v>
      </c>
    </row>
    <row r="13" ht="12.75" customHeight="1">
      <c r="A13" s="42" t="s">
        <v>186</v>
      </c>
      <c r="B13" s="21">
        <v>45303.0</v>
      </c>
      <c r="C13" s="20" t="s">
        <v>175</v>
      </c>
      <c r="D13" s="21">
        <v>45298.0</v>
      </c>
      <c r="E13" s="21">
        <v>45304.0</v>
      </c>
      <c r="F13" s="20" t="s">
        <v>180</v>
      </c>
      <c r="G13" s="42" t="s">
        <v>165</v>
      </c>
      <c r="H13" s="20" t="s">
        <v>166</v>
      </c>
      <c r="I13" s="9" t="s">
        <v>167</v>
      </c>
      <c r="J13" s="43">
        <v>2024.0</v>
      </c>
      <c r="K13" s="42" t="s">
        <v>181</v>
      </c>
    </row>
    <row r="14" ht="12.75" customHeight="1">
      <c r="A14" s="42" t="s">
        <v>187</v>
      </c>
      <c r="B14" s="21">
        <v>45304.0</v>
      </c>
      <c r="C14" s="20" t="s">
        <v>177</v>
      </c>
      <c r="D14" s="21">
        <v>45298.0</v>
      </c>
      <c r="E14" s="21">
        <v>45304.0</v>
      </c>
      <c r="F14" s="20" t="s">
        <v>180</v>
      </c>
      <c r="G14" s="42" t="s">
        <v>165</v>
      </c>
      <c r="H14" s="20" t="s">
        <v>166</v>
      </c>
      <c r="I14" s="9" t="s">
        <v>167</v>
      </c>
      <c r="J14" s="43">
        <v>2024.0</v>
      </c>
      <c r="K14" s="42" t="s">
        <v>181</v>
      </c>
    </row>
    <row r="15" ht="12.75" customHeight="1">
      <c r="A15" s="42" t="s">
        <v>188</v>
      </c>
      <c r="B15" s="21">
        <v>45305.0</v>
      </c>
      <c r="C15" s="20" t="s">
        <v>179</v>
      </c>
      <c r="D15" s="21">
        <v>45305.0</v>
      </c>
      <c r="E15" s="21">
        <v>45311.0</v>
      </c>
      <c r="F15" s="20" t="s">
        <v>189</v>
      </c>
      <c r="G15" s="42" t="s">
        <v>165</v>
      </c>
      <c r="H15" s="20" t="s">
        <v>166</v>
      </c>
      <c r="I15" s="9" t="s">
        <v>167</v>
      </c>
      <c r="J15" s="43">
        <v>2024.0</v>
      </c>
      <c r="K15" s="42" t="s">
        <v>190</v>
      </c>
    </row>
    <row r="16" ht="12.75" customHeight="1">
      <c r="A16" s="42" t="s">
        <v>191</v>
      </c>
      <c r="B16" s="21">
        <v>45306.0</v>
      </c>
      <c r="C16" s="20" t="s">
        <v>163</v>
      </c>
      <c r="D16" s="21">
        <v>45305.0</v>
      </c>
      <c r="E16" s="21">
        <v>45311.0</v>
      </c>
      <c r="F16" s="20" t="s">
        <v>189</v>
      </c>
      <c r="G16" s="42" t="s">
        <v>165</v>
      </c>
      <c r="H16" s="20" t="s">
        <v>166</v>
      </c>
      <c r="I16" s="9" t="s">
        <v>167</v>
      </c>
      <c r="J16" s="43">
        <v>2024.0</v>
      </c>
      <c r="K16" s="42" t="s">
        <v>190</v>
      </c>
    </row>
    <row r="17" ht="12.75" customHeight="1">
      <c r="A17" s="42" t="s">
        <v>192</v>
      </c>
      <c r="B17" s="21">
        <v>45307.0</v>
      </c>
      <c r="C17" s="20" t="s">
        <v>169</v>
      </c>
      <c r="D17" s="21">
        <v>45305.0</v>
      </c>
      <c r="E17" s="21">
        <v>45311.0</v>
      </c>
      <c r="F17" s="20" t="s">
        <v>189</v>
      </c>
      <c r="G17" s="42" t="s">
        <v>165</v>
      </c>
      <c r="H17" s="20" t="s">
        <v>166</v>
      </c>
      <c r="I17" s="9" t="s">
        <v>167</v>
      </c>
      <c r="J17" s="43">
        <v>2024.0</v>
      </c>
      <c r="K17" s="42" t="s">
        <v>190</v>
      </c>
    </row>
    <row r="18" ht="12.75" customHeight="1">
      <c r="A18" s="42" t="s">
        <v>193</v>
      </c>
      <c r="B18" s="21">
        <v>45308.0</v>
      </c>
      <c r="C18" s="20" t="s">
        <v>171</v>
      </c>
      <c r="D18" s="21">
        <v>45305.0</v>
      </c>
      <c r="E18" s="21">
        <v>45311.0</v>
      </c>
      <c r="F18" s="20" t="s">
        <v>189</v>
      </c>
      <c r="G18" s="42" t="s">
        <v>165</v>
      </c>
      <c r="H18" s="20" t="s">
        <v>166</v>
      </c>
      <c r="I18" s="9" t="s">
        <v>167</v>
      </c>
      <c r="J18" s="43">
        <v>2024.0</v>
      </c>
      <c r="K18" s="42" t="s">
        <v>190</v>
      </c>
    </row>
    <row r="19" ht="12.75" customHeight="1">
      <c r="A19" s="42" t="s">
        <v>194</v>
      </c>
      <c r="B19" s="21">
        <v>45309.0</v>
      </c>
      <c r="C19" s="20" t="s">
        <v>173</v>
      </c>
      <c r="D19" s="21">
        <v>45305.0</v>
      </c>
      <c r="E19" s="21">
        <v>45311.0</v>
      </c>
      <c r="F19" s="20" t="s">
        <v>189</v>
      </c>
      <c r="G19" s="42" t="s">
        <v>165</v>
      </c>
      <c r="H19" s="20" t="s">
        <v>166</v>
      </c>
      <c r="I19" s="9" t="s">
        <v>167</v>
      </c>
      <c r="J19" s="43">
        <v>2024.0</v>
      </c>
      <c r="K19" s="42" t="s">
        <v>190</v>
      </c>
    </row>
    <row r="20" ht="12.75" customHeight="1">
      <c r="A20" s="42" t="s">
        <v>195</v>
      </c>
      <c r="B20" s="21">
        <v>45310.0</v>
      </c>
      <c r="C20" s="20" t="s">
        <v>175</v>
      </c>
      <c r="D20" s="21">
        <v>45305.0</v>
      </c>
      <c r="E20" s="21">
        <v>45311.0</v>
      </c>
      <c r="F20" s="20" t="s">
        <v>189</v>
      </c>
      <c r="G20" s="42" t="s">
        <v>165</v>
      </c>
      <c r="H20" s="20" t="s">
        <v>166</v>
      </c>
      <c r="I20" s="9" t="s">
        <v>167</v>
      </c>
      <c r="J20" s="43">
        <v>2024.0</v>
      </c>
      <c r="K20" s="42" t="s">
        <v>190</v>
      </c>
    </row>
    <row r="21" ht="12.75" customHeight="1">
      <c r="A21" s="42" t="s">
        <v>196</v>
      </c>
      <c r="B21" s="21">
        <v>45311.0</v>
      </c>
      <c r="C21" s="20" t="s">
        <v>177</v>
      </c>
      <c r="D21" s="21">
        <v>45305.0</v>
      </c>
      <c r="E21" s="21">
        <v>45311.0</v>
      </c>
      <c r="F21" s="20" t="s">
        <v>189</v>
      </c>
      <c r="G21" s="42" t="s">
        <v>165</v>
      </c>
      <c r="H21" s="20" t="s">
        <v>166</v>
      </c>
      <c r="I21" s="9" t="s">
        <v>167</v>
      </c>
      <c r="J21" s="43">
        <v>2024.0</v>
      </c>
      <c r="K21" s="42" t="s">
        <v>190</v>
      </c>
    </row>
    <row r="22" ht="12.75" customHeight="1">
      <c r="A22" s="42" t="s">
        <v>197</v>
      </c>
      <c r="B22" s="21">
        <v>45312.0</v>
      </c>
      <c r="C22" s="20" t="s">
        <v>179</v>
      </c>
      <c r="D22" s="21">
        <v>45312.0</v>
      </c>
      <c r="E22" s="21">
        <v>45318.0</v>
      </c>
      <c r="F22" s="20" t="s">
        <v>198</v>
      </c>
      <c r="G22" s="42" t="s">
        <v>165</v>
      </c>
      <c r="H22" s="20" t="s">
        <v>166</v>
      </c>
      <c r="I22" s="9" t="s">
        <v>167</v>
      </c>
      <c r="J22" s="43">
        <v>2024.0</v>
      </c>
      <c r="K22" s="42" t="s">
        <v>199</v>
      </c>
    </row>
    <row r="23" ht="12.75" customHeight="1">
      <c r="A23" s="42" t="s">
        <v>200</v>
      </c>
      <c r="B23" s="21">
        <v>45313.0</v>
      </c>
      <c r="C23" s="20" t="s">
        <v>163</v>
      </c>
      <c r="D23" s="21">
        <v>45312.0</v>
      </c>
      <c r="E23" s="21">
        <v>45318.0</v>
      </c>
      <c r="F23" s="20" t="s">
        <v>198</v>
      </c>
      <c r="G23" s="42" t="s">
        <v>165</v>
      </c>
      <c r="H23" s="20" t="s">
        <v>166</v>
      </c>
      <c r="I23" s="9" t="s">
        <v>167</v>
      </c>
      <c r="J23" s="43">
        <v>2024.0</v>
      </c>
      <c r="K23" s="42" t="s">
        <v>199</v>
      </c>
    </row>
    <row r="24" ht="12.75" customHeight="1">
      <c r="A24" s="42" t="s">
        <v>201</v>
      </c>
      <c r="B24" s="21">
        <v>45314.0</v>
      </c>
      <c r="C24" s="20" t="s">
        <v>169</v>
      </c>
      <c r="D24" s="21">
        <v>45312.0</v>
      </c>
      <c r="E24" s="21">
        <v>45318.0</v>
      </c>
      <c r="F24" s="20" t="s">
        <v>198</v>
      </c>
      <c r="G24" s="42" t="s">
        <v>165</v>
      </c>
      <c r="H24" s="20" t="s">
        <v>166</v>
      </c>
      <c r="I24" s="9" t="s">
        <v>167</v>
      </c>
      <c r="J24" s="43">
        <v>2024.0</v>
      </c>
      <c r="K24" s="42" t="s">
        <v>199</v>
      </c>
    </row>
    <row r="25" ht="12.75" customHeight="1">
      <c r="A25" s="42" t="s">
        <v>202</v>
      </c>
      <c r="B25" s="21">
        <v>45315.0</v>
      </c>
      <c r="C25" s="20" t="s">
        <v>171</v>
      </c>
      <c r="D25" s="21">
        <v>45312.0</v>
      </c>
      <c r="E25" s="21">
        <v>45318.0</v>
      </c>
      <c r="F25" s="20" t="s">
        <v>198</v>
      </c>
      <c r="G25" s="42" t="s">
        <v>165</v>
      </c>
      <c r="H25" s="20" t="s">
        <v>166</v>
      </c>
      <c r="I25" s="9" t="s">
        <v>167</v>
      </c>
      <c r="J25" s="43">
        <v>2024.0</v>
      </c>
      <c r="K25" s="42" t="s">
        <v>199</v>
      </c>
    </row>
    <row r="26" ht="12.75" customHeight="1">
      <c r="A26" s="42" t="s">
        <v>203</v>
      </c>
      <c r="B26" s="21">
        <v>45316.0</v>
      </c>
      <c r="C26" s="20" t="s">
        <v>173</v>
      </c>
      <c r="D26" s="21">
        <v>45312.0</v>
      </c>
      <c r="E26" s="21">
        <v>45318.0</v>
      </c>
      <c r="F26" s="20" t="s">
        <v>198</v>
      </c>
      <c r="G26" s="42" t="s">
        <v>165</v>
      </c>
      <c r="H26" s="20" t="s">
        <v>166</v>
      </c>
      <c r="I26" s="9" t="s">
        <v>167</v>
      </c>
      <c r="J26" s="43">
        <v>2024.0</v>
      </c>
      <c r="K26" s="42" t="s">
        <v>199</v>
      </c>
    </row>
    <row r="27" ht="12.75" customHeight="1">
      <c r="A27" s="42" t="s">
        <v>204</v>
      </c>
      <c r="B27" s="21">
        <v>45317.0</v>
      </c>
      <c r="C27" s="20" t="s">
        <v>175</v>
      </c>
      <c r="D27" s="21">
        <v>45312.0</v>
      </c>
      <c r="E27" s="21">
        <v>45318.0</v>
      </c>
      <c r="F27" s="20" t="s">
        <v>198</v>
      </c>
      <c r="G27" s="42" t="s">
        <v>165</v>
      </c>
      <c r="H27" s="20" t="s">
        <v>166</v>
      </c>
      <c r="I27" s="9" t="s">
        <v>167</v>
      </c>
      <c r="J27" s="43">
        <v>2024.0</v>
      </c>
      <c r="K27" s="42" t="s">
        <v>199</v>
      </c>
    </row>
    <row r="28" ht="12.75" customHeight="1">
      <c r="A28" s="42" t="s">
        <v>205</v>
      </c>
      <c r="B28" s="21">
        <v>45318.0</v>
      </c>
      <c r="C28" s="20" t="s">
        <v>177</v>
      </c>
      <c r="D28" s="21">
        <v>45312.0</v>
      </c>
      <c r="E28" s="21">
        <v>45318.0</v>
      </c>
      <c r="F28" s="20" t="s">
        <v>198</v>
      </c>
      <c r="G28" s="42" t="s">
        <v>165</v>
      </c>
      <c r="H28" s="20" t="s">
        <v>166</v>
      </c>
      <c r="I28" s="9" t="s">
        <v>167</v>
      </c>
      <c r="J28" s="43">
        <v>2024.0</v>
      </c>
      <c r="K28" s="42" t="s">
        <v>199</v>
      </c>
    </row>
    <row r="29" ht="12.75" customHeight="1">
      <c r="A29" s="42" t="s">
        <v>206</v>
      </c>
      <c r="B29" s="21">
        <v>45319.0</v>
      </c>
      <c r="C29" s="20" t="s">
        <v>179</v>
      </c>
      <c r="D29" s="21">
        <v>45319.0</v>
      </c>
      <c r="E29" s="21">
        <v>45325.0</v>
      </c>
      <c r="F29" s="20" t="s">
        <v>207</v>
      </c>
      <c r="G29" s="42" t="s">
        <v>165</v>
      </c>
      <c r="H29" s="20" t="s">
        <v>166</v>
      </c>
      <c r="I29" s="9" t="s">
        <v>167</v>
      </c>
      <c r="J29" s="43">
        <v>2024.0</v>
      </c>
      <c r="K29" s="42" t="s">
        <v>208</v>
      </c>
    </row>
    <row r="30" ht="12.75" customHeight="1">
      <c r="A30" s="42" t="s">
        <v>209</v>
      </c>
      <c r="B30" s="21">
        <v>45320.0</v>
      </c>
      <c r="C30" s="20" t="s">
        <v>163</v>
      </c>
      <c r="D30" s="21">
        <v>45319.0</v>
      </c>
      <c r="E30" s="21">
        <v>45325.0</v>
      </c>
      <c r="F30" s="20" t="s">
        <v>207</v>
      </c>
      <c r="G30" s="42" t="s">
        <v>165</v>
      </c>
      <c r="H30" s="20" t="s">
        <v>166</v>
      </c>
      <c r="I30" s="9" t="s">
        <v>167</v>
      </c>
      <c r="J30" s="43">
        <v>2024.0</v>
      </c>
      <c r="K30" s="42" t="s">
        <v>208</v>
      </c>
    </row>
    <row r="31" ht="12.75" customHeight="1">
      <c r="A31" s="42" t="s">
        <v>210</v>
      </c>
      <c r="B31" s="21">
        <v>45321.0</v>
      </c>
      <c r="C31" s="20" t="s">
        <v>169</v>
      </c>
      <c r="D31" s="21">
        <v>45319.0</v>
      </c>
      <c r="E31" s="21">
        <v>45325.0</v>
      </c>
      <c r="F31" s="20" t="s">
        <v>207</v>
      </c>
      <c r="G31" s="42" t="s">
        <v>165</v>
      </c>
      <c r="H31" s="20" t="s">
        <v>166</v>
      </c>
      <c r="I31" s="9" t="s">
        <v>167</v>
      </c>
      <c r="J31" s="43">
        <v>2024.0</v>
      </c>
      <c r="K31" s="42" t="s">
        <v>208</v>
      </c>
    </row>
    <row r="32" ht="12.75" customHeight="1">
      <c r="A32" s="42" t="s">
        <v>211</v>
      </c>
      <c r="B32" s="21">
        <v>45322.0</v>
      </c>
      <c r="C32" s="20" t="s">
        <v>171</v>
      </c>
      <c r="D32" s="21">
        <v>45319.0</v>
      </c>
      <c r="E32" s="21">
        <v>45325.0</v>
      </c>
      <c r="F32" s="20" t="s">
        <v>207</v>
      </c>
      <c r="G32" s="42" t="s">
        <v>165</v>
      </c>
      <c r="H32" s="20" t="s">
        <v>166</v>
      </c>
      <c r="I32" s="9" t="s">
        <v>167</v>
      </c>
      <c r="J32" s="43">
        <v>2024.0</v>
      </c>
      <c r="K32" s="42" t="s">
        <v>208</v>
      </c>
    </row>
    <row r="33" ht="12.75" customHeight="1">
      <c r="A33" s="42" t="s">
        <v>212</v>
      </c>
      <c r="B33" s="21">
        <v>45323.0</v>
      </c>
      <c r="C33" s="20" t="s">
        <v>173</v>
      </c>
      <c r="D33" s="21">
        <v>45319.0</v>
      </c>
      <c r="E33" s="21">
        <v>45325.0</v>
      </c>
      <c r="F33" s="20" t="s">
        <v>207</v>
      </c>
      <c r="G33" s="42" t="s">
        <v>181</v>
      </c>
      <c r="H33" s="20" t="s">
        <v>213</v>
      </c>
      <c r="I33" s="9" t="s">
        <v>167</v>
      </c>
      <c r="J33" s="43">
        <v>2024.0</v>
      </c>
      <c r="K33" s="42" t="s">
        <v>208</v>
      </c>
    </row>
    <row r="34" ht="12.75" customHeight="1">
      <c r="A34" s="42" t="s">
        <v>214</v>
      </c>
      <c r="B34" s="21">
        <v>45324.0</v>
      </c>
      <c r="C34" s="20" t="s">
        <v>175</v>
      </c>
      <c r="D34" s="21">
        <v>45319.0</v>
      </c>
      <c r="E34" s="21">
        <v>45325.0</v>
      </c>
      <c r="F34" s="20" t="s">
        <v>207</v>
      </c>
      <c r="G34" s="42" t="s">
        <v>181</v>
      </c>
      <c r="H34" s="20" t="s">
        <v>213</v>
      </c>
      <c r="I34" s="9" t="s">
        <v>167</v>
      </c>
      <c r="J34" s="43">
        <v>2024.0</v>
      </c>
      <c r="K34" s="42" t="s">
        <v>208</v>
      </c>
    </row>
    <row r="35" ht="12.75" customHeight="1">
      <c r="A35" s="42" t="s">
        <v>215</v>
      </c>
      <c r="B35" s="21">
        <v>45325.0</v>
      </c>
      <c r="C35" s="20" t="s">
        <v>177</v>
      </c>
      <c r="D35" s="21">
        <v>45319.0</v>
      </c>
      <c r="E35" s="21">
        <v>45325.0</v>
      </c>
      <c r="F35" s="20" t="s">
        <v>207</v>
      </c>
      <c r="G35" s="42" t="s">
        <v>181</v>
      </c>
      <c r="H35" s="20" t="s">
        <v>213</v>
      </c>
      <c r="I35" s="9" t="s">
        <v>167</v>
      </c>
      <c r="J35" s="43">
        <v>2024.0</v>
      </c>
      <c r="K35" s="42" t="s">
        <v>208</v>
      </c>
    </row>
    <row r="36" ht="12.75" customHeight="1">
      <c r="A36" s="42" t="s">
        <v>216</v>
      </c>
      <c r="B36" s="21">
        <v>45326.0</v>
      </c>
      <c r="C36" s="20" t="s">
        <v>179</v>
      </c>
      <c r="D36" s="21">
        <v>45326.0</v>
      </c>
      <c r="E36" s="21">
        <v>45332.0</v>
      </c>
      <c r="F36" s="20" t="s">
        <v>217</v>
      </c>
      <c r="G36" s="42" t="s">
        <v>181</v>
      </c>
      <c r="H36" s="20" t="s">
        <v>213</v>
      </c>
      <c r="I36" s="9" t="s">
        <v>167</v>
      </c>
      <c r="J36" s="43">
        <v>2024.0</v>
      </c>
      <c r="K36" s="42" t="s">
        <v>218</v>
      </c>
    </row>
    <row r="37" ht="12.75" customHeight="1">
      <c r="A37" s="42" t="s">
        <v>219</v>
      </c>
      <c r="B37" s="21">
        <v>45327.0</v>
      </c>
      <c r="C37" s="20" t="s">
        <v>163</v>
      </c>
      <c r="D37" s="21">
        <v>45326.0</v>
      </c>
      <c r="E37" s="21">
        <v>45332.0</v>
      </c>
      <c r="F37" s="20" t="s">
        <v>217</v>
      </c>
      <c r="G37" s="42" t="s">
        <v>181</v>
      </c>
      <c r="H37" s="20" t="s">
        <v>213</v>
      </c>
      <c r="I37" s="9" t="s">
        <v>167</v>
      </c>
      <c r="J37" s="43">
        <v>2024.0</v>
      </c>
      <c r="K37" s="42" t="s">
        <v>218</v>
      </c>
    </row>
    <row r="38" ht="12.75" customHeight="1">
      <c r="A38" s="42" t="s">
        <v>220</v>
      </c>
      <c r="B38" s="21">
        <v>45328.0</v>
      </c>
      <c r="C38" s="20" t="s">
        <v>169</v>
      </c>
      <c r="D38" s="21">
        <v>45326.0</v>
      </c>
      <c r="E38" s="21">
        <v>45332.0</v>
      </c>
      <c r="F38" s="20" t="s">
        <v>217</v>
      </c>
      <c r="G38" s="42" t="s">
        <v>181</v>
      </c>
      <c r="H38" s="20" t="s">
        <v>213</v>
      </c>
      <c r="I38" s="9" t="s">
        <v>167</v>
      </c>
      <c r="J38" s="43">
        <v>2024.0</v>
      </c>
      <c r="K38" s="42" t="s">
        <v>218</v>
      </c>
    </row>
    <row r="39" ht="12.75" customHeight="1">
      <c r="A39" s="42" t="s">
        <v>221</v>
      </c>
      <c r="B39" s="21">
        <v>45329.0</v>
      </c>
      <c r="C39" s="20" t="s">
        <v>171</v>
      </c>
      <c r="D39" s="21">
        <v>45326.0</v>
      </c>
      <c r="E39" s="21">
        <v>45332.0</v>
      </c>
      <c r="F39" s="20" t="s">
        <v>217</v>
      </c>
      <c r="G39" s="42" t="s">
        <v>181</v>
      </c>
      <c r="H39" s="20" t="s">
        <v>213</v>
      </c>
      <c r="I39" s="9" t="s">
        <v>167</v>
      </c>
      <c r="J39" s="43">
        <v>2024.0</v>
      </c>
      <c r="K39" s="42" t="s">
        <v>218</v>
      </c>
    </row>
    <row r="40" ht="12.75" customHeight="1">
      <c r="A40" s="42" t="s">
        <v>222</v>
      </c>
      <c r="B40" s="21">
        <v>45330.0</v>
      </c>
      <c r="C40" s="20" t="s">
        <v>173</v>
      </c>
      <c r="D40" s="21">
        <v>45326.0</v>
      </c>
      <c r="E40" s="21">
        <v>45332.0</v>
      </c>
      <c r="F40" s="20" t="s">
        <v>217</v>
      </c>
      <c r="G40" s="42" t="s">
        <v>181</v>
      </c>
      <c r="H40" s="20" t="s">
        <v>213</v>
      </c>
      <c r="I40" s="9" t="s">
        <v>167</v>
      </c>
      <c r="J40" s="43">
        <v>2024.0</v>
      </c>
      <c r="K40" s="42" t="s">
        <v>218</v>
      </c>
    </row>
    <row r="41" ht="12.75" customHeight="1">
      <c r="A41" s="42" t="s">
        <v>223</v>
      </c>
      <c r="B41" s="21">
        <v>45331.0</v>
      </c>
      <c r="C41" s="20" t="s">
        <v>175</v>
      </c>
      <c r="D41" s="21">
        <v>45326.0</v>
      </c>
      <c r="E41" s="21">
        <v>45332.0</v>
      </c>
      <c r="F41" s="20" t="s">
        <v>217</v>
      </c>
      <c r="G41" s="42" t="s">
        <v>181</v>
      </c>
      <c r="H41" s="20" t="s">
        <v>213</v>
      </c>
      <c r="I41" s="9" t="s">
        <v>167</v>
      </c>
      <c r="J41" s="43">
        <v>2024.0</v>
      </c>
      <c r="K41" s="42" t="s">
        <v>218</v>
      </c>
    </row>
    <row r="42" ht="12.75" customHeight="1">
      <c r="A42" s="42" t="s">
        <v>224</v>
      </c>
      <c r="B42" s="21">
        <v>45332.0</v>
      </c>
      <c r="C42" s="20" t="s">
        <v>177</v>
      </c>
      <c r="D42" s="21">
        <v>45326.0</v>
      </c>
      <c r="E42" s="21">
        <v>45332.0</v>
      </c>
      <c r="F42" s="20" t="s">
        <v>217</v>
      </c>
      <c r="G42" s="42" t="s">
        <v>181</v>
      </c>
      <c r="H42" s="20" t="s">
        <v>213</v>
      </c>
      <c r="I42" s="9" t="s">
        <v>167</v>
      </c>
      <c r="J42" s="43">
        <v>2024.0</v>
      </c>
      <c r="K42" s="42" t="s">
        <v>218</v>
      </c>
    </row>
    <row r="43" ht="12.75" customHeight="1">
      <c r="A43" s="42" t="s">
        <v>225</v>
      </c>
      <c r="B43" s="21">
        <v>45333.0</v>
      </c>
      <c r="C43" s="20" t="s">
        <v>179</v>
      </c>
      <c r="D43" s="21">
        <v>45333.0</v>
      </c>
      <c r="E43" s="21">
        <v>45339.0</v>
      </c>
      <c r="F43" s="20" t="s">
        <v>226</v>
      </c>
      <c r="G43" s="42" t="s">
        <v>181</v>
      </c>
      <c r="H43" s="20" t="s">
        <v>213</v>
      </c>
      <c r="I43" s="9" t="s">
        <v>167</v>
      </c>
      <c r="J43" s="43">
        <v>2024.0</v>
      </c>
      <c r="K43" s="42" t="s">
        <v>227</v>
      </c>
    </row>
    <row r="44" ht="12.75" customHeight="1">
      <c r="A44" s="42" t="s">
        <v>228</v>
      </c>
      <c r="B44" s="21">
        <v>45334.0</v>
      </c>
      <c r="C44" s="20" t="s">
        <v>163</v>
      </c>
      <c r="D44" s="21">
        <v>45333.0</v>
      </c>
      <c r="E44" s="21">
        <v>45339.0</v>
      </c>
      <c r="F44" s="20" t="s">
        <v>226</v>
      </c>
      <c r="G44" s="42" t="s">
        <v>181</v>
      </c>
      <c r="H44" s="20" t="s">
        <v>213</v>
      </c>
      <c r="I44" s="9" t="s">
        <v>167</v>
      </c>
      <c r="J44" s="43">
        <v>2024.0</v>
      </c>
      <c r="K44" s="42" t="s">
        <v>227</v>
      </c>
    </row>
    <row r="45" ht="12.75" customHeight="1">
      <c r="A45" s="42" t="s">
        <v>229</v>
      </c>
      <c r="B45" s="21">
        <v>45335.0</v>
      </c>
      <c r="C45" s="20" t="s">
        <v>169</v>
      </c>
      <c r="D45" s="21">
        <v>45333.0</v>
      </c>
      <c r="E45" s="21">
        <v>45339.0</v>
      </c>
      <c r="F45" s="20" t="s">
        <v>226</v>
      </c>
      <c r="G45" s="42" t="s">
        <v>181</v>
      </c>
      <c r="H45" s="20" t="s">
        <v>213</v>
      </c>
      <c r="I45" s="9" t="s">
        <v>167</v>
      </c>
      <c r="J45" s="43">
        <v>2024.0</v>
      </c>
      <c r="K45" s="42" t="s">
        <v>227</v>
      </c>
    </row>
    <row r="46" ht="12.75" customHeight="1">
      <c r="A46" s="42" t="s">
        <v>230</v>
      </c>
      <c r="B46" s="21">
        <v>45336.0</v>
      </c>
      <c r="C46" s="20" t="s">
        <v>171</v>
      </c>
      <c r="D46" s="21">
        <v>45333.0</v>
      </c>
      <c r="E46" s="21">
        <v>45339.0</v>
      </c>
      <c r="F46" s="20" t="s">
        <v>226</v>
      </c>
      <c r="G46" s="42" t="s">
        <v>181</v>
      </c>
      <c r="H46" s="20" t="s">
        <v>213</v>
      </c>
      <c r="I46" s="9" t="s">
        <v>167</v>
      </c>
      <c r="J46" s="43">
        <v>2024.0</v>
      </c>
      <c r="K46" s="42" t="s">
        <v>227</v>
      </c>
    </row>
    <row r="47" ht="12.75" customHeight="1">
      <c r="A47" s="42" t="s">
        <v>231</v>
      </c>
      <c r="B47" s="21">
        <v>45337.0</v>
      </c>
      <c r="C47" s="20" t="s">
        <v>173</v>
      </c>
      <c r="D47" s="21">
        <v>45333.0</v>
      </c>
      <c r="E47" s="21">
        <v>45339.0</v>
      </c>
      <c r="F47" s="20" t="s">
        <v>226</v>
      </c>
      <c r="G47" s="42" t="s">
        <v>181</v>
      </c>
      <c r="H47" s="20" t="s">
        <v>213</v>
      </c>
      <c r="I47" s="9" t="s">
        <v>167</v>
      </c>
      <c r="J47" s="43">
        <v>2024.0</v>
      </c>
      <c r="K47" s="42" t="s">
        <v>227</v>
      </c>
    </row>
    <row r="48" ht="12.75" customHeight="1">
      <c r="A48" s="42" t="s">
        <v>232</v>
      </c>
      <c r="B48" s="21">
        <v>45338.0</v>
      </c>
      <c r="C48" s="20" t="s">
        <v>175</v>
      </c>
      <c r="D48" s="21">
        <v>45333.0</v>
      </c>
      <c r="E48" s="21">
        <v>45339.0</v>
      </c>
      <c r="F48" s="20" t="s">
        <v>226</v>
      </c>
      <c r="G48" s="42" t="s">
        <v>181</v>
      </c>
      <c r="H48" s="20" t="s">
        <v>213</v>
      </c>
      <c r="I48" s="9" t="s">
        <v>167</v>
      </c>
      <c r="J48" s="43">
        <v>2024.0</v>
      </c>
      <c r="K48" s="42" t="s">
        <v>227</v>
      </c>
    </row>
    <row r="49" ht="12.75" customHeight="1">
      <c r="A49" s="42" t="s">
        <v>233</v>
      </c>
      <c r="B49" s="21">
        <v>45339.0</v>
      </c>
      <c r="C49" s="20" t="s">
        <v>177</v>
      </c>
      <c r="D49" s="21">
        <v>45333.0</v>
      </c>
      <c r="E49" s="21">
        <v>45339.0</v>
      </c>
      <c r="F49" s="20" t="s">
        <v>226</v>
      </c>
      <c r="G49" s="42" t="s">
        <v>181</v>
      </c>
      <c r="H49" s="20" t="s">
        <v>213</v>
      </c>
      <c r="I49" s="9" t="s">
        <v>167</v>
      </c>
      <c r="J49" s="43">
        <v>2024.0</v>
      </c>
      <c r="K49" s="42" t="s">
        <v>227</v>
      </c>
    </row>
    <row r="50" ht="12.75" customHeight="1">
      <c r="A50" s="42" t="s">
        <v>234</v>
      </c>
      <c r="B50" s="21">
        <v>45340.0</v>
      </c>
      <c r="C50" s="20" t="s">
        <v>179</v>
      </c>
      <c r="D50" s="21">
        <v>45340.0</v>
      </c>
      <c r="E50" s="21">
        <v>45346.0</v>
      </c>
      <c r="F50" s="20" t="s">
        <v>235</v>
      </c>
      <c r="G50" s="42" t="s">
        <v>181</v>
      </c>
      <c r="H50" s="20" t="s">
        <v>213</v>
      </c>
      <c r="I50" s="9" t="s">
        <v>167</v>
      </c>
      <c r="J50" s="43">
        <v>2024.0</v>
      </c>
      <c r="K50" s="42" t="s">
        <v>236</v>
      </c>
    </row>
    <row r="51" ht="12.75" customHeight="1">
      <c r="A51" s="42" t="s">
        <v>237</v>
      </c>
      <c r="B51" s="21">
        <v>45341.0</v>
      </c>
      <c r="C51" s="20" t="s">
        <v>163</v>
      </c>
      <c r="D51" s="21">
        <v>45340.0</v>
      </c>
      <c r="E51" s="21">
        <v>45346.0</v>
      </c>
      <c r="F51" s="20" t="s">
        <v>235</v>
      </c>
      <c r="G51" s="42" t="s">
        <v>181</v>
      </c>
      <c r="H51" s="20" t="s">
        <v>213</v>
      </c>
      <c r="I51" s="9" t="s">
        <v>167</v>
      </c>
      <c r="J51" s="43">
        <v>2024.0</v>
      </c>
      <c r="K51" s="42" t="s">
        <v>236</v>
      </c>
    </row>
    <row r="52" ht="12.75" customHeight="1">
      <c r="A52" s="42" t="s">
        <v>238</v>
      </c>
      <c r="B52" s="21">
        <v>45342.0</v>
      </c>
      <c r="C52" s="20" t="s">
        <v>169</v>
      </c>
      <c r="D52" s="21">
        <v>45340.0</v>
      </c>
      <c r="E52" s="21">
        <v>45346.0</v>
      </c>
      <c r="F52" s="20" t="s">
        <v>235</v>
      </c>
      <c r="G52" s="42" t="s">
        <v>181</v>
      </c>
      <c r="H52" s="20" t="s">
        <v>213</v>
      </c>
      <c r="I52" s="9" t="s">
        <v>167</v>
      </c>
      <c r="J52" s="43">
        <v>2024.0</v>
      </c>
      <c r="K52" s="42" t="s">
        <v>236</v>
      </c>
    </row>
    <row r="53" ht="12.75" customHeight="1">
      <c r="A53" s="42" t="s">
        <v>239</v>
      </c>
      <c r="B53" s="21">
        <v>45343.0</v>
      </c>
      <c r="C53" s="20" t="s">
        <v>171</v>
      </c>
      <c r="D53" s="21">
        <v>45340.0</v>
      </c>
      <c r="E53" s="21">
        <v>45346.0</v>
      </c>
      <c r="F53" s="20" t="s">
        <v>235</v>
      </c>
      <c r="G53" s="42" t="s">
        <v>181</v>
      </c>
      <c r="H53" s="20" t="s">
        <v>213</v>
      </c>
      <c r="I53" s="9" t="s">
        <v>167</v>
      </c>
      <c r="J53" s="43">
        <v>2024.0</v>
      </c>
      <c r="K53" s="42" t="s">
        <v>236</v>
      </c>
    </row>
    <row r="54" ht="12.75" customHeight="1">
      <c r="A54" s="42" t="s">
        <v>240</v>
      </c>
      <c r="B54" s="21">
        <v>45344.0</v>
      </c>
      <c r="C54" s="20" t="s">
        <v>173</v>
      </c>
      <c r="D54" s="21">
        <v>45340.0</v>
      </c>
      <c r="E54" s="21">
        <v>45346.0</v>
      </c>
      <c r="F54" s="20" t="s">
        <v>235</v>
      </c>
      <c r="G54" s="42" t="s">
        <v>181</v>
      </c>
      <c r="H54" s="20" t="s">
        <v>213</v>
      </c>
      <c r="I54" s="9" t="s">
        <v>167</v>
      </c>
      <c r="J54" s="43">
        <v>2024.0</v>
      </c>
      <c r="K54" s="42" t="s">
        <v>236</v>
      </c>
    </row>
    <row r="55" ht="12.75" customHeight="1">
      <c r="A55" s="42" t="s">
        <v>241</v>
      </c>
      <c r="B55" s="21">
        <v>45345.0</v>
      </c>
      <c r="C55" s="20" t="s">
        <v>175</v>
      </c>
      <c r="D55" s="21">
        <v>45340.0</v>
      </c>
      <c r="E55" s="21">
        <v>45346.0</v>
      </c>
      <c r="F55" s="20" t="s">
        <v>235</v>
      </c>
      <c r="G55" s="42" t="s">
        <v>181</v>
      </c>
      <c r="H55" s="20" t="s">
        <v>213</v>
      </c>
      <c r="I55" s="9" t="s">
        <v>167</v>
      </c>
      <c r="J55" s="43">
        <v>2024.0</v>
      </c>
      <c r="K55" s="42" t="s">
        <v>236</v>
      </c>
    </row>
    <row r="56" ht="12.75" customHeight="1">
      <c r="A56" s="42" t="s">
        <v>242</v>
      </c>
      <c r="B56" s="21">
        <v>45346.0</v>
      </c>
      <c r="C56" s="20" t="s">
        <v>177</v>
      </c>
      <c r="D56" s="21">
        <v>45340.0</v>
      </c>
      <c r="E56" s="21">
        <v>45346.0</v>
      </c>
      <c r="F56" s="20" t="s">
        <v>235</v>
      </c>
      <c r="G56" s="42" t="s">
        <v>181</v>
      </c>
      <c r="H56" s="20" t="s">
        <v>213</v>
      </c>
      <c r="I56" s="9" t="s">
        <v>167</v>
      </c>
      <c r="J56" s="43">
        <v>2024.0</v>
      </c>
      <c r="K56" s="42" t="s">
        <v>236</v>
      </c>
    </row>
    <row r="57" ht="12.75" customHeight="1">
      <c r="A57" s="42" t="s">
        <v>243</v>
      </c>
      <c r="B57" s="21">
        <v>45347.0</v>
      </c>
      <c r="C57" s="20" t="s">
        <v>179</v>
      </c>
      <c r="D57" s="21">
        <v>45347.0</v>
      </c>
      <c r="E57" s="21">
        <v>45353.0</v>
      </c>
      <c r="F57" s="20" t="s">
        <v>244</v>
      </c>
      <c r="G57" s="42" t="s">
        <v>181</v>
      </c>
      <c r="H57" s="20" t="s">
        <v>213</v>
      </c>
      <c r="I57" s="9" t="s">
        <v>167</v>
      </c>
      <c r="J57" s="43">
        <v>2024.0</v>
      </c>
      <c r="K57" s="42" t="s">
        <v>245</v>
      </c>
    </row>
    <row r="58" ht="12.75" customHeight="1">
      <c r="A58" s="42" t="s">
        <v>246</v>
      </c>
      <c r="B58" s="21">
        <v>45348.0</v>
      </c>
      <c r="C58" s="20" t="s">
        <v>163</v>
      </c>
      <c r="D58" s="21">
        <v>45347.0</v>
      </c>
      <c r="E58" s="21">
        <v>45353.0</v>
      </c>
      <c r="F58" s="20" t="s">
        <v>244</v>
      </c>
      <c r="G58" s="42" t="s">
        <v>181</v>
      </c>
      <c r="H58" s="20" t="s">
        <v>213</v>
      </c>
      <c r="I58" s="9" t="s">
        <v>167</v>
      </c>
      <c r="J58" s="43">
        <v>2024.0</v>
      </c>
      <c r="K58" s="42" t="s">
        <v>245</v>
      </c>
    </row>
    <row r="59" ht="12.75" customHeight="1">
      <c r="A59" s="42" t="s">
        <v>247</v>
      </c>
      <c r="B59" s="21">
        <v>45349.0</v>
      </c>
      <c r="C59" s="20" t="s">
        <v>169</v>
      </c>
      <c r="D59" s="21">
        <v>45347.0</v>
      </c>
      <c r="E59" s="21">
        <v>45353.0</v>
      </c>
      <c r="F59" s="20" t="s">
        <v>244</v>
      </c>
      <c r="G59" s="42" t="s">
        <v>181</v>
      </c>
      <c r="H59" s="20" t="s">
        <v>213</v>
      </c>
      <c r="I59" s="9" t="s">
        <v>167</v>
      </c>
      <c r="J59" s="43">
        <v>2024.0</v>
      </c>
      <c r="K59" s="42" t="s">
        <v>245</v>
      </c>
    </row>
    <row r="60" ht="12.75" customHeight="1">
      <c r="A60" s="42" t="s">
        <v>248</v>
      </c>
      <c r="B60" s="21">
        <v>45350.0</v>
      </c>
      <c r="C60" s="20" t="s">
        <v>171</v>
      </c>
      <c r="D60" s="21">
        <v>45347.0</v>
      </c>
      <c r="E60" s="21">
        <v>45353.0</v>
      </c>
      <c r="F60" s="20" t="s">
        <v>244</v>
      </c>
      <c r="G60" s="42" t="s">
        <v>181</v>
      </c>
      <c r="H60" s="20" t="s">
        <v>213</v>
      </c>
      <c r="I60" s="9" t="s">
        <v>167</v>
      </c>
      <c r="J60" s="43">
        <v>2024.0</v>
      </c>
      <c r="K60" s="42" t="s">
        <v>245</v>
      </c>
    </row>
    <row r="61" ht="12.75" customHeight="1">
      <c r="A61" s="42" t="s">
        <v>249</v>
      </c>
      <c r="B61" s="21">
        <v>45351.0</v>
      </c>
      <c r="C61" s="20" t="s">
        <v>173</v>
      </c>
      <c r="D61" s="21">
        <v>45347.0</v>
      </c>
      <c r="E61" s="21">
        <v>45353.0</v>
      </c>
      <c r="F61" s="20" t="s">
        <v>244</v>
      </c>
      <c r="G61" s="42" t="s">
        <v>181</v>
      </c>
      <c r="H61" s="20" t="s">
        <v>213</v>
      </c>
      <c r="I61" s="9" t="s">
        <v>167</v>
      </c>
      <c r="J61" s="43">
        <v>2024.0</v>
      </c>
      <c r="K61" s="42" t="s">
        <v>245</v>
      </c>
    </row>
    <row r="62" ht="12.75" customHeight="1">
      <c r="A62" s="42" t="s">
        <v>250</v>
      </c>
      <c r="B62" s="21">
        <v>45352.0</v>
      </c>
      <c r="C62" s="20" t="s">
        <v>175</v>
      </c>
      <c r="D62" s="21">
        <v>45347.0</v>
      </c>
      <c r="E62" s="21">
        <v>45353.0</v>
      </c>
      <c r="F62" s="20" t="s">
        <v>244</v>
      </c>
      <c r="G62" s="42" t="s">
        <v>190</v>
      </c>
      <c r="H62" s="20" t="s">
        <v>69</v>
      </c>
      <c r="I62" s="9" t="s">
        <v>167</v>
      </c>
      <c r="J62" s="43">
        <v>2024.0</v>
      </c>
      <c r="K62" s="42" t="s">
        <v>245</v>
      </c>
    </row>
    <row r="63" ht="12.75" customHeight="1">
      <c r="A63" s="42" t="s">
        <v>251</v>
      </c>
      <c r="B63" s="21">
        <v>45353.0</v>
      </c>
      <c r="C63" s="20" t="s">
        <v>177</v>
      </c>
      <c r="D63" s="21">
        <v>45347.0</v>
      </c>
      <c r="E63" s="21">
        <v>45353.0</v>
      </c>
      <c r="F63" s="20" t="s">
        <v>244</v>
      </c>
      <c r="G63" s="42" t="s">
        <v>190</v>
      </c>
      <c r="H63" s="20" t="s">
        <v>69</v>
      </c>
      <c r="I63" s="9" t="s">
        <v>167</v>
      </c>
      <c r="J63" s="43">
        <v>2024.0</v>
      </c>
      <c r="K63" s="42" t="s">
        <v>245</v>
      </c>
    </row>
    <row r="64" ht="12.75" customHeight="1">
      <c r="A64" s="42" t="s">
        <v>252</v>
      </c>
      <c r="B64" s="21">
        <v>45354.0</v>
      </c>
      <c r="C64" s="20" t="s">
        <v>179</v>
      </c>
      <c r="D64" s="21">
        <v>45354.0</v>
      </c>
      <c r="E64" s="21">
        <v>45360.0</v>
      </c>
      <c r="F64" s="20" t="s">
        <v>253</v>
      </c>
      <c r="G64" s="42" t="s">
        <v>190</v>
      </c>
      <c r="H64" s="20" t="s">
        <v>69</v>
      </c>
      <c r="I64" s="9" t="s">
        <v>167</v>
      </c>
      <c r="J64" s="43">
        <v>2024.0</v>
      </c>
      <c r="K64" s="42" t="s">
        <v>96</v>
      </c>
    </row>
    <row r="65" ht="12.75" customHeight="1">
      <c r="A65" s="42" t="s">
        <v>254</v>
      </c>
      <c r="B65" s="21">
        <v>45355.0</v>
      </c>
      <c r="C65" s="20" t="s">
        <v>163</v>
      </c>
      <c r="D65" s="21">
        <v>45354.0</v>
      </c>
      <c r="E65" s="21">
        <v>45360.0</v>
      </c>
      <c r="F65" s="20" t="s">
        <v>253</v>
      </c>
      <c r="G65" s="42" t="s">
        <v>190</v>
      </c>
      <c r="H65" s="20" t="s">
        <v>69</v>
      </c>
      <c r="I65" s="9" t="s">
        <v>167</v>
      </c>
      <c r="J65" s="43">
        <v>2024.0</v>
      </c>
      <c r="K65" s="42" t="s">
        <v>96</v>
      </c>
    </row>
    <row r="66" ht="12.75" customHeight="1">
      <c r="A66" s="42" t="s">
        <v>255</v>
      </c>
      <c r="B66" s="21">
        <v>45356.0</v>
      </c>
      <c r="C66" s="20" t="s">
        <v>169</v>
      </c>
      <c r="D66" s="21">
        <v>45354.0</v>
      </c>
      <c r="E66" s="21">
        <v>45360.0</v>
      </c>
      <c r="F66" s="20" t="s">
        <v>253</v>
      </c>
      <c r="G66" s="42" t="s">
        <v>190</v>
      </c>
      <c r="H66" s="20" t="s">
        <v>69</v>
      </c>
      <c r="I66" s="9" t="s">
        <v>167</v>
      </c>
      <c r="J66" s="43">
        <v>2024.0</v>
      </c>
      <c r="K66" s="42" t="s">
        <v>96</v>
      </c>
    </row>
    <row r="67" ht="12.75" customHeight="1">
      <c r="A67" s="42" t="s">
        <v>256</v>
      </c>
      <c r="B67" s="21">
        <v>45357.0</v>
      </c>
      <c r="C67" s="20" t="s">
        <v>171</v>
      </c>
      <c r="D67" s="21">
        <v>45354.0</v>
      </c>
      <c r="E67" s="21">
        <v>45360.0</v>
      </c>
      <c r="F67" s="20" t="s">
        <v>253</v>
      </c>
      <c r="G67" s="42" t="s">
        <v>190</v>
      </c>
      <c r="H67" s="20" t="s">
        <v>69</v>
      </c>
      <c r="I67" s="9" t="s">
        <v>167</v>
      </c>
      <c r="J67" s="43">
        <v>2024.0</v>
      </c>
      <c r="K67" s="42" t="s">
        <v>96</v>
      </c>
    </row>
    <row r="68" ht="12.75" customHeight="1">
      <c r="A68" s="42" t="s">
        <v>257</v>
      </c>
      <c r="B68" s="21">
        <v>45358.0</v>
      </c>
      <c r="C68" s="20" t="s">
        <v>173</v>
      </c>
      <c r="D68" s="21">
        <v>45354.0</v>
      </c>
      <c r="E68" s="21">
        <v>45360.0</v>
      </c>
      <c r="F68" s="20" t="s">
        <v>253</v>
      </c>
      <c r="G68" s="42" t="s">
        <v>190</v>
      </c>
      <c r="H68" s="20" t="s">
        <v>69</v>
      </c>
      <c r="I68" s="9" t="s">
        <v>167</v>
      </c>
      <c r="J68" s="43">
        <v>2024.0</v>
      </c>
      <c r="K68" s="42" t="s">
        <v>96</v>
      </c>
    </row>
    <row r="69" ht="12.75" customHeight="1">
      <c r="A69" s="42" t="s">
        <v>258</v>
      </c>
      <c r="B69" s="21">
        <v>45359.0</v>
      </c>
      <c r="C69" s="20" t="s">
        <v>175</v>
      </c>
      <c r="D69" s="21">
        <v>45354.0</v>
      </c>
      <c r="E69" s="21">
        <v>45360.0</v>
      </c>
      <c r="F69" s="20" t="s">
        <v>253</v>
      </c>
      <c r="G69" s="42" t="s">
        <v>190</v>
      </c>
      <c r="H69" s="20" t="s">
        <v>69</v>
      </c>
      <c r="I69" s="9" t="s">
        <v>167</v>
      </c>
      <c r="J69" s="43">
        <v>2024.0</v>
      </c>
      <c r="K69" s="42" t="s">
        <v>96</v>
      </c>
    </row>
    <row r="70" ht="12.75" customHeight="1">
      <c r="A70" s="42" t="s">
        <v>259</v>
      </c>
      <c r="B70" s="21">
        <v>45360.0</v>
      </c>
      <c r="C70" s="20" t="s">
        <v>177</v>
      </c>
      <c r="D70" s="21">
        <v>45354.0</v>
      </c>
      <c r="E70" s="21">
        <v>45360.0</v>
      </c>
      <c r="F70" s="20" t="s">
        <v>253</v>
      </c>
      <c r="G70" s="42" t="s">
        <v>190</v>
      </c>
      <c r="H70" s="20" t="s">
        <v>69</v>
      </c>
      <c r="I70" s="9" t="s">
        <v>167</v>
      </c>
      <c r="J70" s="43">
        <v>2024.0</v>
      </c>
      <c r="K70" s="42" t="s">
        <v>96</v>
      </c>
    </row>
    <row r="71" ht="12.75" customHeight="1">
      <c r="A71" s="42" t="s">
        <v>260</v>
      </c>
      <c r="B71" s="21">
        <v>45361.0</v>
      </c>
      <c r="C71" s="20" t="s">
        <v>179</v>
      </c>
      <c r="D71" s="21">
        <v>45361.0</v>
      </c>
      <c r="E71" s="21">
        <v>45367.0</v>
      </c>
      <c r="F71" s="20" t="s">
        <v>261</v>
      </c>
      <c r="G71" s="42" t="s">
        <v>190</v>
      </c>
      <c r="H71" s="20" t="s">
        <v>69</v>
      </c>
      <c r="I71" s="9" t="s">
        <v>167</v>
      </c>
      <c r="J71" s="43">
        <v>2024.0</v>
      </c>
      <c r="K71" s="42" t="s">
        <v>97</v>
      </c>
    </row>
    <row r="72" ht="12.75" customHeight="1">
      <c r="A72" s="42" t="s">
        <v>262</v>
      </c>
      <c r="B72" s="21">
        <v>45362.0</v>
      </c>
      <c r="C72" s="20" t="s">
        <v>163</v>
      </c>
      <c r="D72" s="21">
        <v>45361.0</v>
      </c>
      <c r="E72" s="21">
        <v>45367.0</v>
      </c>
      <c r="F72" s="20" t="s">
        <v>261</v>
      </c>
      <c r="G72" s="42" t="s">
        <v>190</v>
      </c>
      <c r="H72" s="20" t="s">
        <v>69</v>
      </c>
      <c r="I72" s="9" t="s">
        <v>167</v>
      </c>
      <c r="J72" s="43">
        <v>2024.0</v>
      </c>
      <c r="K72" s="42" t="s">
        <v>97</v>
      </c>
    </row>
    <row r="73" ht="12.75" customHeight="1">
      <c r="A73" s="42" t="s">
        <v>263</v>
      </c>
      <c r="B73" s="21">
        <v>45363.0</v>
      </c>
      <c r="C73" s="20" t="s">
        <v>169</v>
      </c>
      <c r="D73" s="21">
        <v>45361.0</v>
      </c>
      <c r="E73" s="21">
        <v>45367.0</v>
      </c>
      <c r="F73" s="20" t="s">
        <v>261</v>
      </c>
      <c r="G73" s="42" t="s">
        <v>190</v>
      </c>
      <c r="H73" s="20" t="s">
        <v>69</v>
      </c>
      <c r="I73" s="9" t="s">
        <v>167</v>
      </c>
      <c r="J73" s="43">
        <v>2024.0</v>
      </c>
      <c r="K73" s="42" t="s">
        <v>97</v>
      </c>
    </row>
    <row r="74" ht="12.75" customHeight="1">
      <c r="A74" s="42" t="s">
        <v>264</v>
      </c>
      <c r="B74" s="21">
        <v>45364.0</v>
      </c>
      <c r="C74" s="20" t="s">
        <v>171</v>
      </c>
      <c r="D74" s="21">
        <v>45361.0</v>
      </c>
      <c r="E74" s="21">
        <v>45367.0</v>
      </c>
      <c r="F74" s="20" t="s">
        <v>261</v>
      </c>
      <c r="G74" s="42" t="s">
        <v>190</v>
      </c>
      <c r="H74" s="20" t="s">
        <v>69</v>
      </c>
      <c r="I74" s="9" t="s">
        <v>167</v>
      </c>
      <c r="J74" s="43">
        <v>2024.0</v>
      </c>
      <c r="K74" s="42" t="s">
        <v>97</v>
      </c>
    </row>
    <row r="75" ht="12.75" customHeight="1">
      <c r="A75" s="42" t="s">
        <v>265</v>
      </c>
      <c r="B75" s="21">
        <v>45365.0</v>
      </c>
      <c r="C75" s="20" t="s">
        <v>173</v>
      </c>
      <c r="D75" s="21">
        <v>45361.0</v>
      </c>
      <c r="E75" s="21">
        <v>45367.0</v>
      </c>
      <c r="F75" s="20" t="s">
        <v>261</v>
      </c>
      <c r="G75" s="42" t="s">
        <v>190</v>
      </c>
      <c r="H75" s="20" t="s">
        <v>69</v>
      </c>
      <c r="I75" s="9" t="s">
        <v>167</v>
      </c>
      <c r="J75" s="43">
        <v>2024.0</v>
      </c>
      <c r="K75" s="42" t="s">
        <v>97</v>
      </c>
    </row>
    <row r="76" ht="12.75" customHeight="1">
      <c r="A76" s="42" t="s">
        <v>266</v>
      </c>
      <c r="B76" s="21">
        <v>45366.0</v>
      </c>
      <c r="C76" s="20" t="s">
        <v>175</v>
      </c>
      <c r="D76" s="21">
        <v>45361.0</v>
      </c>
      <c r="E76" s="21">
        <v>45367.0</v>
      </c>
      <c r="F76" s="20" t="s">
        <v>261</v>
      </c>
      <c r="G76" s="42" t="s">
        <v>190</v>
      </c>
      <c r="H76" s="20" t="s">
        <v>69</v>
      </c>
      <c r="I76" s="9" t="s">
        <v>167</v>
      </c>
      <c r="J76" s="43">
        <v>2024.0</v>
      </c>
      <c r="K76" s="42" t="s">
        <v>97</v>
      </c>
    </row>
    <row r="77" ht="12.75" customHeight="1">
      <c r="A77" s="42" t="s">
        <v>267</v>
      </c>
      <c r="B77" s="21">
        <v>45367.0</v>
      </c>
      <c r="C77" s="20" t="s">
        <v>177</v>
      </c>
      <c r="D77" s="21">
        <v>45361.0</v>
      </c>
      <c r="E77" s="21">
        <v>45367.0</v>
      </c>
      <c r="F77" s="20" t="s">
        <v>261</v>
      </c>
      <c r="G77" s="42" t="s">
        <v>190</v>
      </c>
      <c r="H77" s="20" t="s">
        <v>69</v>
      </c>
      <c r="I77" s="9" t="s">
        <v>167</v>
      </c>
      <c r="J77" s="43">
        <v>2024.0</v>
      </c>
      <c r="K77" s="42" t="s">
        <v>97</v>
      </c>
    </row>
    <row r="78" ht="12.75" customHeight="1">
      <c r="A78" s="42" t="s">
        <v>268</v>
      </c>
      <c r="B78" s="21">
        <v>45368.0</v>
      </c>
      <c r="C78" s="20" t="s">
        <v>179</v>
      </c>
      <c r="D78" s="21">
        <v>45368.0</v>
      </c>
      <c r="E78" s="21">
        <v>45374.0</v>
      </c>
      <c r="F78" s="20" t="s">
        <v>269</v>
      </c>
      <c r="G78" s="42" t="s">
        <v>190</v>
      </c>
      <c r="H78" s="20" t="s">
        <v>69</v>
      </c>
      <c r="I78" s="9" t="s">
        <v>167</v>
      </c>
      <c r="J78" s="43">
        <v>2024.0</v>
      </c>
      <c r="K78" s="42" t="s">
        <v>98</v>
      </c>
    </row>
    <row r="79" ht="12.75" customHeight="1">
      <c r="A79" s="42" t="s">
        <v>270</v>
      </c>
      <c r="B79" s="21">
        <v>45369.0</v>
      </c>
      <c r="C79" s="20" t="s">
        <v>163</v>
      </c>
      <c r="D79" s="21">
        <v>45368.0</v>
      </c>
      <c r="E79" s="21">
        <v>45374.0</v>
      </c>
      <c r="F79" s="20" t="s">
        <v>269</v>
      </c>
      <c r="G79" s="42" t="s">
        <v>190</v>
      </c>
      <c r="H79" s="20" t="s">
        <v>69</v>
      </c>
      <c r="I79" s="9" t="s">
        <v>167</v>
      </c>
      <c r="J79" s="43">
        <v>2024.0</v>
      </c>
      <c r="K79" s="42" t="s">
        <v>98</v>
      </c>
    </row>
    <row r="80" ht="12.75" customHeight="1">
      <c r="A80" s="42" t="s">
        <v>271</v>
      </c>
      <c r="B80" s="21">
        <v>45370.0</v>
      </c>
      <c r="C80" s="20" t="s">
        <v>169</v>
      </c>
      <c r="D80" s="21">
        <v>45368.0</v>
      </c>
      <c r="E80" s="21">
        <v>45374.0</v>
      </c>
      <c r="F80" s="20" t="s">
        <v>269</v>
      </c>
      <c r="G80" s="42" t="s">
        <v>190</v>
      </c>
      <c r="H80" s="20" t="s">
        <v>69</v>
      </c>
      <c r="I80" s="9" t="s">
        <v>167</v>
      </c>
      <c r="J80" s="43">
        <v>2024.0</v>
      </c>
      <c r="K80" s="42" t="s">
        <v>98</v>
      </c>
    </row>
    <row r="81" ht="12.75" customHeight="1">
      <c r="A81" s="42" t="s">
        <v>272</v>
      </c>
      <c r="B81" s="21">
        <v>45371.0</v>
      </c>
      <c r="C81" s="20" t="s">
        <v>171</v>
      </c>
      <c r="D81" s="21">
        <v>45368.0</v>
      </c>
      <c r="E81" s="21">
        <v>45374.0</v>
      </c>
      <c r="F81" s="20" t="s">
        <v>269</v>
      </c>
      <c r="G81" s="42" t="s">
        <v>190</v>
      </c>
      <c r="H81" s="20" t="s">
        <v>69</v>
      </c>
      <c r="I81" s="9" t="s">
        <v>167</v>
      </c>
      <c r="J81" s="43">
        <v>2024.0</v>
      </c>
      <c r="K81" s="42" t="s">
        <v>98</v>
      </c>
    </row>
    <row r="82" ht="12.75" customHeight="1">
      <c r="A82" s="42" t="s">
        <v>273</v>
      </c>
      <c r="B82" s="21">
        <v>45372.0</v>
      </c>
      <c r="C82" s="20" t="s">
        <v>173</v>
      </c>
      <c r="D82" s="21">
        <v>45368.0</v>
      </c>
      <c r="E82" s="21">
        <v>45374.0</v>
      </c>
      <c r="F82" s="20" t="s">
        <v>269</v>
      </c>
      <c r="G82" s="42" t="s">
        <v>190</v>
      </c>
      <c r="H82" s="20" t="s">
        <v>69</v>
      </c>
      <c r="I82" s="9" t="s">
        <v>167</v>
      </c>
      <c r="J82" s="43">
        <v>2024.0</v>
      </c>
      <c r="K82" s="42" t="s">
        <v>98</v>
      </c>
    </row>
    <row r="83" ht="12.75" customHeight="1">
      <c r="A83" s="42" t="s">
        <v>274</v>
      </c>
      <c r="B83" s="21">
        <v>45373.0</v>
      </c>
      <c r="C83" s="20" t="s">
        <v>175</v>
      </c>
      <c r="D83" s="21">
        <v>45368.0</v>
      </c>
      <c r="E83" s="21">
        <v>45374.0</v>
      </c>
      <c r="F83" s="20" t="s">
        <v>269</v>
      </c>
      <c r="G83" s="42" t="s">
        <v>190</v>
      </c>
      <c r="H83" s="20" t="s">
        <v>69</v>
      </c>
      <c r="I83" s="9" t="s">
        <v>167</v>
      </c>
      <c r="J83" s="43">
        <v>2024.0</v>
      </c>
      <c r="K83" s="42" t="s">
        <v>98</v>
      </c>
    </row>
    <row r="84" ht="12.75" customHeight="1">
      <c r="A84" s="42" t="s">
        <v>275</v>
      </c>
      <c r="B84" s="21">
        <v>45374.0</v>
      </c>
      <c r="C84" s="20" t="s">
        <v>177</v>
      </c>
      <c r="D84" s="21">
        <v>45368.0</v>
      </c>
      <c r="E84" s="21">
        <v>45374.0</v>
      </c>
      <c r="F84" s="20" t="s">
        <v>269</v>
      </c>
      <c r="G84" s="42" t="s">
        <v>190</v>
      </c>
      <c r="H84" s="20" t="s">
        <v>69</v>
      </c>
      <c r="I84" s="9" t="s">
        <v>167</v>
      </c>
      <c r="J84" s="43">
        <v>2024.0</v>
      </c>
      <c r="K84" s="42" t="s">
        <v>98</v>
      </c>
    </row>
    <row r="85" ht="12.75" customHeight="1">
      <c r="A85" s="42" t="s">
        <v>276</v>
      </c>
      <c r="B85" s="21">
        <v>45375.0</v>
      </c>
      <c r="C85" s="20" t="s">
        <v>179</v>
      </c>
      <c r="D85" s="21">
        <v>45375.0</v>
      </c>
      <c r="E85" s="21">
        <v>45381.0</v>
      </c>
      <c r="F85" s="20" t="s">
        <v>277</v>
      </c>
      <c r="G85" s="42" t="s">
        <v>190</v>
      </c>
      <c r="H85" s="20" t="s">
        <v>69</v>
      </c>
      <c r="I85" s="9" t="s">
        <v>167</v>
      </c>
      <c r="J85" s="43">
        <v>2024.0</v>
      </c>
      <c r="K85" s="42" t="s">
        <v>99</v>
      </c>
    </row>
    <row r="86" ht="12.75" customHeight="1">
      <c r="A86" s="42" t="s">
        <v>278</v>
      </c>
      <c r="B86" s="21">
        <v>45376.0</v>
      </c>
      <c r="C86" s="20" t="s">
        <v>163</v>
      </c>
      <c r="D86" s="21">
        <v>45375.0</v>
      </c>
      <c r="E86" s="21">
        <v>45381.0</v>
      </c>
      <c r="F86" s="20" t="s">
        <v>277</v>
      </c>
      <c r="G86" s="42" t="s">
        <v>190</v>
      </c>
      <c r="H86" s="20" t="s">
        <v>69</v>
      </c>
      <c r="I86" s="9" t="s">
        <v>167</v>
      </c>
      <c r="J86" s="43">
        <v>2024.0</v>
      </c>
      <c r="K86" s="42" t="s">
        <v>99</v>
      </c>
    </row>
    <row r="87" ht="12.75" customHeight="1">
      <c r="A87" s="42" t="s">
        <v>279</v>
      </c>
      <c r="B87" s="21">
        <v>45377.0</v>
      </c>
      <c r="C87" s="20" t="s">
        <v>169</v>
      </c>
      <c r="D87" s="21">
        <v>45375.0</v>
      </c>
      <c r="E87" s="21">
        <v>45381.0</v>
      </c>
      <c r="F87" s="20" t="s">
        <v>277</v>
      </c>
      <c r="G87" s="42" t="s">
        <v>190</v>
      </c>
      <c r="H87" s="20" t="s">
        <v>69</v>
      </c>
      <c r="I87" s="9" t="s">
        <v>167</v>
      </c>
      <c r="J87" s="43">
        <v>2024.0</v>
      </c>
      <c r="K87" s="42" t="s">
        <v>99</v>
      </c>
    </row>
    <row r="88" ht="12.75" customHeight="1">
      <c r="A88" s="42" t="s">
        <v>280</v>
      </c>
      <c r="B88" s="21">
        <v>45378.0</v>
      </c>
      <c r="C88" s="20" t="s">
        <v>171</v>
      </c>
      <c r="D88" s="21">
        <v>45375.0</v>
      </c>
      <c r="E88" s="21">
        <v>45381.0</v>
      </c>
      <c r="F88" s="20" t="s">
        <v>277</v>
      </c>
      <c r="G88" s="42" t="s">
        <v>190</v>
      </c>
      <c r="H88" s="20" t="s">
        <v>69</v>
      </c>
      <c r="I88" s="9" t="s">
        <v>167</v>
      </c>
      <c r="J88" s="43">
        <v>2024.0</v>
      </c>
      <c r="K88" s="42" t="s">
        <v>99</v>
      </c>
    </row>
    <row r="89" ht="12.75" customHeight="1">
      <c r="A89" s="42" t="s">
        <v>281</v>
      </c>
      <c r="B89" s="21">
        <v>45379.0</v>
      </c>
      <c r="C89" s="20" t="s">
        <v>173</v>
      </c>
      <c r="D89" s="21">
        <v>45375.0</v>
      </c>
      <c r="E89" s="21">
        <v>45381.0</v>
      </c>
      <c r="F89" s="20" t="s">
        <v>277</v>
      </c>
      <c r="G89" s="42" t="s">
        <v>190</v>
      </c>
      <c r="H89" s="20" t="s">
        <v>69</v>
      </c>
      <c r="I89" s="9" t="s">
        <v>167</v>
      </c>
      <c r="J89" s="43">
        <v>2024.0</v>
      </c>
      <c r="K89" s="42" t="s">
        <v>99</v>
      </c>
    </row>
    <row r="90" ht="12.75" customHeight="1">
      <c r="A90" s="42" t="s">
        <v>282</v>
      </c>
      <c r="B90" s="21">
        <v>45380.0</v>
      </c>
      <c r="C90" s="20" t="s">
        <v>175</v>
      </c>
      <c r="D90" s="21">
        <v>45375.0</v>
      </c>
      <c r="E90" s="21">
        <v>45381.0</v>
      </c>
      <c r="F90" s="20" t="s">
        <v>277</v>
      </c>
      <c r="G90" s="42" t="s">
        <v>190</v>
      </c>
      <c r="H90" s="20" t="s">
        <v>69</v>
      </c>
      <c r="I90" s="9" t="s">
        <v>167</v>
      </c>
      <c r="J90" s="43">
        <v>2024.0</v>
      </c>
      <c r="K90" s="42" t="s">
        <v>99</v>
      </c>
    </row>
    <row r="91" ht="12.75" customHeight="1">
      <c r="A91" s="42" t="s">
        <v>283</v>
      </c>
      <c r="B91" s="21">
        <v>45381.0</v>
      </c>
      <c r="C91" s="20" t="s">
        <v>177</v>
      </c>
      <c r="D91" s="21">
        <v>45375.0</v>
      </c>
      <c r="E91" s="21">
        <v>45381.0</v>
      </c>
      <c r="F91" s="20" t="s">
        <v>277</v>
      </c>
      <c r="G91" s="42" t="s">
        <v>190</v>
      </c>
      <c r="H91" s="20" t="s">
        <v>69</v>
      </c>
      <c r="I91" s="9" t="s">
        <v>167</v>
      </c>
      <c r="J91" s="43">
        <v>2024.0</v>
      </c>
      <c r="K91" s="42" t="s">
        <v>99</v>
      </c>
    </row>
    <row r="92" ht="12.75" customHeight="1">
      <c r="A92" s="42" t="s">
        <v>284</v>
      </c>
      <c r="B92" s="21">
        <v>45382.0</v>
      </c>
      <c r="C92" s="20" t="s">
        <v>179</v>
      </c>
      <c r="D92" s="21">
        <v>45382.0</v>
      </c>
      <c r="E92" s="21">
        <v>45388.0</v>
      </c>
      <c r="F92" s="20" t="s">
        <v>285</v>
      </c>
      <c r="G92" s="42" t="s">
        <v>190</v>
      </c>
      <c r="H92" s="20" t="s">
        <v>69</v>
      </c>
      <c r="I92" s="9" t="s">
        <v>167</v>
      </c>
      <c r="J92" s="43">
        <v>2024.0</v>
      </c>
      <c r="K92" s="42" t="s">
        <v>100</v>
      </c>
    </row>
    <row r="93" ht="12.75" customHeight="1">
      <c r="A93" s="42" t="s">
        <v>286</v>
      </c>
      <c r="B93" s="21">
        <v>45383.0</v>
      </c>
      <c r="C93" s="20" t="s">
        <v>163</v>
      </c>
      <c r="D93" s="21">
        <v>45382.0</v>
      </c>
      <c r="E93" s="21">
        <v>45388.0</v>
      </c>
      <c r="F93" s="20" t="s">
        <v>285</v>
      </c>
      <c r="G93" s="42" t="s">
        <v>199</v>
      </c>
      <c r="H93" s="20" t="s">
        <v>64</v>
      </c>
      <c r="I93" s="9" t="s">
        <v>287</v>
      </c>
      <c r="J93" s="43">
        <v>2024.0</v>
      </c>
      <c r="K93" s="42" t="s">
        <v>100</v>
      </c>
    </row>
    <row r="94" ht="12.75" customHeight="1">
      <c r="A94" s="42" t="s">
        <v>288</v>
      </c>
      <c r="B94" s="21">
        <v>45384.0</v>
      </c>
      <c r="C94" s="20" t="s">
        <v>169</v>
      </c>
      <c r="D94" s="21">
        <v>45382.0</v>
      </c>
      <c r="E94" s="21">
        <v>45388.0</v>
      </c>
      <c r="F94" s="20" t="s">
        <v>285</v>
      </c>
      <c r="G94" s="42" t="s">
        <v>199</v>
      </c>
      <c r="H94" s="20" t="s">
        <v>64</v>
      </c>
      <c r="I94" s="9" t="s">
        <v>287</v>
      </c>
      <c r="J94" s="43">
        <v>2024.0</v>
      </c>
      <c r="K94" s="42" t="s">
        <v>100</v>
      </c>
    </row>
    <row r="95" ht="12.75" customHeight="1">
      <c r="A95" s="42" t="s">
        <v>289</v>
      </c>
      <c r="B95" s="21">
        <v>45385.0</v>
      </c>
      <c r="C95" s="20" t="s">
        <v>171</v>
      </c>
      <c r="D95" s="21">
        <v>45382.0</v>
      </c>
      <c r="E95" s="21">
        <v>45388.0</v>
      </c>
      <c r="F95" s="20" t="s">
        <v>285</v>
      </c>
      <c r="G95" s="42" t="s">
        <v>199</v>
      </c>
      <c r="H95" s="20" t="s">
        <v>64</v>
      </c>
      <c r="I95" s="9" t="s">
        <v>287</v>
      </c>
      <c r="J95" s="43">
        <v>2024.0</v>
      </c>
      <c r="K95" s="42" t="s">
        <v>100</v>
      </c>
    </row>
    <row r="96" ht="12.75" customHeight="1">
      <c r="A96" s="42" t="s">
        <v>290</v>
      </c>
      <c r="B96" s="21">
        <v>45386.0</v>
      </c>
      <c r="C96" s="20" t="s">
        <v>173</v>
      </c>
      <c r="D96" s="21">
        <v>45382.0</v>
      </c>
      <c r="E96" s="21">
        <v>45388.0</v>
      </c>
      <c r="F96" s="20" t="s">
        <v>285</v>
      </c>
      <c r="G96" s="42" t="s">
        <v>199</v>
      </c>
      <c r="H96" s="20" t="s">
        <v>64</v>
      </c>
      <c r="I96" s="9" t="s">
        <v>287</v>
      </c>
      <c r="J96" s="43">
        <v>2024.0</v>
      </c>
      <c r="K96" s="42" t="s">
        <v>100</v>
      </c>
    </row>
    <row r="97" ht="12.75" customHeight="1">
      <c r="A97" s="42" t="s">
        <v>291</v>
      </c>
      <c r="B97" s="21">
        <v>45387.0</v>
      </c>
      <c r="C97" s="20" t="s">
        <v>175</v>
      </c>
      <c r="D97" s="21">
        <v>45382.0</v>
      </c>
      <c r="E97" s="21">
        <v>45388.0</v>
      </c>
      <c r="F97" s="20" t="s">
        <v>285</v>
      </c>
      <c r="G97" s="42" t="s">
        <v>199</v>
      </c>
      <c r="H97" s="20" t="s">
        <v>64</v>
      </c>
      <c r="I97" s="9" t="s">
        <v>287</v>
      </c>
      <c r="J97" s="43">
        <v>2024.0</v>
      </c>
      <c r="K97" s="42" t="s">
        <v>100</v>
      </c>
    </row>
    <row r="98" ht="12.75" customHeight="1">
      <c r="A98" s="42" t="s">
        <v>292</v>
      </c>
      <c r="B98" s="21">
        <v>45388.0</v>
      </c>
      <c r="C98" s="20" t="s">
        <v>177</v>
      </c>
      <c r="D98" s="21">
        <v>45382.0</v>
      </c>
      <c r="E98" s="21">
        <v>45388.0</v>
      </c>
      <c r="F98" s="20" t="s">
        <v>285</v>
      </c>
      <c r="G98" s="42" t="s">
        <v>199</v>
      </c>
      <c r="H98" s="20" t="s">
        <v>64</v>
      </c>
      <c r="I98" s="9" t="s">
        <v>287</v>
      </c>
      <c r="J98" s="43">
        <v>2024.0</v>
      </c>
      <c r="K98" s="42" t="s">
        <v>100</v>
      </c>
    </row>
    <row r="99" ht="12.75" customHeight="1">
      <c r="A99" s="42" t="s">
        <v>293</v>
      </c>
      <c r="B99" s="21">
        <v>45389.0</v>
      </c>
      <c r="C99" s="20" t="s">
        <v>179</v>
      </c>
      <c r="D99" s="21">
        <v>45389.0</v>
      </c>
      <c r="E99" s="21">
        <v>45395.0</v>
      </c>
      <c r="F99" s="20" t="s">
        <v>294</v>
      </c>
      <c r="G99" s="42" t="s">
        <v>199</v>
      </c>
      <c r="H99" s="20" t="s">
        <v>64</v>
      </c>
      <c r="I99" s="9" t="s">
        <v>287</v>
      </c>
      <c r="J99" s="43">
        <v>2024.0</v>
      </c>
      <c r="K99" s="42" t="s">
        <v>74</v>
      </c>
    </row>
    <row r="100" ht="12.75" customHeight="1">
      <c r="A100" s="42" t="s">
        <v>295</v>
      </c>
      <c r="B100" s="21">
        <v>45390.0</v>
      </c>
      <c r="C100" s="20" t="s">
        <v>163</v>
      </c>
      <c r="D100" s="21">
        <v>45389.0</v>
      </c>
      <c r="E100" s="21">
        <v>45395.0</v>
      </c>
      <c r="F100" s="20" t="s">
        <v>294</v>
      </c>
      <c r="G100" s="42" t="s">
        <v>199</v>
      </c>
      <c r="H100" s="20" t="s">
        <v>64</v>
      </c>
      <c r="I100" s="9" t="s">
        <v>287</v>
      </c>
      <c r="J100" s="43">
        <v>2024.0</v>
      </c>
      <c r="K100" s="42" t="s">
        <v>74</v>
      </c>
    </row>
    <row r="101" ht="12.75" customHeight="1">
      <c r="A101" s="42" t="s">
        <v>296</v>
      </c>
      <c r="B101" s="21">
        <v>45391.0</v>
      </c>
      <c r="C101" s="20" t="s">
        <v>169</v>
      </c>
      <c r="D101" s="21">
        <v>45389.0</v>
      </c>
      <c r="E101" s="21">
        <v>45395.0</v>
      </c>
      <c r="F101" s="20" t="s">
        <v>294</v>
      </c>
      <c r="G101" s="42" t="s">
        <v>199</v>
      </c>
      <c r="H101" s="20" t="s">
        <v>64</v>
      </c>
      <c r="I101" s="9" t="s">
        <v>287</v>
      </c>
      <c r="J101" s="43">
        <v>2024.0</v>
      </c>
      <c r="K101" s="42" t="s">
        <v>74</v>
      </c>
    </row>
    <row r="102" ht="12.75" customHeight="1">
      <c r="A102" s="42" t="s">
        <v>297</v>
      </c>
      <c r="B102" s="21">
        <v>45392.0</v>
      </c>
      <c r="C102" s="20" t="s">
        <v>171</v>
      </c>
      <c r="D102" s="21">
        <v>45389.0</v>
      </c>
      <c r="E102" s="21">
        <v>45395.0</v>
      </c>
      <c r="F102" s="20" t="s">
        <v>294</v>
      </c>
      <c r="G102" s="42" t="s">
        <v>199</v>
      </c>
      <c r="H102" s="20" t="s">
        <v>64</v>
      </c>
      <c r="I102" s="9" t="s">
        <v>287</v>
      </c>
      <c r="J102" s="43">
        <v>2024.0</v>
      </c>
      <c r="K102" s="42" t="s">
        <v>74</v>
      </c>
    </row>
    <row r="103" ht="12.75" customHeight="1">
      <c r="A103" s="42" t="s">
        <v>298</v>
      </c>
      <c r="B103" s="21">
        <v>45393.0</v>
      </c>
      <c r="C103" s="20" t="s">
        <v>173</v>
      </c>
      <c r="D103" s="21">
        <v>45389.0</v>
      </c>
      <c r="E103" s="21">
        <v>45395.0</v>
      </c>
      <c r="F103" s="20" t="s">
        <v>294</v>
      </c>
      <c r="G103" s="42" t="s">
        <v>199</v>
      </c>
      <c r="H103" s="20" t="s">
        <v>64</v>
      </c>
      <c r="I103" s="9" t="s">
        <v>287</v>
      </c>
      <c r="J103" s="43">
        <v>2024.0</v>
      </c>
      <c r="K103" s="42" t="s">
        <v>74</v>
      </c>
    </row>
    <row r="104" ht="12.75" customHeight="1">
      <c r="A104" s="42" t="s">
        <v>299</v>
      </c>
      <c r="B104" s="21">
        <v>45394.0</v>
      </c>
      <c r="C104" s="20" t="s">
        <v>175</v>
      </c>
      <c r="D104" s="21">
        <v>45389.0</v>
      </c>
      <c r="E104" s="21">
        <v>45395.0</v>
      </c>
      <c r="F104" s="20" t="s">
        <v>294</v>
      </c>
      <c r="G104" s="42" t="s">
        <v>199</v>
      </c>
      <c r="H104" s="20" t="s">
        <v>64</v>
      </c>
      <c r="I104" s="9" t="s">
        <v>287</v>
      </c>
      <c r="J104" s="43">
        <v>2024.0</v>
      </c>
      <c r="K104" s="42" t="s">
        <v>74</v>
      </c>
    </row>
    <row r="105" ht="12.75" customHeight="1">
      <c r="A105" s="42" t="s">
        <v>300</v>
      </c>
      <c r="B105" s="21">
        <v>45395.0</v>
      </c>
      <c r="C105" s="20" t="s">
        <v>177</v>
      </c>
      <c r="D105" s="21">
        <v>45389.0</v>
      </c>
      <c r="E105" s="21">
        <v>45395.0</v>
      </c>
      <c r="F105" s="20" t="s">
        <v>294</v>
      </c>
      <c r="G105" s="42" t="s">
        <v>199</v>
      </c>
      <c r="H105" s="20" t="s">
        <v>64</v>
      </c>
      <c r="I105" s="9" t="s">
        <v>287</v>
      </c>
      <c r="J105" s="43">
        <v>2024.0</v>
      </c>
      <c r="K105" s="42" t="s">
        <v>74</v>
      </c>
    </row>
    <row r="106" ht="12.75" customHeight="1">
      <c r="A106" s="42" t="s">
        <v>301</v>
      </c>
      <c r="B106" s="21">
        <v>45396.0</v>
      </c>
      <c r="C106" s="20" t="s">
        <v>179</v>
      </c>
      <c r="D106" s="21">
        <v>45396.0</v>
      </c>
      <c r="E106" s="21">
        <v>45402.0</v>
      </c>
      <c r="F106" s="20" t="s">
        <v>302</v>
      </c>
      <c r="G106" s="42" t="s">
        <v>199</v>
      </c>
      <c r="H106" s="20" t="s">
        <v>64</v>
      </c>
      <c r="I106" s="9" t="s">
        <v>287</v>
      </c>
      <c r="J106" s="43">
        <v>2024.0</v>
      </c>
      <c r="K106" s="42" t="s">
        <v>75</v>
      </c>
    </row>
    <row r="107" ht="12.75" customHeight="1">
      <c r="A107" s="42" t="s">
        <v>303</v>
      </c>
      <c r="B107" s="21">
        <v>45397.0</v>
      </c>
      <c r="C107" s="20" t="s">
        <v>163</v>
      </c>
      <c r="D107" s="21">
        <v>45396.0</v>
      </c>
      <c r="E107" s="21">
        <v>45402.0</v>
      </c>
      <c r="F107" s="20" t="s">
        <v>302</v>
      </c>
      <c r="G107" s="42" t="s">
        <v>199</v>
      </c>
      <c r="H107" s="20" t="s">
        <v>64</v>
      </c>
      <c r="I107" s="9" t="s">
        <v>287</v>
      </c>
      <c r="J107" s="43">
        <v>2024.0</v>
      </c>
      <c r="K107" s="42" t="s">
        <v>75</v>
      </c>
    </row>
    <row r="108" ht="12.75" customHeight="1">
      <c r="A108" s="42" t="s">
        <v>304</v>
      </c>
      <c r="B108" s="21">
        <v>45398.0</v>
      </c>
      <c r="C108" s="20" t="s">
        <v>169</v>
      </c>
      <c r="D108" s="21">
        <v>45396.0</v>
      </c>
      <c r="E108" s="21">
        <v>45402.0</v>
      </c>
      <c r="F108" s="20" t="s">
        <v>302</v>
      </c>
      <c r="G108" s="42" t="s">
        <v>199</v>
      </c>
      <c r="H108" s="20" t="s">
        <v>64</v>
      </c>
      <c r="I108" s="9" t="s">
        <v>287</v>
      </c>
      <c r="J108" s="43">
        <v>2024.0</v>
      </c>
      <c r="K108" s="42" t="s">
        <v>75</v>
      </c>
    </row>
    <row r="109" ht="12.75" customHeight="1">
      <c r="A109" s="42" t="s">
        <v>305</v>
      </c>
      <c r="B109" s="21">
        <v>45399.0</v>
      </c>
      <c r="C109" s="20" t="s">
        <v>171</v>
      </c>
      <c r="D109" s="21">
        <v>45396.0</v>
      </c>
      <c r="E109" s="21">
        <v>45402.0</v>
      </c>
      <c r="F109" s="20" t="s">
        <v>302</v>
      </c>
      <c r="G109" s="42" t="s">
        <v>199</v>
      </c>
      <c r="H109" s="20" t="s">
        <v>64</v>
      </c>
      <c r="I109" s="9" t="s">
        <v>287</v>
      </c>
      <c r="J109" s="43">
        <v>2024.0</v>
      </c>
      <c r="K109" s="42" t="s">
        <v>75</v>
      </c>
    </row>
    <row r="110" ht="12.75" customHeight="1">
      <c r="A110" s="42" t="s">
        <v>306</v>
      </c>
      <c r="B110" s="21">
        <v>45400.0</v>
      </c>
      <c r="C110" s="20" t="s">
        <v>173</v>
      </c>
      <c r="D110" s="21">
        <v>45396.0</v>
      </c>
      <c r="E110" s="21">
        <v>45402.0</v>
      </c>
      <c r="F110" s="20" t="s">
        <v>302</v>
      </c>
      <c r="G110" s="42" t="s">
        <v>199</v>
      </c>
      <c r="H110" s="20" t="s">
        <v>64</v>
      </c>
      <c r="I110" s="9" t="s">
        <v>287</v>
      </c>
      <c r="J110" s="43">
        <v>2024.0</v>
      </c>
      <c r="K110" s="42" t="s">
        <v>75</v>
      </c>
    </row>
    <row r="111" ht="12.75" customHeight="1">
      <c r="A111" s="42" t="s">
        <v>307</v>
      </c>
      <c r="B111" s="21">
        <v>45401.0</v>
      </c>
      <c r="C111" s="20" t="s">
        <v>175</v>
      </c>
      <c r="D111" s="21">
        <v>45396.0</v>
      </c>
      <c r="E111" s="21">
        <v>45402.0</v>
      </c>
      <c r="F111" s="20" t="s">
        <v>302</v>
      </c>
      <c r="G111" s="42" t="s">
        <v>199</v>
      </c>
      <c r="H111" s="20" t="s">
        <v>64</v>
      </c>
      <c r="I111" s="9" t="s">
        <v>287</v>
      </c>
      <c r="J111" s="43">
        <v>2024.0</v>
      </c>
      <c r="K111" s="42" t="s">
        <v>75</v>
      </c>
    </row>
    <row r="112" ht="12.75" customHeight="1">
      <c r="A112" s="42" t="s">
        <v>308</v>
      </c>
      <c r="B112" s="21">
        <v>45402.0</v>
      </c>
      <c r="C112" s="20" t="s">
        <v>177</v>
      </c>
      <c r="D112" s="21">
        <v>45396.0</v>
      </c>
      <c r="E112" s="21">
        <v>45402.0</v>
      </c>
      <c r="F112" s="20" t="s">
        <v>302</v>
      </c>
      <c r="G112" s="42" t="s">
        <v>199</v>
      </c>
      <c r="H112" s="20" t="s">
        <v>64</v>
      </c>
      <c r="I112" s="9" t="s">
        <v>287</v>
      </c>
      <c r="J112" s="43">
        <v>2024.0</v>
      </c>
      <c r="K112" s="42" t="s">
        <v>75</v>
      </c>
    </row>
    <row r="113" ht="12.75" customHeight="1">
      <c r="A113" s="42" t="s">
        <v>309</v>
      </c>
      <c r="B113" s="21">
        <v>45403.0</v>
      </c>
      <c r="C113" s="20" t="s">
        <v>179</v>
      </c>
      <c r="D113" s="21">
        <v>45403.0</v>
      </c>
      <c r="E113" s="21">
        <v>45409.0</v>
      </c>
      <c r="F113" s="20" t="s">
        <v>310</v>
      </c>
      <c r="G113" s="42" t="s">
        <v>199</v>
      </c>
      <c r="H113" s="20" t="s">
        <v>64</v>
      </c>
      <c r="I113" s="9" t="s">
        <v>287</v>
      </c>
      <c r="J113" s="43">
        <v>2024.0</v>
      </c>
      <c r="K113" s="42" t="s">
        <v>76</v>
      </c>
    </row>
    <row r="114" ht="12.75" customHeight="1">
      <c r="A114" s="42" t="s">
        <v>311</v>
      </c>
      <c r="B114" s="21">
        <v>45404.0</v>
      </c>
      <c r="C114" s="20" t="s">
        <v>163</v>
      </c>
      <c r="D114" s="21">
        <v>45403.0</v>
      </c>
      <c r="E114" s="21">
        <v>45409.0</v>
      </c>
      <c r="F114" s="20" t="s">
        <v>310</v>
      </c>
      <c r="G114" s="42" t="s">
        <v>199</v>
      </c>
      <c r="H114" s="20" t="s">
        <v>64</v>
      </c>
      <c r="I114" s="9" t="s">
        <v>287</v>
      </c>
      <c r="J114" s="43">
        <v>2024.0</v>
      </c>
      <c r="K114" s="42" t="s">
        <v>76</v>
      </c>
    </row>
    <row r="115" ht="12.75" customHeight="1">
      <c r="A115" s="42" t="s">
        <v>312</v>
      </c>
      <c r="B115" s="21">
        <v>45405.0</v>
      </c>
      <c r="C115" s="20" t="s">
        <v>169</v>
      </c>
      <c r="D115" s="21">
        <v>45403.0</v>
      </c>
      <c r="E115" s="21">
        <v>45409.0</v>
      </c>
      <c r="F115" s="20" t="s">
        <v>310</v>
      </c>
      <c r="G115" s="42" t="s">
        <v>199</v>
      </c>
      <c r="H115" s="20" t="s">
        <v>64</v>
      </c>
      <c r="I115" s="9" t="s">
        <v>287</v>
      </c>
      <c r="J115" s="43">
        <v>2024.0</v>
      </c>
      <c r="K115" s="42" t="s">
        <v>76</v>
      </c>
    </row>
    <row r="116" ht="12.75" customHeight="1">
      <c r="A116" s="42" t="s">
        <v>313</v>
      </c>
      <c r="B116" s="21">
        <v>45406.0</v>
      </c>
      <c r="C116" s="20" t="s">
        <v>171</v>
      </c>
      <c r="D116" s="21">
        <v>45403.0</v>
      </c>
      <c r="E116" s="21">
        <v>45409.0</v>
      </c>
      <c r="F116" s="20" t="s">
        <v>310</v>
      </c>
      <c r="G116" s="42" t="s">
        <v>199</v>
      </c>
      <c r="H116" s="20" t="s">
        <v>64</v>
      </c>
      <c r="I116" s="9" t="s">
        <v>287</v>
      </c>
      <c r="J116" s="43">
        <v>2024.0</v>
      </c>
      <c r="K116" s="42" t="s">
        <v>76</v>
      </c>
    </row>
    <row r="117" ht="12.75" customHeight="1">
      <c r="A117" s="42" t="s">
        <v>314</v>
      </c>
      <c r="B117" s="21">
        <v>45407.0</v>
      </c>
      <c r="C117" s="20" t="s">
        <v>173</v>
      </c>
      <c r="D117" s="21">
        <v>45403.0</v>
      </c>
      <c r="E117" s="21">
        <v>45409.0</v>
      </c>
      <c r="F117" s="20" t="s">
        <v>310</v>
      </c>
      <c r="G117" s="42" t="s">
        <v>199</v>
      </c>
      <c r="H117" s="20" t="s">
        <v>64</v>
      </c>
      <c r="I117" s="9" t="s">
        <v>287</v>
      </c>
      <c r="J117" s="43">
        <v>2024.0</v>
      </c>
      <c r="K117" s="42" t="s">
        <v>76</v>
      </c>
    </row>
    <row r="118" ht="12.75" customHeight="1">
      <c r="A118" s="42" t="s">
        <v>315</v>
      </c>
      <c r="B118" s="21">
        <v>45408.0</v>
      </c>
      <c r="C118" s="20" t="s">
        <v>175</v>
      </c>
      <c r="D118" s="21">
        <v>45403.0</v>
      </c>
      <c r="E118" s="21">
        <v>45409.0</v>
      </c>
      <c r="F118" s="20" t="s">
        <v>310</v>
      </c>
      <c r="G118" s="42" t="s">
        <v>199</v>
      </c>
      <c r="H118" s="20" t="s">
        <v>64</v>
      </c>
      <c r="I118" s="9" t="s">
        <v>287</v>
      </c>
      <c r="J118" s="43">
        <v>2024.0</v>
      </c>
      <c r="K118" s="42" t="s">
        <v>76</v>
      </c>
    </row>
    <row r="119" ht="12.75" customHeight="1">
      <c r="A119" s="42" t="s">
        <v>316</v>
      </c>
      <c r="B119" s="21">
        <v>45409.0</v>
      </c>
      <c r="C119" s="20" t="s">
        <v>177</v>
      </c>
      <c r="D119" s="21">
        <v>45403.0</v>
      </c>
      <c r="E119" s="21">
        <v>45409.0</v>
      </c>
      <c r="F119" s="20" t="s">
        <v>310</v>
      </c>
      <c r="G119" s="42" t="s">
        <v>199</v>
      </c>
      <c r="H119" s="20" t="s">
        <v>64</v>
      </c>
      <c r="I119" s="9" t="s">
        <v>287</v>
      </c>
      <c r="J119" s="43">
        <v>2024.0</v>
      </c>
      <c r="K119" s="42" t="s">
        <v>76</v>
      </c>
    </row>
    <row r="120" ht="12.75" customHeight="1">
      <c r="A120" s="42" t="s">
        <v>317</v>
      </c>
      <c r="B120" s="21">
        <v>45410.0</v>
      </c>
      <c r="C120" s="20" t="s">
        <v>179</v>
      </c>
      <c r="D120" s="21">
        <v>45410.0</v>
      </c>
      <c r="E120" s="21">
        <v>45416.0</v>
      </c>
      <c r="F120" s="20" t="s">
        <v>318</v>
      </c>
      <c r="G120" s="42" t="s">
        <v>199</v>
      </c>
      <c r="H120" s="20" t="s">
        <v>64</v>
      </c>
      <c r="I120" s="9" t="s">
        <v>287</v>
      </c>
      <c r="J120" s="43">
        <v>2024.0</v>
      </c>
      <c r="K120" s="42" t="s">
        <v>77</v>
      </c>
    </row>
    <row r="121" ht="12.75" customHeight="1">
      <c r="A121" s="42" t="s">
        <v>319</v>
      </c>
      <c r="B121" s="21">
        <v>45411.0</v>
      </c>
      <c r="C121" s="20" t="s">
        <v>163</v>
      </c>
      <c r="D121" s="21">
        <v>45410.0</v>
      </c>
      <c r="E121" s="21">
        <v>45416.0</v>
      </c>
      <c r="F121" s="20" t="s">
        <v>318</v>
      </c>
      <c r="G121" s="42" t="s">
        <v>199</v>
      </c>
      <c r="H121" s="20" t="s">
        <v>64</v>
      </c>
      <c r="I121" s="9" t="s">
        <v>287</v>
      </c>
      <c r="J121" s="43">
        <v>2024.0</v>
      </c>
      <c r="K121" s="42" t="s">
        <v>77</v>
      </c>
    </row>
    <row r="122" ht="12.75" customHeight="1">
      <c r="A122" s="42" t="s">
        <v>320</v>
      </c>
      <c r="B122" s="21">
        <v>45412.0</v>
      </c>
      <c r="C122" s="20" t="s">
        <v>169</v>
      </c>
      <c r="D122" s="21">
        <v>45410.0</v>
      </c>
      <c r="E122" s="21">
        <v>45416.0</v>
      </c>
      <c r="F122" s="20" t="s">
        <v>318</v>
      </c>
      <c r="G122" s="42" t="s">
        <v>199</v>
      </c>
      <c r="H122" s="20" t="s">
        <v>64</v>
      </c>
      <c r="I122" s="9" t="s">
        <v>287</v>
      </c>
      <c r="J122" s="43">
        <v>2024.0</v>
      </c>
      <c r="K122" s="42" t="s">
        <v>77</v>
      </c>
    </row>
    <row r="123" ht="12.75" customHeight="1">
      <c r="A123" s="42" t="s">
        <v>321</v>
      </c>
      <c r="B123" s="21">
        <v>45413.0</v>
      </c>
      <c r="C123" s="20" t="s">
        <v>171</v>
      </c>
      <c r="D123" s="21">
        <v>45410.0</v>
      </c>
      <c r="E123" s="21">
        <v>45416.0</v>
      </c>
      <c r="F123" s="20" t="s">
        <v>318</v>
      </c>
      <c r="G123" s="42" t="s">
        <v>208</v>
      </c>
      <c r="H123" s="20" t="s">
        <v>70</v>
      </c>
      <c r="I123" s="9" t="s">
        <v>287</v>
      </c>
      <c r="J123" s="43">
        <v>2024.0</v>
      </c>
      <c r="K123" s="42" t="s">
        <v>77</v>
      </c>
    </row>
    <row r="124" ht="12.75" customHeight="1">
      <c r="A124" s="42" t="s">
        <v>322</v>
      </c>
      <c r="B124" s="21">
        <v>45414.0</v>
      </c>
      <c r="C124" s="20" t="s">
        <v>173</v>
      </c>
      <c r="D124" s="21">
        <v>45410.0</v>
      </c>
      <c r="E124" s="21">
        <v>45416.0</v>
      </c>
      <c r="F124" s="20" t="s">
        <v>318</v>
      </c>
      <c r="G124" s="42" t="s">
        <v>208</v>
      </c>
      <c r="H124" s="20" t="s">
        <v>70</v>
      </c>
      <c r="I124" s="9" t="s">
        <v>287</v>
      </c>
      <c r="J124" s="43">
        <v>2024.0</v>
      </c>
      <c r="K124" s="42" t="s">
        <v>77</v>
      </c>
    </row>
    <row r="125" ht="12.75" customHeight="1">
      <c r="A125" s="42" t="s">
        <v>323</v>
      </c>
      <c r="B125" s="21">
        <v>45415.0</v>
      </c>
      <c r="C125" s="20" t="s">
        <v>175</v>
      </c>
      <c r="D125" s="21">
        <v>45410.0</v>
      </c>
      <c r="E125" s="21">
        <v>45416.0</v>
      </c>
      <c r="F125" s="20" t="s">
        <v>318</v>
      </c>
      <c r="G125" s="42" t="s">
        <v>208</v>
      </c>
      <c r="H125" s="20" t="s">
        <v>70</v>
      </c>
      <c r="I125" s="9" t="s">
        <v>287</v>
      </c>
      <c r="J125" s="43">
        <v>2024.0</v>
      </c>
      <c r="K125" s="42" t="s">
        <v>77</v>
      </c>
    </row>
    <row r="126" ht="12.75" customHeight="1">
      <c r="A126" s="42" t="s">
        <v>324</v>
      </c>
      <c r="B126" s="21">
        <v>45416.0</v>
      </c>
      <c r="C126" s="20" t="s">
        <v>177</v>
      </c>
      <c r="D126" s="21">
        <v>45410.0</v>
      </c>
      <c r="E126" s="21">
        <v>45416.0</v>
      </c>
      <c r="F126" s="20" t="s">
        <v>318</v>
      </c>
      <c r="G126" s="42" t="s">
        <v>208</v>
      </c>
      <c r="H126" s="20" t="s">
        <v>70</v>
      </c>
      <c r="I126" s="9" t="s">
        <v>287</v>
      </c>
      <c r="J126" s="43">
        <v>2024.0</v>
      </c>
      <c r="K126" s="42" t="s">
        <v>77</v>
      </c>
    </row>
    <row r="127" ht="12.75" customHeight="1">
      <c r="A127" s="42" t="s">
        <v>325</v>
      </c>
      <c r="B127" s="21">
        <v>45417.0</v>
      </c>
      <c r="C127" s="20" t="s">
        <v>179</v>
      </c>
      <c r="D127" s="21">
        <v>45417.0</v>
      </c>
      <c r="E127" s="21">
        <v>45423.0</v>
      </c>
      <c r="F127" s="20" t="s">
        <v>326</v>
      </c>
      <c r="G127" s="42" t="s">
        <v>208</v>
      </c>
      <c r="H127" s="20" t="s">
        <v>70</v>
      </c>
      <c r="I127" s="9" t="s">
        <v>287</v>
      </c>
      <c r="J127" s="43">
        <v>2024.0</v>
      </c>
      <c r="K127" s="42" t="s">
        <v>101</v>
      </c>
    </row>
    <row r="128" ht="12.75" customHeight="1">
      <c r="A128" s="42" t="s">
        <v>327</v>
      </c>
      <c r="B128" s="21">
        <v>45418.0</v>
      </c>
      <c r="C128" s="20" t="s">
        <v>163</v>
      </c>
      <c r="D128" s="21">
        <v>45417.0</v>
      </c>
      <c r="E128" s="21">
        <v>45423.0</v>
      </c>
      <c r="F128" s="20" t="s">
        <v>326</v>
      </c>
      <c r="G128" s="42" t="s">
        <v>208</v>
      </c>
      <c r="H128" s="20" t="s">
        <v>70</v>
      </c>
      <c r="I128" s="9" t="s">
        <v>287</v>
      </c>
      <c r="J128" s="43">
        <v>2024.0</v>
      </c>
      <c r="K128" s="42" t="s">
        <v>101</v>
      </c>
    </row>
    <row r="129" ht="12.75" customHeight="1">
      <c r="A129" s="42" t="s">
        <v>328</v>
      </c>
      <c r="B129" s="21">
        <v>45419.0</v>
      </c>
      <c r="C129" s="20" t="s">
        <v>169</v>
      </c>
      <c r="D129" s="21">
        <v>45417.0</v>
      </c>
      <c r="E129" s="21">
        <v>45423.0</v>
      </c>
      <c r="F129" s="20" t="s">
        <v>326</v>
      </c>
      <c r="G129" s="42" t="s">
        <v>208</v>
      </c>
      <c r="H129" s="20" t="s">
        <v>70</v>
      </c>
      <c r="I129" s="9" t="s">
        <v>287</v>
      </c>
      <c r="J129" s="43">
        <v>2024.0</v>
      </c>
      <c r="K129" s="42" t="s">
        <v>101</v>
      </c>
    </row>
    <row r="130" ht="12.75" customHeight="1">
      <c r="A130" s="42" t="s">
        <v>329</v>
      </c>
      <c r="B130" s="21">
        <v>45420.0</v>
      </c>
      <c r="C130" s="20" t="s">
        <v>171</v>
      </c>
      <c r="D130" s="21">
        <v>45417.0</v>
      </c>
      <c r="E130" s="21">
        <v>45423.0</v>
      </c>
      <c r="F130" s="20" t="s">
        <v>326</v>
      </c>
      <c r="G130" s="42" t="s">
        <v>208</v>
      </c>
      <c r="H130" s="20" t="s">
        <v>70</v>
      </c>
      <c r="I130" s="9" t="s">
        <v>287</v>
      </c>
      <c r="J130" s="43">
        <v>2024.0</v>
      </c>
      <c r="K130" s="42" t="s">
        <v>101</v>
      </c>
    </row>
    <row r="131" ht="12.75" customHeight="1">
      <c r="A131" s="42" t="s">
        <v>330</v>
      </c>
      <c r="B131" s="21">
        <v>45421.0</v>
      </c>
      <c r="C131" s="20" t="s">
        <v>173</v>
      </c>
      <c r="D131" s="21">
        <v>45417.0</v>
      </c>
      <c r="E131" s="21">
        <v>45423.0</v>
      </c>
      <c r="F131" s="20" t="s">
        <v>326</v>
      </c>
      <c r="G131" s="42" t="s">
        <v>208</v>
      </c>
      <c r="H131" s="20" t="s">
        <v>70</v>
      </c>
      <c r="I131" s="9" t="s">
        <v>287</v>
      </c>
      <c r="J131" s="43">
        <v>2024.0</v>
      </c>
      <c r="K131" s="42" t="s">
        <v>101</v>
      </c>
    </row>
    <row r="132" ht="12.75" customHeight="1">
      <c r="A132" s="42" t="s">
        <v>331</v>
      </c>
      <c r="B132" s="21">
        <v>45422.0</v>
      </c>
      <c r="C132" s="20" t="s">
        <v>175</v>
      </c>
      <c r="D132" s="21">
        <v>45417.0</v>
      </c>
      <c r="E132" s="21">
        <v>45423.0</v>
      </c>
      <c r="F132" s="20" t="s">
        <v>326</v>
      </c>
      <c r="G132" s="42" t="s">
        <v>208</v>
      </c>
      <c r="H132" s="20" t="s">
        <v>70</v>
      </c>
      <c r="I132" s="9" t="s">
        <v>287</v>
      </c>
      <c r="J132" s="43">
        <v>2024.0</v>
      </c>
      <c r="K132" s="42" t="s">
        <v>101</v>
      </c>
    </row>
    <row r="133" ht="12.75" customHeight="1">
      <c r="A133" s="42" t="s">
        <v>332</v>
      </c>
      <c r="B133" s="21">
        <v>45423.0</v>
      </c>
      <c r="C133" s="20" t="s">
        <v>177</v>
      </c>
      <c r="D133" s="21">
        <v>45417.0</v>
      </c>
      <c r="E133" s="21">
        <v>45423.0</v>
      </c>
      <c r="F133" s="20" t="s">
        <v>326</v>
      </c>
      <c r="G133" s="42" t="s">
        <v>208</v>
      </c>
      <c r="H133" s="20" t="s">
        <v>70</v>
      </c>
      <c r="I133" s="9" t="s">
        <v>287</v>
      </c>
      <c r="J133" s="43">
        <v>2024.0</v>
      </c>
      <c r="K133" s="42" t="s">
        <v>101</v>
      </c>
    </row>
    <row r="134" ht="12.75" customHeight="1">
      <c r="A134" s="42" t="s">
        <v>333</v>
      </c>
      <c r="B134" s="21">
        <v>45424.0</v>
      </c>
      <c r="C134" s="20" t="s">
        <v>179</v>
      </c>
      <c r="D134" s="21">
        <v>45424.0</v>
      </c>
      <c r="E134" s="21">
        <v>45430.0</v>
      </c>
      <c r="F134" s="20" t="s">
        <v>334</v>
      </c>
      <c r="G134" s="42" t="s">
        <v>208</v>
      </c>
      <c r="H134" s="20" t="s">
        <v>70</v>
      </c>
      <c r="I134" s="9" t="s">
        <v>287</v>
      </c>
      <c r="J134" s="43">
        <v>2024.0</v>
      </c>
      <c r="K134" s="42" t="s">
        <v>102</v>
      </c>
    </row>
    <row r="135" ht="12.75" customHeight="1">
      <c r="A135" s="42" t="s">
        <v>335</v>
      </c>
      <c r="B135" s="21">
        <v>45425.0</v>
      </c>
      <c r="C135" s="20" t="s">
        <v>163</v>
      </c>
      <c r="D135" s="21">
        <v>45424.0</v>
      </c>
      <c r="E135" s="21">
        <v>45430.0</v>
      </c>
      <c r="F135" s="20" t="s">
        <v>334</v>
      </c>
      <c r="G135" s="42" t="s">
        <v>208</v>
      </c>
      <c r="H135" s="20" t="s">
        <v>70</v>
      </c>
      <c r="I135" s="9" t="s">
        <v>287</v>
      </c>
      <c r="J135" s="43">
        <v>2024.0</v>
      </c>
      <c r="K135" s="42" t="s">
        <v>102</v>
      </c>
    </row>
    <row r="136" ht="12.75" customHeight="1">
      <c r="A136" s="42" t="s">
        <v>336</v>
      </c>
      <c r="B136" s="21">
        <v>45426.0</v>
      </c>
      <c r="C136" s="20" t="s">
        <v>169</v>
      </c>
      <c r="D136" s="21">
        <v>45424.0</v>
      </c>
      <c r="E136" s="21">
        <v>45430.0</v>
      </c>
      <c r="F136" s="20" t="s">
        <v>334</v>
      </c>
      <c r="G136" s="42" t="s">
        <v>208</v>
      </c>
      <c r="H136" s="20" t="s">
        <v>70</v>
      </c>
      <c r="I136" s="9" t="s">
        <v>287</v>
      </c>
      <c r="J136" s="43">
        <v>2024.0</v>
      </c>
      <c r="K136" s="42" t="s">
        <v>102</v>
      </c>
    </row>
    <row r="137" ht="12.75" customHeight="1">
      <c r="A137" s="42" t="s">
        <v>337</v>
      </c>
      <c r="B137" s="21">
        <v>45427.0</v>
      </c>
      <c r="C137" s="20" t="s">
        <v>171</v>
      </c>
      <c r="D137" s="21">
        <v>45424.0</v>
      </c>
      <c r="E137" s="21">
        <v>45430.0</v>
      </c>
      <c r="F137" s="20" t="s">
        <v>334</v>
      </c>
      <c r="G137" s="42" t="s">
        <v>208</v>
      </c>
      <c r="H137" s="20" t="s">
        <v>70</v>
      </c>
      <c r="I137" s="9" t="s">
        <v>287</v>
      </c>
      <c r="J137" s="43">
        <v>2024.0</v>
      </c>
      <c r="K137" s="42" t="s">
        <v>102</v>
      </c>
    </row>
    <row r="138" ht="12.75" customHeight="1">
      <c r="A138" s="42" t="s">
        <v>338</v>
      </c>
      <c r="B138" s="21">
        <v>45428.0</v>
      </c>
      <c r="C138" s="20" t="s">
        <v>173</v>
      </c>
      <c r="D138" s="21">
        <v>45424.0</v>
      </c>
      <c r="E138" s="21">
        <v>45430.0</v>
      </c>
      <c r="F138" s="20" t="s">
        <v>334</v>
      </c>
      <c r="G138" s="42" t="s">
        <v>208</v>
      </c>
      <c r="H138" s="20" t="s">
        <v>70</v>
      </c>
      <c r="I138" s="9" t="s">
        <v>287</v>
      </c>
      <c r="J138" s="43">
        <v>2024.0</v>
      </c>
      <c r="K138" s="42" t="s">
        <v>102</v>
      </c>
    </row>
    <row r="139" ht="12.75" customHeight="1">
      <c r="A139" s="42" t="s">
        <v>339</v>
      </c>
      <c r="B139" s="21">
        <v>45429.0</v>
      </c>
      <c r="C139" s="20" t="s">
        <v>175</v>
      </c>
      <c r="D139" s="21">
        <v>45424.0</v>
      </c>
      <c r="E139" s="21">
        <v>45430.0</v>
      </c>
      <c r="F139" s="20" t="s">
        <v>334</v>
      </c>
      <c r="G139" s="42" t="s">
        <v>208</v>
      </c>
      <c r="H139" s="20" t="s">
        <v>70</v>
      </c>
      <c r="I139" s="9" t="s">
        <v>287</v>
      </c>
      <c r="J139" s="43">
        <v>2024.0</v>
      </c>
      <c r="K139" s="42" t="s">
        <v>102</v>
      </c>
    </row>
    <row r="140" ht="12.75" customHeight="1">
      <c r="A140" s="42" t="s">
        <v>340</v>
      </c>
      <c r="B140" s="21">
        <v>45430.0</v>
      </c>
      <c r="C140" s="20" t="s">
        <v>177</v>
      </c>
      <c r="D140" s="21">
        <v>45424.0</v>
      </c>
      <c r="E140" s="21">
        <v>45430.0</v>
      </c>
      <c r="F140" s="20" t="s">
        <v>334</v>
      </c>
      <c r="G140" s="42" t="s">
        <v>208</v>
      </c>
      <c r="H140" s="20" t="s">
        <v>70</v>
      </c>
      <c r="I140" s="9" t="s">
        <v>287</v>
      </c>
      <c r="J140" s="43">
        <v>2024.0</v>
      </c>
      <c r="K140" s="42" t="s">
        <v>102</v>
      </c>
    </row>
    <row r="141" ht="12.75" customHeight="1">
      <c r="A141" s="42" t="s">
        <v>341</v>
      </c>
      <c r="B141" s="21">
        <v>45431.0</v>
      </c>
      <c r="C141" s="20" t="s">
        <v>179</v>
      </c>
      <c r="D141" s="21">
        <v>45431.0</v>
      </c>
      <c r="E141" s="21">
        <v>45437.0</v>
      </c>
      <c r="F141" s="20" t="s">
        <v>342</v>
      </c>
      <c r="G141" s="42" t="s">
        <v>208</v>
      </c>
      <c r="H141" s="20" t="s">
        <v>70</v>
      </c>
      <c r="I141" s="9" t="s">
        <v>287</v>
      </c>
      <c r="J141" s="43">
        <v>2024.0</v>
      </c>
      <c r="K141" s="42" t="s">
        <v>103</v>
      </c>
    </row>
    <row r="142" ht="12.75" customHeight="1">
      <c r="A142" s="42" t="s">
        <v>343</v>
      </c>
      <c r="B142" s="21">
        <v>45432.0</v>
      </c>
      <c r="C142" s="20" t="s">
        <v>163</v>
      </c>
      <c r="D142" s="21">
        <v>45431.0</v>
      </c>
      <c r="E142" s="21">
        <v>45437.0</v>
      </c>
      <c r="F142" s="20" t="s">
        <v>342</v>
      </c>
      <c r="G142" s="42" t="s">
        <v>208</v>
      </c>
      <c r="H142" s="20" t="s">
        <v>70</v>
      </c>
      <c r="I142" s="9" t="s">
        <v>287</v>
      </c>
      <c r="J142" s="43">
        <v>2024.0</v>
      </c>
      <c r="K142" s="42" t="s">
        <v>103</v>
      </c>
    </row>
    <row r="143" ht="12.75" customHeight="1">
      <c r="A143" s="42" t="s">
        <v>344</v>
      </c>
      <c r="B143" s="21">
        <v>45433.0</v>
      </c>
      <c r="C143" s="20" t="s">
        <v>169</v>
      </c>
      <c r="D143" s="21">
        <v>45431.0</v>
      </c>
      <c r="E143" s="21">
        <v>45437.0</v>
      </c>
      <c r="F143" s="20" t="s">
        <v>342</v>
      </c>
      <c r="G143" s="42" t="s">
        <v>208</v>
      </c>
      <c r="H143" s="20" t="s">
        <v>70</v>
      </c>
      <c r="I143" s="9" t="s">
        <v>287</v>
      </c>
      <c r="J143" s="43">
        <v>2024.0</v>
      </c>
      <c r="K143" s="42" t="s">
        <v>103</v>
      </c>
    </row>
    <row r="144" ht="12.75" customHeight="1">
      <c r="A144" s="42" t="s">
        <v>345</v>
      </c>
      <c r="B144" s="21">
        <v>45434.0</v>
      </c>
      <c r="C144" s="20" t="s">
        <v>171</v>
      </c>
      <c r="D144" s="21">
        <v>45431.0</v>
      </c>
      <c r="E144" s="21">
        <v>45437.0</v>
      </c>
      <c r="F144" s="20" t="s">
        <v>342</v>
      </c>
      <c r="G144" s="42" t="s">
        <v>208</v>
      </c>
      <c r="H144" s="20" t="s">
        <v>70</v>
      </c>
      <c r="I144" s="9" t="s">
        <v>287</v>
      </c>
      <c r="J144" s="43">
        <v>2024.0</v>
      </c>
      <c r="K144" s="42" t="s">
        <v>103</v>
      </c>
    </row>
    <row r="145" ht="12.75" customHeight="1">
      <c r="A145" s="42" t="s">
        <v>346</v>
      </c>
      <c r="B145" s="21">
        <v>45435.0</v>
      </c>
      <c r="C145" s="20" t="s">
        <v>173</v>
      </c>
      <c r="D145" s="21">
        <v>45431.0</v>
      </c>
      <c r="E145" s="21">
        <v>45437.0</v>
      </c>
      <c r="F145" s="20" t="s">
        <v>342</v>
      </c>
      <c r="G145" s="42" t="s">
        <v>208</v>
      </c>
      <c r="H145" s="20" t="s">
        <v>70</v>
      </c>
      <c r="I145" s="9" t="s">
        <v>287</v>
      </c>
      <c r="J145" s="43">
        <v>2024.0</v>
      </c>
      <c r="K145" s="42" t="s">
        <v>103</v>
      </c>
    </row>
    <row r="146" ht="12.75" customHeight="1">
      <c r="A146" s="42" t="s">
        <v>347</v>
      </c>
      <c r="B146" s="21">
        <v>45436.0</v>
      </c>
      <c r="C146" s="20" t="s">
        <v>175</v>
      </c>
      <c r="D146" s="21">
        <v>45431.0</v>
      </c>
      <c r="E146" s="21">
        <v>45437.0</v>
      </c>
      <c r="F146" s="20" t="s">
        <v>342</v>
      </c>
      <c r="G146" s="42" t="s">
        <v>208</v>
      </c>
      <c r="H146" s="20" t="s">
        <v>70</v>
      </c>
      <c r="I146" s="9" t="s">
        <v>287</v>
      </c>
      <c r="J146" s="43">
        <v>2024.0</v>
      </c>
      <c r="K146" s="42" t="s">
        <v>103</v>
      </c>
    </row>
    <row r="147" ht="12.75" customHeight="1">
      <c r="A147" s="42" t="s">
        <v>348</v>
      </c>
      <c r="B147" s="21">
        <v>45437.0</v>
      </c>
      <c r="C147" s="20" t="s">
        <v>177</v>
      </c>
      <c r="D147" s="21">
        <v>45431.0</v>
      </c>
      <c r="E147" s="21">
        <v>45437.0</v>
      </c>
      <c r="F147" s="20" t="s">
        <v>342</v>
      </c>
      <c r="G147" s="42" t="s">
        <v>208</v>
      </c>
      <c r="H147" s="20" t="s">
        <v>70</v>
      </c>
      <c r="I147" s="9" t="s">
        <v>287</v>
      </c>
      <c r="J147" s="43">
        <v>2024.0</v>
      </c>
      <c r="K147" s="42" t="s">
        <v>103</v>
      </c>
    </row>
    <row r="148" ht="12.75" customHeight="1">
      <c r="A148" s="42" t="s">
        <v>349</v>
      </c>
      <c r="B148" s="21">
        <v>45438.0</v>
      </c>
      <c r="C148" s="20" t="s">
        <v>179</v>
      </c>
      <c r="D148" s="21">
        <v>45438.0</v>
      </c>
      <c r="E148" s="21">
        <v>45444.0</v>
      </c>
      <c r="F148" s="20" t="s">
        <v>350</v>
      </c>
      <c r="G148" s="42" t="s">
        <v>208</v>
      </c>
      <c r="H148" s="20" t="s">
        <v>70</v>
      </c>
      <c r="I148" s="9" t="s">
        <v>287</v>
      </c>
      <c r="J148" s="43">
        <v>2024.0</v>
      </c>
      <c r="K148" s="42" t="s">
        <v>104</v>
      </c>
    </row>
    <row r="149" ht="12.75" customHeight="1">
      <c r="A149" s="42" t="s">
        <v>351</v>
      </c>
      <c r="B149" s="21">
        <v>45439.0</v>
      </c>
      <c r="C149" s="20" t="s">
        <v>163</v>
      </c>
      <c r="D149" s="21">
        <v>45438.0</v>
      </c>
      <c r="E149" s="21">
        <v>45444.0</v>
      </c>
      <c r="F149" s="20" t="s">
        <v>350</v>
      </c>
      <c r="G149" s="42" t="s">
        <v>208</v>
      </c>
      <c r="H149" s="20" t="s">
        <v>70</v>
      </c>
      <c r="I149" s="9" t="s">
        <v>287</v>
      </c>
      <c r="J149" s="43">
        <v>2024.0</v>
      </c>
      <c r="K149" s="42" t="s">
        <v>104</v>
      </c>
    </row>
    <row r="150" ht="12.75" customHeight="1">
      <c r="A150" s="42" t="s">
        <v>352</v>
      </c>
      <c r="B150" s="21">
        <v>45440.0</v>
      </c>
      <c r="C150" s="20" t="s">
        <v>169</v>
      </c>
      <c r="D150" s="21">
        <v>45438.0</v>
      </c>
      <c r="E150" s="21">
        <v>45444.0</v>
      </c>
      <c r="F150" s="20" t="s">
        <v>350</v>
      </c>
      <c r="G150" s="42" t="s">
        <v>208</v>
      </c>
      <c r="H150" s="20" t="s">
        <v>70</v>
      </c>
      <c r="I150" s="9" t="s">
        <v>287</v>
      </c>
      <c r="J150" s="43">
        <v>2024.0</v>
      </c>
      <c r="K150" s="42" t="s">
        <v>104</v>
      </c>
    </row>
    <row r="151" ht="12.75" customHeight="1">
      <c r="A151" s="42" t="s">
        <v>353</v>
      </c>
      <c r="B151" s="21">
        <v>45441.0</v>
      </c>
      <c r="C151" s="20" t="s">
        <v>171</v>
      </c>
      <c r="D151" s="21">
        <v>45438.0</v>
      </c>
      <c r="E151" s="21">
        <v>45444.0</v>
      </c>
      <c r="F151" s="20" t="s">
        <v>350</v>
      </c>
      <c r="G151" s="42" t="s">
        <v>208</v>
      </c>
      <c r="H151" s="20" t="s">
        <v>70</v>
      </c>
      <c r="I151" s="9" t="s">
        <v>287</v>
      </c>
      <c r="J151" s="43">
        <v>2024.0</v>
      </c>
      <c r="K151" s="42" t="s">
        <v>104</v>
      </c>
    </row>
    <row r="152" ht="12.75" customHeight="1">
      <c r="A152" s="42" t="s">
        <v>354</v>
      </c>
      <c r="B152" s="21">
        <v>45442.0</v>
      </c>
      <c r="C152" s="20" t="s">
        <v>173</v>
      </c>
      <c r="D152" s="21">
        <v>45438.0</v>
      </c>
      <c r="E152" s="21">
        <v>45444.0</v>
      </c>
      <c r="F152" s="20" t="s">
        <v>350</v>
      </c>
      <c r="G152" s="42" t="s">
        <v>208</v>
      </c>
      <c r="H152" s="20" t="s">
        <v>70</v>
      </c>
      <c r="I152" s="9" t="s">
        <v>287</v>
      </c>
      <c r="J152" s="43">
        <v>2024.0</v>
      </c>
      <c r="K152" s="42" t="s">
        <v>104</v>
      </c>
    </row>
    <row r="153" ht="12.75" customHeight="1">
      <c r="A153" s="42" t="s">
        <v>355</v>
      </c>
      <c r="B153" s="21">
        <v>45443.0</v>
      </c>
      <c r="C153" s="20" t="s">
        <v>175</v>
      </c>
      <c r="D153" s="21">
        <v>45438.0</v>
      </c>
      <c r="E153" s="21">
        <v>45444.0</v>
      </c>
      <c r="F153" s="20" t="s">
        <v>350</v>
      </c>
      <c r="G153" s="42" t="s">
        <v>208</v>
      </c>
      <c r="H153" s="20" t="s">
        <v>70</v>
      </c>
      <c r="I153" s="9" t="s">
        <v>287</v>
      </c>
      <c r="J153" s="43">
        <v>2024.0</v>
      </c>
      <c r="K153" s="42" t="s">
        <v>104</v>
      </c>
    </row>
    <row r="154" ht="12.75" customHeight="1">
      <c r="A154" s="42" t="s">
        <v>356</v>
      </c>
      <c r="B154" s="21">
        <v>45444.0</v>
      </c>
      <c r="C154" s="20" t="s">
        <v>177</v>
      </c>
      <c r="D154" s="21">
        <v>45438.0</v>
      </c>
      <c r="E154" s="21">
        <v>45444.0</v>
      </c>
      <c r="F154" s="20" t="s">
        <v>350</v>
      </c>
      <c r="G154" s="42" t="s">
        <v>218</v>
      </c>
      <c r="H154" s="20" t="s">
        <v>68</v>
      </c>
      <c r="I154" s="9" t="s">
        <v>287</v>
      </c>
      <c r="J154" s="43">
        <v>2024.0</v>
      </c>
      <c r="K154" s="42" t="s">
        <v>104</v>
      </c>
    </row>
    <row r="155" ht="12.75" customHeight="1">
      <c r="A155" s="42" t="s">
        <v>357</v>
      </c>
      <c r="B155" s="21">
        <v>45445.0</v>
      </c>
      <c r="C155" s="20" t="s">
        <v>179</v>
      </c>
      <c r="D155" s="21">
        <v>45445.0</v>
      </c>
      <c r="E155" s="21">
        <v>45451.0</v>
      </c>
      <c r="F155" s="20" t="s">
        <v>358</v>
      </c>
      <c r="G155" s="42" t="s">
        <v>218</v>
      </c>
      <c r="H155" s="20" t="s">
        <v>68</v>
      </c>
      <c r="I155" s="9" t="s">
        <v>287</v>
      </c>
      <c r="J155" s="43">
        <v>2024.0</v>
      </c>
      <c r="K155" s="42" t="s">
        <v>91</v>
      </c>
    </row>
    <row r="156" ht="12.75" customHeight="1">
      <c r="A156" s="42" t="s">
        <v>359</v>
      </c>
      <c r="B156" s="21">
        <v>45446.0</v>
      </c>
      <c r="C156" s="20" t="s">
        <v>163</v>
      </c>
      <c r="D156" s="21">
        <v>45445.0</v>
      </c>
      <c r="E156" s="21">
        <v>45451.0</v>
      </c>
      <c r="F156" s="20" t="s">
        <v>358</v>
      </c>
      <c r="G156" s="42" t="s">
        <v>218</v>
      </c>
      <c r="H156" s="20" t="s">
        <v>68</v>
      </c>
      <c r="I156" s="9" t="s">
        <v>287</v>
      </c>
      <c r="J156" s="43">
        <v>2024.0</v>
      </c>
      <c r="K156" s="42" t="s">
        <v>91</v>
      </c>
    </row>
    <row r="157" ht="12.75" customHeight="1">
      <c r="A157" s="42" t="s">
        <v>360</v>
      </c>
      <c r="B157" s="21">
        <v>45447.0</v>
      </c>
      <c r="C157" s="20" t="s">
        <v>169</v>
      </c>
      <c r="D157" s="21">
        <v>45445.0</v>
      </c>
      <c r="E157" s="21">
        <v>45451.0</v>
      </c>
      <c r="F157" s="20" t="s">
        <v>358</v>
      </c>
      <c r="G157" s="42" t="s">
        <v>218</v>
      </c>
      <c r="H157" s="20" t="s">
        <v>68</v>
      </c>
      <c r="I157" s="9" t="s">
        <v>287</v>
      </c>
      <c r="J157" s="43">
        <v>2024.0</v>
      </c>
      <c r="K157" s="42" t="s">
        <v>91</v>
      </c>
    </row>
    <row r="158" ht="12.75" customHeight="1">
      <c r="A158" s="42" t="s">
        <v>361</v>
      </c>
      <c r="B158" s="21">
        <v>45448.0</v>
      </c>
      <c r="C158" s="20" t="s">
        <v>171</v>
      </c>
      <c r="D158" s="21">
        <v>45445.0</v>
      </c>
      <c r="E158" s="21">
        <v>45451.0</v>
      </c>
      <c r="F158" s="20" t="s">
        <v>358</v>
      </c>
      <c r="G158" s="42" t="s">
        <v>218</v>
      </c>
      <c r="H158" s="20" t="s">
        <v>68</v>
      </c>
      <c r="I158" s="9" t="s">
        <v>287</v>
      </c>
      <c r="J158" s="43">
        <v>2024.0</v>
      </c>
      <c r="K158" s="42" t="s">
        <v>91</v>
      </c>
    </row>
    <row r="159" ht="12.75" customHeight="1">
      <c r="A159" s="42" t="s">
        <v>362</v>
      </c>
      <c r="B159" s="21">
        <v>45449.0</v>
      </c>
      <c r="C159" s="20" t="s">
        <v>173</v>
      </c>
      <c r="D159" s="21">
        <v>45445.0</v>
      </c>
      <c r="E159" s="21">
        <v>45451.0</v>
      </c>
      <c r="F159" s="20" t="s">
        <v>358</v>
      </c>
      <c r="G159" s="42" t="s">
        <v>218</v>
      </c>
      <c r="H159" s="20" t="s">
        <v>68</v>
      </c>
      <c r="I159" s="9" t="s">
        <v>287</v>
      </c>
      <c r="J159" s="43">
        <v>2024.0</v>
      </c>
      <c r="K159" s="42" t="s">
        <v>91</v>
      </c>
    </row>
    <row r="160" ht="12.75" customHeight="1">
      <c r="A160" s="42" t="s">
        <v>363</v>
      </c>
      <c r="B160" s="21">
        <v>45450.0</v>
      </c>
      <c r="C160" s="20" t="s">
        <v>175</v>
      </c>
      <c r="D160" s="21">
        <v>45445.0</v>
      </c>
      <c r="E160" s="21">
        <v>45451.0</v>
      </c>
      <c r="F160" s="20" t="s">
        <v>358</v>
      </c>
      <c r="G160" s="42" t="s">
        <v>218</v>
      </c>
      <c r="H160" s="20" t="s">
        <v>68</v>
      </c>
      <c r="I160" s="9" t="s">
        <v>287</v>
      </c>
      <c r="J160" s="43">
        <v>2024.0</v>
      </c>
      <c r="K160" s="42" t="s">
        <v>91</v>
      </c>
    </row>
    <row r="161" ht="12.75" customHeight="1">
      <c r="A161" s="42" t="s">
        <v>364</v>
      </c>
      <c r="B161" s="21">
        <v>45451.0</v>
      </c>
      <c r="C161" s="20" t="s">
        <v>177</v>
      </c>
      <c r="D161" s="21">
        <v>45445.0</v>
      </c>
      <c r="E161" s="21">
        <v>45451.0</v>
      </c>
      <c r="F161" s="20" t="s">
        <v>358</v>
      </c>
      <c r="G161" s="42" t="s">
        <v>218</v>
      </c>
      <c r="H161" s="20" t="s">
        <v>68</v>
      </c>
      <c r="I161" s="9" t="s">
        <v>287</v>
      </c>
      <c r="J161" s="43">
        <v>2024.0</v>
      </c>
      <c r="K161" s="42" t="s">
        <v>91</v>
      </c>
    </row>
    <row r="162" ht="12.75" customHeight="1">
      <c r="A162" s="42" t="s">
        <v>365</v>
      </c>
      <c r="B162" s="21">
        <v>45452.0</v>
      </c>
      <c r="C162" s="20" t="s">
        <v>179</v>
      </c>
      <c r="D162" s="21">
        <v>45452.0</v>
      </c>
      <c r="E162" s="21">
        <v>45458.0</v>
      </c>
      <c r="F162" s="20" t="s">
        <v>366</v>
      </c>
      <c r="G162" s="42" t="s">
        <v>218</v>
      </c>
      <c r="H162" s="20" t="s">
        <v>68</v>
      </c>
      <c r="I162" s="9" t="s">
        <v>287</v>
      </c>
      <c r="J162" s="43">
        <v>2024.0</v>
      </c>
      <c r="K162" s="42" t="s">
        <v>92</v>
      </c>
    </row>
    <row r="163" ht="12.75" customHeight="1">
      <c r="A163" s="42" t="s">
        <v>367</v>
      </c>
      <c r="B163" s="21">
        <v>45453.0</v>
      </c>
      <c r="C163" s="20" t="s">
        <v>163</v>
      </c>
      <c r="D163" s="21">
        <v>45452.0</v>
      </c>
      <c r="E163" s="21">
        <v>45458.0</v>
      </c>
      <c r="F163" s="20" t="s">
        <v>366</v>
      </c>
      <c r="G163" s="42" t="s">
        <v>218</v>
      </c>
      <c r="H163" s="20" t="s">
        <v>68</v>
      </c>
      <c r="I163" s="9" t="s">
        <v>287</v>
      </c>
      <c r="J163" s="43">
        <v>2024.0</v>
      </c>
      <c r="K163" s="42" t="s">
        <v>92</v>
      </c>
    </row>
    <row r="164" ht="12.75" customHeight="1">
      <c r="A164" s="42" t="s">
        <v>368</v>
      </c>
      <c r="B164" s="21">
        <v>45454.0</v>
      </c>
      <c r="C164" s="20" t="s">
        <v>169</v>
      </c>
      <c r="D164" s="21">
        <v>45452.0</v>
      </c>
      <c r="E164" s="21">
        <v>45458.0</v>
      </c>
      <c r="F164" s="20" t="s">
        <v>366</v>
      </c>
      <c r="G164" s="42" t="s">
        <v>218</v>
      </c>
      <c r="H164" s="20" t="s">
        <v>68</v>
      </c>
      <c r="I164" s="9" t="s">
        <v>287</v>
      </c>
      <c r="J164" s="43">
        <v>2024.0</v>
      </c>
      <c r="K164" s="42" t="s">
        <v>92</v>
      </c>
    </row>
    <row r="165" ht="12.75" customHeight="1">
      <c r="A165" s="42" t="s">
        <v>369</v>
      </c>
      <c r="B165" s="21">
        <v>45455.0</v>
      </c>
      <c r="C165" s="20" t="s">
        <v>171</v>
      </c>
      <c r="D165" s="21">
        <v>45452.0</v>
      </c>
      <c r="E165" s="21">
        <v>45458.0</v>
      </c>
      <c r="F165" s="20" t="s">
        <v>366</v>
      </c>
      <c r="G165" s="42" t="s">
        <v>218</v>
      </c>
      <c r="H165" s="20" t="s">
        <v>68</v>
      </c>
      <c r="I165" s="9" t="s">
        <v>287</v>
      </c>
      <c r="J165" s="43">
        <v>2024.0</v>
      </c>
      <c r="K165" s="42" t="s">
        <v>92</v>
      </c>
    </row>
    <row r="166" ht="12.75" customHeight="1">
      <c r="A166" s="42" t="s">
        <v>370</v>
      </c>
      <c r="B166" s="21">
        <v>45456.0</v>
      </c>
      <c r="C166" s="20" t="s">
        <v>173</v>
      </c>
      <c r="D166" s="21">
        <v>45452.0</v>
      </c>
      <c r="E166" s="21">
        <v>45458.0</v>
      </c>
      <c r="F166" s="20" t="s">
        <v>366</v>
      </c>
      <c r="G166" s="42" t="s">
        <v>218</v>
      </c>
      <c r="H166" s="20" t="s">
        <v>68</v>
      </c>
      <c r="I166" s="9" t="s">
        <v>287</v>
      </c>
      <c r="J166" s="43">
        <v>2024.0</v>
      </c>
      <c r="K166" s="42" t="s">
        <v>92</v>
      </c>
    </row>
    <row r="167" ht="12.75" customHeight="1">
      <c r="A167" s="42" t="s">
        <v>371</v>
      </c>
      <c r="B167" s="21">
        <v>45457.0</v>
      </c>
      <c r="C167" s="20" t="s">
        <v>175</v>
      </c>
      <c r="D167" s="21">
        <v>45452.0</v>
      </c>
      <c r="E167" s="21">
        <v>45458.0</v>
      </c>
      <c r="F167" s="20" t="s">
        <v>366</v>
      </c>
      <c r="G167" s="42" t="s">
        <v>218</v>
      </c>
      <c r="H167" s="20" t="s">
        <v>68</v>
      </c>
      <c r="I167" s="9" t="s">
        <v>287</v>
      </c>
      <c r="J167" s="43">
        <v>2024.0</v>
      </c>
      <c r="K167" s="42" t="s">
        <v>92</v>
      </c>
    </row>
    <row r="168" ht="12.75" customHeight="1">
      <c r="A168" s="42" t="s">
        <v>372</v>
      </c>
      <c r="B168" s="21">
        <v>45458.0</v>
      </c>
      <c r="C168" s="20" t="s">
        <v>177</v>
      </c>
      <c r="D168" s="21">
        <v>45452.0</v>
      </c>
      <c r="E168" s="21">
        <v>45458.0</v>
      </c>
      <c r="F168" s="20" t="s">
        <v>366</v>
      </c>
      <c r="G168" s="42" t="s">
        <v>218</v>
      </c>
      <c r="H168" s="20" t="s">
        <v>68</v>
      </c>
      <c r="I168" s="9" t="s">
        <v>287</v>
      </c>
      <c r="J168" s="43">
        <v>2024.0</v>
      </c>
      <c r="K168" s="42" t="s">
        <v>92</v>
      </c>
    </row>
    <row r="169" ht="12.75" customHeight="1">
      <c r="A169" s="42" t="s">
        <v>373</v>
      </c>
      <c r="B169" s="21">
        <v>45459.0</v>
      </c>
      <c r="C169" s="20" t="s">
        <v>179</v>
      </c>
      <c r="D169" s="21">
        <v>45459.0</v>
      </c>
      <c r="E169" s="21">
        <v>45465.0</v>
      </c>
      <c r="F169" s="20" t="s">
        <v>374</v>
      </c>
      <c r="G169" s="42" t="s">
        <v>218</v>
      </c>
      <c r="H169" s="20" t="s">
        <v>68</v>
      </c>
      <c r="I169" s="9" t="s">
        <v>287</v>
      </c>
      <c r="J169" s="43">
        <v>2024.0</v>
      </c>
      <c r="K169" s="42" t="s">
        <v>93</v>
      </c>
    </row>
    <row r="170" ht="12.75" customHeight="1">
      <c r="A170" s="42" t="s">
        <v>375</v>
      </c>
      <c r="B170" s="21">
        <v>45460.0</v>
      </c>
      <c r="C170" s="20" t="s">
        <v>163</v>
      </c>
      <c r="D170" s="21">
        <v>45459.0</v>
      </c>
      <c r="E170" s="21">
        <v>45465.0</v>
      </c>
      <c r="F170" s="20" t="s">
        <v>374</v>
      </c>
      <c r="G170" s="42" t="s">
        <v>218</v>
      </c>
      <c r="H170" s="20" t="s">
        <v>68</v>
      </c>
      <c r="I170" s="9" t="s">
        <v>287</v>
      </c>
      <c r="J170" s="43">
        <v>2024.0</v>
      </c>
      <c r="K170" s="42" t="s">
        <v>93</v>
      </c>
    </row>
    <row r="171" ht="12.75" customHeight="1">
      <c r="A171" s="42" t="s">
        <v>376</v>
      </c>
      <c r="B171" s="21">
        <v>45461.0</v>
      </c>
      <c r="C171" s="20" t="s">
        <v>169</v>
      </c>
      <c r="D171" s="21">
        <v>45459.0</v>
      </c>
      <c r="E171" s="21">
        <v>45465.0</v>
      </c>
      <c r="F171" s="20" t="s">
        <v>374</v>
      </c>
      <c r="G171" s="42" t="s">
        <v>218</v>
      </c>
      <c r="H171" s="20" t="s">
        <v>68</v>
      </c>
      <c r="I171" s="9" t="s">
        <v>287</v>
      </c>
      <c r="J171" s="43">
        <v>2024.0</v>
      </c>
      <c r="K171" s="42" t="s">
        <v>93</v>
      </c>
    </row>
    <row r="172" ht="12.75" customHeight="1">
      <c r="A172" s="42" t="s">
        <v>377</v>
      </c>
      <c r="B172" s="21">
        <v>45462.0</v>
      </c>
      <c r="C172" s="20" t="s">
        <v>171</v>
      </c>
      <c r="D172" s="21">
        <v>45459.0</v>
      </c>
      <c r="E172" s="21">
        <v>45465.0</v>
      </c>
      <c r="F172" s="20" t="s">
        <v>374</v>
      </c>
      <c r="G172" s="42" t="s">
        <v>218</v>
      </c>
      <c r="H172" s="20" t="s">
        <v>68</v>
      </c>
      <c r="I172" s="9" t="s">
        <v>287</v>
      </c>
      <c r="J172" s="43">
        <v>2024.0</v>
      </c>
      <c r="K172" s="42" t="s">
        <v>93</v>
      </c>
    </row>
    <row r="173" ht="12.75" customHeight="1">
      <c r="A173" s="42" t="s">
        <v>378</v>
      </c>
      <c r="B173" s="21">
        <v>45463.0</v>
      </c>
      <c r="C173" s="20" t="s">
        <v>173</v>
      </c>
      <c r="D173" s="21">
        <v>45459.0</v>
      </c>
      <c r="E173" s="21">
        <v>45465.0</v>
      </c>
      <c r="F173" s="20" t="s">
        <v>374</v>
      </c>
      <c r="G173" s="42" t="s">
        <v>218</v>
      </c>
      <c r="H173" s="20" t="s">
        <v>68</v>
      </c>
      <c r="I173" s="9" t="s">
        <v>287</v>
      </c>
      <c r="J173" s="43">
        <v>2024.0</v>
      </c>
      <c r="K173" s="42" t="s">
        <v>93</v>
      </c>
    </row>
    <row r="174" ht="12.75" customHeight="1">
      <c r="A174" s="42" t="s">
        <v>379</v>
      </c>
      <c r="B174" s="21">
        <v>45464.0</v>
      </c>
      <c r="C174" s="20" t="s">
        <v>175</v>
      </c>
      <c r="D174" s="21">
        <v>45459.0</v>
      </c>
      <c r="E174" s="21">
        <v>45465.0</v>
      </c>
      <c r="F174" s="20" t="s">
        <v>374</v>
      </c>
      <c r="G174" s="42" t="s">
        <v>218</v>
      </c>
      <c r="H174" s="20" t="s">
        <v>68</v>
      </c>
      <c r="I174" s="9" t="s">
        <v>287</v>
      </c>
      <c r="J174" s="43">
        <v>2024.0</v>
      </c>
      <c r="K174" s="42" t="s">
        <v>93</v>
      </c>
    </row>
    <row r="175" ht="12.75" customHeight="1">
      <c r="A175" s="42" t="s">
        <v>380</v>
      </c>
      <c r="B175" s="21">
        <v>45465.0</v>
      </c>
      <c r="C175" s="20" t="s">
        <v>177</v>
      </c>
      <c r="D175" s="21">
        <v>45459.0</v>
      </c>
      <c r="E175" s="21">
        <v>45465.0</v>
      </c>
      <c r="F175" s="20" t="s">
        <v>374</v>
      </c>
      <c r="G175" s="42" t="s">
        <v>218</v>
      </c>
      <c r="H175" s="20" t="s">
        <v>68</v>
      </c>
      <c r="I175" s="9" t="s">
        <v>287</v>
      </c>
      <c r="J175" s="43">
        <v>2024.0</v>
      </c>
      <c r="K175" s="42" t="s">
        <v>93</v>
      </c>
    </row>
    <row r="176" ht="12.75" customHeight="1">
      <c r="A176" s="42" t="s">
        <v>381</v>
      </c>
      <c r="B176" s="21">
        <v>45466.0</v>
      </c>
      <c r="C176" s="20" t="s">
        <v>179</v>
      </c>
      <c r="D176" s="21">
        <v>45466.0</v>
      </c>
      <c r="E176" s="21">
        <v>45472.0</v>
      </c>
      <c r="F176" s="20" t="s">
        <v>382</v>
      </c>
      <c r="G176" s="42" t="s">
        <v>218</v>
      </c>
      <c r="H176" s="20" t="s">
        <v>68</v>
      </c>
      <c r="I176" s="9" t="s">
        <v>287</v>
      </c>
      <c r="J176" s="43">
        <v>2024.0</v>
      </c>
      <c r="K176" s="42" t="s">
        <v>94</v>
      </c>
    </row>
    <row r="177" ht="12.75" customHeight="1">
      <c r="A177" s="42" t="s">
        <v>383</v>
      </c>
      <c r="B177" s="21">
        <v>45467.0</v>
      </c>
      <c r="C177" s="20" t="s">
        <v>163</v>
      </c>
      <c r="D177" s="21">
        <v>45466.0</v>
      </c>
      <c r="E177" s="21">
        <v>45472.0</v>
      </c>
      <c r="F177" s="20" t="s">
        <v>382</v>
      </c>
      <c r="G177" s="42" t="s">
        <v>218</v>
      </c>
      <c r="H177" s="20" t="s">
        <v>68</v>
      </c>
      <c r="I177" s="9" t="s">
        <v>287</v>
      </c>
      <c r="J177" s="43">
        <v>2024.0</v>
      </c>
      <c r="K177" s="42" t="s">
        <v>94</v>
      </c>
    </row>
    <row r="178" ht="12.75" customHeight="1">
      <c r="A178" s="42" t="s">
        <v>384</v>
      </c>
      <c r="B178" s="21">
        <v>45468.0</v>
      </c>
      <c r="C178" s="20" t="s">
        <v>169</v>
      </c>
      <c r="D178" s="21">
        <v>45466.0</v>
      </c>
      <c r="E178" s="21">
        <v>45472.0</v>
      </c>
      <c r="F178" s="20" t="s">
        <v>382</v>
      </c>
      <c r="G178" s="42" t="s">
        <v>218</v>
      </c>
      <c r="H178" s="20" t="s">
        <v>68</v>
      </c>
      <c r="I178" s="9" t="s">
        <v>287</v>
      </c>
      <c r="J178" s="43">
        <v>2024.0</v>
      </c>
      <c r="K178" s="42" t="s">
        <v>94</v>
      </c>
    </row>
    <row r="179" ht="12.75" customHeight="1">
      <c r="A179" s="42" t="s">
        <v>385</v>
      </c>
      <c r="B179" s="21">
        <v>45469.0</v>
      </c>
      <c r="C179" s="20" t="s">
        <v>171</v>
      </c>
      <c r="D179" s="21">
        <v>45466.0</v>
      </c>
      <c r="E179" s="21">
        <v>45472.0</v>
      </c>
      <c r="F179" s="20" t="s">
        <v>382</v>
      </c>
      <c r="G179" s="42" t="s">
        <v>218</v>
      </c>
      <c r="H179" s="20" t="s">
        <v>68</v>
      </c>
      <c r="I179" s="9" t="s">
        <v>287</v>
      </c>
      <c r="J179" s="43">
        <v>2024.0</v>
      </c>
      <c r="K179" s="42" t="s">
        <v>94</v>
      </c>
    </row>
    <row r="180" ht="12.75" customHeight="1">
      <c r="A180" s="42" t="s">
        <v>386</v>
      </c>
      <c r="B180" s="21">
        <v>45470.0</v>
      </c>
      <c r="C180" s="20" t="s">
        <v>173</v>
      </c>
      <c r="D180" s="21">
        <v>45466.0</v>
      </c>
      <c r="E180" s="21">
        <v>45472.0</v>
      </c>
      <c r="F180" s="20" t="s">
        <v>382</v>
      </c>
      <c r="G180" s="42" t="s">
        <v>218</v>
      </c>
      <c r="H180" s="20" t="s">
        <v>68</v>
      </c>
      <c r="I180" s="9" t="s">
        <v>287</v>
      </c>
      <c r="J180" s="43">
        <v>2024.0</v>
      </c>
      <c r="K180" s="42" t="s">
        <v>94</v>
      </c>
    </row>
    <row r="181" ht="12.75" customHeight="1">
      <c r="A181" s="42" t="s">
        <v>387</v>
      </c>
      <c r="B181" s="21">
        <v>45471.0</v>
      </c>
      <c r="C181" s="20" t="s">
        <v>175</v>
      </c>
      <c r="D181" s="21">
        <v>45466.0</v>
      </c>
      <c r="E181" s="21">
        <v>45472.0</v>
      </c>
      <c r="F181" s="20" t="s">
        <v>382</v>
      </c>
      <c r="G181" s="42" t="s">
        <v>218</v>
      </c>
      <c r="H181" s="20" t="s">
        <v>68</v>
      </c>
      <c r="I181" s="9" t="s">
        <v>287</v>
      </c>
      <c r="J181" s="43">
        <v>2024.0</v>
      </c>
      <c r="K181" s="42" t="s">
        <v>94</v>
      </c>
    </row>
    <row r="182" ht="12.75" customHeight="1">
      <c r="A182" s="42" t="s">
        <v>388</v>
      </c>
      <c r="B182" s="21">
        <v>45472.0</v>
      </c>
      <c r="C182" s="20" t="s">
        <v>177</v>
      </c>
      <c r="D182" s="21">
        <v>45466.0</v>
      </c>
      <c r="E182" s="21">
        <v>45472.0</v>
      </c>
      <c r="F182" s="20" t="s">
        <v>382</v>
      </c>
      <c r="G182" s="42" t="s">
        <v>218</v>
      </c>
      <c r="H182" s="20" t="s">
        <v>68</v>
      </c>
      <c r="I182" s="9" t="s">
        <v>287</v>
      </c>
      <c r="J182" s="43">
        <v>2024.0</v>
      </c>
      <c r="K182" s="42" t="s">
        <v>94</v>
      </c>
    </row>
    <row r="183" ht="12.75" customHeight="1">
      <c r="A183" s="42" t="s">
        <v>389</v>
      </c>
      <c r="B183" s="21">
        <v>45473.0</v>
      </c>
      <c r="C183" s="20" t="s">
        <v>179</v>
      </c>
      <c r="D183" s="21">
        <v>45473.0</v>
      </c>
      <c r="E183" s="21">
        <v>45479.0</v>
      </c>
      <c r="F183" s="20" t="s">
        <v>390</v>
      </c>
      <c r="G183" s="42" t="s">
        <v>218</v>
      </c>
      <c r="H183" s="20" t="s">
        <v>68</v>
      </c>
      <c r="I183" s="9" t="s">
        <v>287</v>
      </c>
      <c r="J183" s="43">
        <v>2024.0</v>
      </c>
      <c r="K183" s="42" t="s">
        <v>95</v>
      </c>
    </row>
    <row r="184" ht="12.75" customHeight="1">
      <c r="A184" s="42" t="s">
        <v>391</v>
      </c>
      <c r="B184" s="21">
        <v>45474.0</v>
      </c>
      <c r="C184" s="20" t="s">
        <v>163</v>
      </c>
      <c r="D184" s="21">
        <v>45473.0</v>
      </c>
      <c r="E184" s="21">
        <v>45479.0</v>
      </c>
      <c r="F184" s="20" t="s">
        <v>390</v>
      </c>
      <c r="G184" s="42" t="s">
        <v>227</v>
      </c>
      <c r="H184" s="20" t="s">
        <v>67</v>
      </c>
      <c r="I184" s="9" t="s">
        <v>392</v>
      </c>
      <c r="J184" s="43">
        <v>2024.0</v>
      </c>
      <c r="K184" s="42" t="s">
        <v>95</v>
      </c>
    </row>
    <row r="185" ht="12.75" customHeight="1">
      <c r="A185" s="42" t="s">
        <v>393</v>
      </c>
      <c r="B185" s="21">
        <v>45475.0</v>
      </c>
      <c r="C185" s="20" t="s">
        <v>169</v>
      </c>
      <c r="D185" s="21">
        <v>45473.0</v>
      </c>
      <c r="E185" s="21">
        <v>45479.0</v>
      </c>
      <c r="F185" s="20" t="s">
        <v>390</v>
      </c>
      <c r="G185" s="42" t="s">
        <v>227</v>
      </c>
      <c r="H185" s="20" t="s">
        <v>67</v>
      </c>
      <c r="I185" s="9" t="s">
        <v>392</v>
      </c>
      <c r="J185" s="43">
        <v>2024.0</v>
      </c>
      <c r="K185" s="42" t="s">
        <v>95</v>
      </c>
    </row>
    <row r="186" ht="12.75" customHeight="1">
      <c r="A186" s="42" t="s">
        <v>394</v>
      </c>
      <c r="B186" s="21">
        <v>45476.0</v>
      </c>
      <c r="C186" s="20" t="s">
        <v>171</v>
      </c>
      <c r="D186" s="21">
        <v>45473.0</v>
      </c>
      <c r="E186" s="21">
        <v>45479.0</v>
      </c>
      <c r="F186" s="20" t="s">
        <v>390</v>
      </c>
      <c r="G186" s="42" t="s">
        <v>227</v>
      </c>
      <c r="H186" s="20" t="s">
        <v>67</v>
      </c>
      <c r="I186" s="9" t="s">
        <v>392</v>
      </c>
      <c r="J186" s="43">
        <v>2024.0</v>
      </c>
      <c r="K186" s="42" t="s">
        <v>95</v>
      </c>
    </row>
    <row r="187" ht="12.75" customHeight="1">
      <c r="A187" s="42" t="s">
        <v>395</v>
      </c>
      <c r="B187" s="21">
        <v>45477.0</v>
      </c>
      <c r="C187" s="20" t="s">
        <v>173</v>
      </c>
      <c r="D187" s="21">
        <v>45473.0</v>
      </c>
      <c r="E187" s="21">
        <v>45479.0</v>
      </c>
      <c r="F187" s="20" t="s">
        <v>390</v>
      </c>
      <c r="G187" s="42" t="s">
        <v>227</v>
      </c>
      <c r="H187" s="20" t="s">
        <v>67</v>
      </c>
      <c r="I187" s="9" t="s">
        <v>392</v>
      </c>
      <c r="J187" s="43">
        <v>2024.0</v>
      </c>
      <c r="K187" s="42" t="s">
        <v>95</v>
      </c>
    </row>
    <row r="188" ht="12.75" customHeight="1">
      <c r="A188" s="42" t="s">
        <v>396</v>
      </c>
      <c r="B188" s="21">
        <v>45478.0</v>
      </c>
      <c r="C188" s="20" t="s">
        <v>175</v>
      </c>
      <c r="D188" s="21">
        <v>45473.0</v>
      </c>
      <c r="E188" s="21">
        <v>45479.0</v>
      </c>
      <c r="F188" s="20" t="s">
        <v>390</v>
      </c>
      <c r="G188" s="42" t="s">
        <v>227</v>
      </c>
      <c r="H188" s="20" t="s">
        <v>67</v>
      </c>
      <c r="I188" s="9" t="s">
        <v>392</v>
      </c>
      <c r="J188" s="43">
        <v>2024.0</v>
      </c>
      <c r="K188" s="42" t="s">
        <v>95</v>
      </c>
    </row>
    <row r="189" ht="12.75" customHeight="1">
      <c r="A189" s="42" t="s">
        <v>397</v>
      </c>
      <c r="B189" s="21">
        <v>45479.0</v>
      </c>
      <c r="C189" s="20" t="s">
        <v>177</v>
      </c>
      <c r="D189" s="21">
        <v>45473.0</v>
      </c>
      <c r="E189" s="21">
        <v>45479.0</v>
      </c>
      <c r="F189" s="20" t="s">
        <v>390</v>
      </c>
      <c r="G189" s="42" t="s">
        <v>227</v>
      </c>
      <c r="H189" s="20" t="s">
        <v>67</v>
      </c>
      <c r="I189" s="9" t="s">
        <v>392</v>
      </c>
      <c r="J189" s="43">
        <v>2024.0</v>
      </c>
      <c r="K189" s="42" t="s">
        <v>95</v>
      </c>
    </row>
    <row r="190" ht="12.75" customHeight="1">
      <c r="A190" s="42" t="s">
        <v>398</v>
      </c>
      <c r="B190" s="21">
        <v>45480.0</v>
      </c>
      <c r="C190" s="20" t="s">
        <v>179</v>
      </c>
      <c r="D190" s="21">
        <v>45480.0</v>
      </c>
      <c r="E190" s="21">
        <v>45486.0</v>
      </c>
      <c r="F190" s="20" t="s">
        <v>399</v>
      </c>
      <c r="G190" s="42" t="s">
        <v>227</v>
      </c>
      <c r="H190" s="20" t="s">
        <v>67</v>
      </c>
      <c r="I190" s="9" t="s">
        <v>392</v>
      </c>
      <c r="J190" s="43">
        <v>2024.0</v>
      </c>
      <c r="K190" s="42" t="s">
        <v>87</v>
      </c>
    </row>
    <row r="191" ht="12.75" customHeight="1">
      <c r="A191" s="42" t="s">
        <v>400</v>
      </c>
      <c r="B191" s="21">
        <v>45481.0</v>
      </c>
      <c r="C191" s="20" t="s">
        <v>163</v>
      </c>
      <c r="D191" s="21">
        <v>45480.0</v>
      </c>
      <c r="E191" s="21">
        <v>45486.0</v>
      </c>
      <c r="F191" s="20" t="s">
        <v>399</v>
      </c>
      <c r="G191" s="42" t="s">
        <v>227</v>
      </c>
      <c r="H191" s="20" t="s">
        <v>67</v>
      </c>
      <c r="I191" s="9" t="s">
        <v>392</v>
      </c>
      <c r="J191" s="43">
        <v>2024.0</v>
      </c>
      <c r="K191" s="42" t="s">
        <v>87</v>
      </c>
    </row>
    <row r="192" ht="12.75" customHeight="1">
      <c r="A192" s="42" t="s">
        <v>401</v>
      </c>
      <c r="B192" s="21">
        <v>45482.0</v>
      </c>
      <c r="C192" s="20" t="s">
        <v>169</v>
      </c>
      <c r="D192" s="21">
        <v>45480.0</v>
      </c>
      <c r="E192" s="21">
        <v>45486.0</v>
      </c>
      <c r="F192" s="20" t="s">
        <v>399</v>
      </c>
      <c r="G192" s="42" t="s">
        <v>227</v>
      </c>
      <c r="H192" s="20" t="s">
        <v>67</v>
      </c>
      <c r="I192" s="9" t="s">
        <v>392</v>
      </c>
      <c r="J192" s="43">
        <v>2024.0</v>
      </c>
      <c r="K192" s="42" t="s">
        <v>87</v>
      </c>
    </row>
    <row r="193" ht="12.75" customHeight="1">
      <c r="A193" s="42" t="s">
        <v>402</v>
      </c>
      <c r="B193" s="21">
        <v>45483.0</v>
      </c>
      <c r="C193" s="20" t="s">
        <v>171</v>
      </c>
      <c r="D193" s="21">
        <v>45480.0</v>
      </c>
      <c r="E193" s="21">
        <v>45486.0</v>
      </c>
      <c r="F193" s="20" t="s">
        <v>399</v>
      </c>
      <c r="G193" s="42" t="s">
        <v>227</v>
      </c>
      <c r="H193" s="20" t="s">
        <v>67</v>
      </c>
      <c r="I193" s="9" t="s">
        <v>392</v>
      </c>
      <c r="J193" s="43">
        <v>2024.0</v>
      </c>
      <c r="K193" s="42" t="s">
        <v>87</v>
      </c>
    </row>
    <row r="194" ht="12.75" customHeight="1">
      <c r="A194" s="42" t="s">
        <v>403</v>
      </c>
      <c r="B194" s="21">
        <v>45484.0</v>
      </c>
      <c r="C194" s="20" t="s">
        <v>173</v>
      </c>
      <c r="D194" s="21">
        <v>45480.0</v>
      </c>
      <c r="E194" s="21">
        <v>45486.0</v>
      </c>
      <c r="F194" s="20" t="s">
        <v>399</v>
      </c>
      <c r="G194" s="42" t="s">
        <v>227</v>
      </c>
      <c r="H194" s="20" t="s">
        <v>67</v>
      </c>
      <c r="I194" s="9" t="s">
        <v>392</v>
      </c>
      <c r="J194" s="43">
        <v>2024.0</v>
      </c>
      <c r="K194" s="42" t="s">
        <v>87</v>
      </c>
    </row>
    <row r="195" ht="12.75" customHeight="1">
      <c r="A195" s="42" t="s">
        <v>404</v>
      </c>
      <c r="B195" s="21">
        <v>45485.0</v>
      </c>
      <c r="C195" s="20" t="s">
        <v>175</v>
      </c>
      <c r="D195" s="21">
        <v>45480.0</v>
      </c>
      <c r="E195" s="21">
        <v>45486.0</v>
      </c>
      <c r="F195" s="20" t="s">
        <v>399</v>
      </c>
      <c r="G195" s="42" t="s">
        <v>227</v>
      </c>
      <c r="H195" s="20" t="s">
        <v>67</v>
      </c>
      <c r="I195" s="9" t="s">
        <v>392</v>
      </c>
      <c r="J195" s="43">
        <v>2024.0</v>
      </c>
      <c r="K195" s="42" t="s">
        <v>87</v>
      </c>
    </row>
    <row r="196" ht="12.75" customHeight="1">
      <c r="A196" s="42" t="s">
        <v>405</v>
      </c>
      <c r="B196" s="21">
        <v>45486.0</v>
      </c>
      <c r="C196" s="20" t="s">
        <v>177</v>
      </c>
      <c r="D196" s="21">
        <v>45480.0</v>
      </c>
      <c r="E196" s="21">
        <v>45486.0</v>
      </c>
      <c r="F196" s="20" t="s">
        <v>399</v>
      </c>
      <c r="G196" s="42" t="s">
        <v>227</v>
      </c>
      <c r="H196" s="20" t="s">
        <v>67</v>
      </c>
      <c r="I196" s="9" t="s">
        <v>392</v>
      </c>
      <c r="J196" s="43">
        <v>2024.0</v>
      </c>
      <c r="K196" s="42" t="s">
        <v>87</v>
      </c>
    </row>
    <row r="197" ht="12.75" customHeight="1">
      <c r="A197" s="42" t="s">
        <v>406</v>
      </c>
      <c r="B197" s="21">
        <v>45487.0</v>
      </c>
      <c r="C197" s="20" t="s">
        <v>179</v>
      </c>
      <c r="D197" s="21">
        <v>45487.0</v>
      </c>
      <c r="E197" s="21">
        <v>45493.0</v>
      </c>
      <c r="F197" s="20" t="s">
        <v>407</v>
      </c>
      <c r="G197" s="42" t="s">
        <v>227</v>
      </c>
      <c r="H197" s="20" t="s">
        <v>67</v>
      </c>
      <c r="I197" s="9" t="s">
        <v>392</v>
      </c>
      <c r="J197" s="43">
        <v>2024.0</v>
      </c>
      <c r="K197" s="42" t="s">
        <v>88</v>
      </c>
    </row>
    <row r="198" ht="12.75" customHeight="1">
      <c r="A198" s="42" t="s">
        <v>408</v>
      </c>
      <c r="B198" s="21">
        <v>45488.0</v>
      </c>
      <c r="C198" s="20" t="s">
        <v>163</v>
      </c>
      <c r="D198" s="21">
        <v>45487.0</v>
      </c>
      <c r="E198" s="21">
        <v>45493.0</v>
      </c>
      <c r="F198" s="20" t="s">
        <v>407</v>
      </c>
      <c r="G198" s="42" t="s">
        <v>227</v>
      </c>
      <c r="H198" s="20" t="s">
        <v>67</v>
      </c>
      <c r="I198" s="9" t="s">
        <v>392</v>
      </c>
      <c r="J198" s="43">
        <v>2024.0</v>
      </c>
      <c r="K198" s="42" t="s">
        <v>88</v>
      </c>
    </row>
    <row r="199" ht="12.75" customHeight="1">
      <c r="A199" s="42" t="s">
        <v>409</v>
      </c>
      <c r="B199" s="21">
        <v>45489.0</v>
      </c>
      <c r="C199" s="20" t="s">
        <v>169</v>
      </c>
      <c r="D199" s="21">
        <v>45487.0</v>
      </c>
      <c r="E199" s="21">
        <v>45493.0</v>
      </c>
      <c r="F199" s="20" t="s">
        <v>407</v>
      </c>
      <c r="G199" s="42" t="s">
        <v>227</v>
      </c>
      <c r="H199" s="20" t="s">
        <v>67</v>
      </c>
      <c r="I199" s="9" t="s">
        <v>392</v>
      </c>
      <c r="J199" s="43">
        <v>2024.0</v>
      </c>
      <c r="K199" s="42" t="s">
        <v>88</v>
      </c>
    </row>
    <row r="200" ht="12.75" customHeight="1">
      <c r="A200" s="42" t="s">
        <v>410</v>
      </c>
      <c r="B200" s="21">
        <v>45490.0</v>
      </c>
      <c r="C200" s="20" t="s">
        <v>171</v>
      </c>
      <c r="D200" s="21">
        <v>45487.0</v>
      </c>
      <c r="E200" s="21">
        <v>45493.0</v>
      </c>
      <c r="F200" s="20" t="s">
        <v>407</v>
      </c>
      <c r="G200" s="42" t="s">
        <v>227</v>
      </c>
      <c r="H200" s="20" t="s">
        <v>67</v>
      </c>
      <c r="I200" s="9" t="s">
        <v>392</v>
      </c>
      <c r="J200" s="43">
        <v>2024.0</v>
      </c>
      <c r="K200" s="42" t="s">
        <v>88</v>
      </c>
    </row>
    <row r="201" ht="12.75" customHeight="1">
      <c r="A201" s="42" t="s">
        <v>411</v>
      </c>
      <c r="B201" s="21">
        <v>45491.0</v>
      </c>
      <c r="C201" s="20" t="s">
        <v>173</v>
      </c>
      <c r="D201" s="21">
        <v>45487.0</v>
      </c>
      <c r="E201" s="21">
        <v>45493.0</v>
      </c>
      <c r="F201" s="20" t="s">
        <v>407</v>
      </c>
      <c r="G201" s="42" t="s">
        <v>227</v>
      </c>
      <c r="H201" s="20" t="s">
        <v>67</v>
      </c>
      <c r="I201" s="9" t="s">
        <v>392</v>
      </c>
      <c r="J201" s="43">
        <v>2024.0</v>
      </c>
      <c r="K201" s="42" t="s">
        <v>88</v>
      </c>
    </row>
    <row r="202" ht="12.75" customHeight="1">
      <c r="A202" s="42" t="s">
        <v>412</v>
      </c>
      <c r="B202" s="21">
        <v>45492.0</v>
      </c>
      <c r="C202" s="20" t="s">
        <v>175</v>
      </c>
      <c r="D202" s="21">
        <v>45487.0</v>
      </c>
      <c r="E202" s="21">
        <v>45493.0</v>
      </c>
      <c r="F202" s="20" t="s">
        <v>407</v>
      </c>
      <c r="G202" s="42" t="s">
        <v>227</v>
      </c>
      <c r="H202" s="20" t="s">
        <v>67</v>
      </c>
      <c r="I202" s="9" t="s">
        <v>392</v>
      </c>
      <c r="J202" s="43">
        <v>2024.0</v>
      </c>
      <c r="K202" s="42" t="s">
        <v>88</v>
      </c>
    </row>
    <row r="203" ht="12.75" customHeight="1">
      <c r="A203" s="42" t="s">
        <v>413</v>
      </c>
      <c r="B203" s="21">
        <v>45493.0</v>
      </c>
      <c r="C203" s="20" t="s">
        <v>177</v>
      </c>
      <c r="D203" s="21">
        <v>45487.0</v>
      </c>
      <c r="E203" s="21">
        <v>45493.0</v>
      </c>
      <c r="F203" s="20" t="s">
        <v>407</v>
      </c>
      <c r="G203" s="42" t="s">
        <v>227</v>
      </c>
      <c r="H203" s="20" t="s">
        <v>67</v>
      </c>
      <c r="I203" s="9" t="s">
        <v>392</v>
      </c>
      <c r="J203" s="43">
        <v>2024.0</v>
      </c>
      <c r="K203" s="42" t="s">
        <v>88</v>
      </c>
    </row>
    <row r="204" ht="12.75" customHeight="1">
      <c r="A204" s="42" t="s">
        <v>414</v>
      </c>
      <c r="B204" s="21">
        <v>45494.0</v>
      </c>
      <c r="C204" s="20" t="s">
        <v>179</v>
      </c>
      <c r="D204" s="21">
        <v>45494.0</v>
      </c>
      <c r="E204" s="21">
        <v>45500.0</v>
      </c>
      <c r="F204" s="20" t="s">
        <v>415</v>
      </c>
      <c r="G204" s="42" t="s">
        <v>227</v>
      </c>
      <c r="H204" s="20" t="s">
        <v>67</v>
      </c>
      <c r="I204" s="9" t="s">
        <v>392</v>
      </c>
      <c r="J204" s="43">
        <v>2024.0</v>
      </c>
      <c r="K204" s="42" t="s">
        <v>89</v>
      </c>
    </row>
    <row r="205" ht="12.75" customHeight="1">
      <c r="A205" s="42" t="s">
        <v>416</v>
      </c>
      <c r="B205" s="21">
        <v>45495.0</v>
      </c>
      <c r="C205" s="20" t="s">
        <v>163</v>
      </c>
      <c r="D205" s="21">
        <v>45494.0</v>
      </c>
      <c r="E205" s="21">
        <v>45500.0</v>
      </c>
      <c r="F205" s="20" t="s">
        <v>415</v>
      </c>
      <c r="G205" s="42" t="s">
        <v>227</v>
      </c>
      <c r="H205" s="20" t="s">
        <v>67</v>
      </c>
      <c r="I205" s="9" t="s">
        <v>392</v>
      </c>
      <c r="J205" s="43">
        <v>2024.0</v>
      </c>
      <c r="K205" s="42" t="s">
        <v>89</v>
      </c>
    </row>
    <row r="206" ht="12.75" customHeight="1">
      <c r="A206" s="42" t="s">
        <v>417</v>
      </c>
      <c r="B206" s="21">
        <v>45496.0</v>
      </c>
      <c r="C206" s="20" t="s">
        <v>169</v>
      </c>
      <c r="D206" s="21">
        <v>45494.0</v>
      </c>
      <c r="E206" s="21">
        <v>45500.0</v>
      </c>
      <c r="F206" s="20" t="s">
        <v>415</v>
      </c>
      <c r="G206" s="42" t="s">
        <v>227</v>
      </c>
      <c r="H206" s="20" t="s">
        <v>67</v>
      </c>
      <c r="I206" s="9" t="s">
        <v>392</v>
      </c>
      <c r="J206" s="43">
        <v>2024.0</v>
      </c>
      <c r="K206" s="42" t="s">
        <v>89</v>
      </c>
    </row>
    <row r="207" ht="12.75" customHeight="1">
      <c r="A207" s="42" t="s">
        <v>418</v>
      </c>
      <c r="B207" s="21">
        <v>45497.0</v>
      </c>
      <c r="C207" s="20" t="s">
        <v>171</v>
      </c>
      <c r="D207" s="21">
        <v>45494.0</v>
      </c>
      <c r="E207" s="21">
        <v>45500.0</v>
      </c>
      <c r="F207" s="20" t="s">
        <v>415</v>
      </c>
      <c r="G207" s="42" t="s">
        <v>227</v>
      </c>
      <c r="H207" s="20" t="s">
        <v>67</v>
      </c>
      <c r="I207" s="9" t="s">
        <v>392</v>
      </c>
      <c r="J207" s="43">
        <v>2024.0</v>
      </c>
      <c r="K207" s="42" t="s">
        <v>89</v>
      </c>
    </row>
    <row r="208" ht="12.75" customHeight="1">
      <c r="A208" s="42" t="s">
        <v>419</v>
      </c>
      <c r="B208" s="21">
        <v>45498.0</v>
      </c>
      <c r="C208" s="20" t="s">
        <v>173</v>
      </c>
      <c r="D208" s="21">
        <v>45494.0</v>
      </c>
      <c r="E208" s="21">
        <v>45500.0</v>
      </c>
      <c r="F208" s="20" t="s">
        <v>415</v>
      </c>
      <c r="G208" s="42" t="s">
        <v>227</v>
      </c>
      <c r="H208" s="20" t="s">
        <v>67</v>
      </c>
      <c r="I208" s="9" t="s">
        <v>392</v>
      </c>
      <c r="J208" s="43">
        <v>2024.0</v>
      </c>
      <c r="K208" s="42" t="s">
        <v>89</v>
      </c>
    </row>
    <row r="209" ht="12.75" customHeight="1">
      <c r="A209" s="42" t="s">
        <v>420</v>
      </c>
      <c r="B209" s="21">
        <v>45499.0</v>
      </c>
      <c r="C209" s="20" t="s">
        <v>175</v>
      </c>
      <c r="D209" s="21">
        <v>45494.0</v>
      </c>
      <c r="E209" s="21">
        <v>45500.0</v>
      </c>
      <c r="F209" s="20" t="s">
        <v>415</v>
      </c>
      <c r="G209" s="42" t="s">
        <v>227</v>
      </c>
      <c r="H209" s="20" t="s">
        <v>67</v>
      </c>
      <c r="I209" s="9" t="s">
        <v>392</v>
      </c>
      <c r="J209" s="43">
        <v>2024.0</v>
      </c>
      <c r="K209" s="42" t="s">
        <v>89</v>
      </c>
    </row>
    <row r="210" ht="12.75" customHeight="1">
      <c r="A210" s="42" t="s">
        <v>421</v>
      </c>
      <c r="B210" s="21">
        <v>45500.0</v>
      </c>
      <c r="C210" s="20" t="s">
        <v>177</v>
      </c>
      <c r="D210" s="21">
        <v>45494.0</v>
      </c>
      <c r="E210" s="21">
        <v>45500.0</v>
      </c>
      <c r="F210" s="20" t="s">
        <v>415</v>
      </c>
      <c r="G210" s="42" t="s">
        <v>227</v>
      </c>
      <c r="H210" s="20" t="s">
        <v>67</v>
      </c>
      <c r="I210" s="9" t="s">
        <v>392</v>
      </c>
      <c r="J210" s="43">
        <v>2024.0</v>
      </c>
      <c r="K210" s="42" t="s">
        <v>89</v>
      </c>
    </row>
    <row r="211" ht="12.75" customHeight="1">
      <c r="A211" s="42" t="s">
        <v>422</v>
      </c>
      <c r="B211" s="21">
        <v>45501.0</v>
      </c>
      <c r="C211" s="20" t="s">
        <v>179</v>
      </c>
      <c r="D211" s="21">
        <v>45501.0</v>
      </c>
      <c r="E211" s="21">
        <v>45507.0</v>
      </c>
      <c r="F211" s="20" t="s">
        <v>423</v>
      </c>
      <c r="G211" s="42" t="s">
        <v>227</v>
      </c>
      <c r="H211" s="20" t="s">
        <v>67</v>
      </c>
      <c r="I211" s="9" t="s">
        <v>392</v>
      </c>
      <c r="J211" s="43">
        <v>2024.0</v>
      </c>
      <c r="K211" s="42" t="s">
        <v>90</v>
      </c>
    </row>
    <row r="212" ht="12.75" customHeight="1">
      <c r="A212" s="42" t="s">
        <v>424</v>
      </c>
      <c r="B212" s="21">
        <v>45502.0</v>
      </c>
      <c r="C212" s="20" t="s">
        <v>163</v>
      </c>
      <c r="D212" s="21">
        <v>45501.0</v>
      </c>
      <c r="E212" s="21">
        <v>45507.0</v>
      </c>
      <c r="F212" s="20" t="s">
        <v>423</v>
      </c>
      <c r="G212" s="42" t="s">
        <v>227</v>
      </c>
      <c r="H212" s="20" t="s">
        <v>67</v>
      </c>
      <c r="I212" s="9" t="s">
        <v>392</v>
      </c>
      <c r="J212" s="43">
        <v>2024.0</v>
      </c>
      <c r="K212" s="42" t="s">
        <v>90</v>
      </c>
    </row>
    <row r="213" ht="12.75" customHeight="1">
      <c r="A213" s="42" t="s">
        <v>425</v>
      </c>
      <c r="B213" s="21">
        <v>45503.0</v>
      </c>
      <c r="C213" s="20" t="s">
        <v>169</v>
      </c>
      <c r="D213" s="21">
        <v>45501.0</v>
      </c>
      <c r="E213" s="21">
        <v>45507.0</v>
      </c>
      <c r="F213" s="20" t="s">
        <v>423</v>
      </c>
      <c r="G213" s="42" t="s">
        <v>227</v>
      </c>
      <c r="H213" s="20" t="s">
        <v>67</v>
      </c>
      <c r="I213" s="9" t="s">
        <v>392</v>
      </c>
      <c r="J213" s="43">
        <v>2024.0</v>
      </c>
      <c r="K213" s="42" t="s">
        <v>90</v>
      </c>
    </row>
    <row r="214" ht="12.75" customHeight="1">
      <c r="A214" s="42" t="s">
        <v>426</v>
      </c>
      <c r="B214" s="21">
        <v>45504.0</v>
      </c>
      <c r="C214" s="20" t="s">
        <v>171</v>
      </c>
      <c r="D214" s="21">
        <v>45501.0</v>
      </c>
      <c r="E214" s="21">
        <v>45507.0</v>
      </c>
      <c r="F214" s="20" t="s">
        <v>423</v>
      </c>
      <c r="G214" s="42" t="s">
        <v>227</v>
      </c>
      <c r="H214" s="20" t="s">
        <v>67</v>
      </c>
      <c r="I214" s="9" t="s">
        <v>392</v>
      </c>
      <c r="J214" s="43">
        <v>2024.0</v>
      </c>
      <c r="K214" s="42" t="s">
        <v>90</v>
      </c>
    </row>
    <row r="215" ht="12.75" customHeight="1">
      <c r="A215" s="42" t="s">
        <v>427</v>
      </c>
      <c r="B215" s="21">
        <v>45505.0</v>
      </c>
      <c r="C215" s="20" t="s">
        <v>173</v>
      </c>
      <c r="D215" s="21">
        <v>45501.0</v>
      </c>
      <c r="E215" s="21">
        <v>45507.0</v>
      </c>
      <c r="F215" s="20" t="s">
        <v>423</v>
      </c>
      <c r="G215" s="42" t="s">
        <v>236</v>
      </c>
      <c r="H215" s="20" t="s">
        <v>65</v>
      </c>
      <c r="I215" s="9" t="s">
        <v>392</v>
      </c>
      <c r="J215" s="43">
        <v>2024.0</v>
      </c>
      <c r="K215" s="42" t="s">
        <v>90</v>
      </c>
    </row>
    <row r="216" ht="12.75" customHeight="1">
      <c r="A216" s="42" t="s">
        <v>428</v>
      </c>
      <c r="B216" s="21">
        <v>45506.0</v>
      </c>
      <c r="C216" s="20" t="s">
        <v>175</v>
      </c>
      <c r="D216" s="21">
        <v>45501.0</v>
      </c>
      <c r="E216" s="21">
        <v>45507.0</v>
      </c>
      <c r="F216" s="20" t="s">
        <v>423</v>
      </c>
      <c r="G216" s="42" t="s">
        <v>236</v>
      </c>
      <c r="H216" s="20" t="s">
        <v>65</v>
      </c>
      <c r="I216" s="9" t="s">
        <v>392</v>
      </c>
      <c r="J216" s="43">
        <v>2024.0</v>
      </c>
      <c r="K216" s="42" t="s">
        <v>90</v>
      </c>
    </row>
    <row r="217" ht="12.75" customHeight="1">
      <c r="A217" s="42" t="s">
        <v>429</v>
      </c>
      <c r="B217" s="21">
        <v>45507.0</v>
      </c>
      <c r="C217" s="20" t="s">
        <v>177</v>
      </c>
      <c r="D217" s="21">
        <v>45501.0</v>
      </c>
      <c r="E217" s="21">
        <v>45507.0</v>
      </c>
      <c r="F217" s="20" t="s">
        <v>423</v>
      </c>
      <c r="G217" s="42" t="s">
        <v>236</v>
      </c>
      <c r="H217" s="20" t="s">
        <v>65</v>
      </c>
      <c r="I217" s="9" t="s">
        <v>392</v>
      </c>
      <c r="J217" s="43">
        <v>2024.0</v>
      </c>
      <c r="K217" s="42" t="s">
        <v>90</v>
      </c>
    </row>
    <row r="218" ht="12.75" customHeight="1">
      <c r="A218" s="42" t="s">
        <v>430</v>
      </c>
      <c r="B218" s="21">
        <v>45508.0</v>
      </c>
      <c r="C218" s="20" t="s">
        <v>179</v>
      </c>
      <c r="D218" s="21">
        <v>45508.0</v>
      </c>
      <c r="E218" s="21">
        <v>45514.0</v>
      </c>
      <c r="F218" s="20" t="s">
        <v>431</v>
      </c>
      <c r="G218" s="42" t="s">
        <v>236</v>
      </c>
      <c r="H218" s="20" t="s">
        <v>65</v>
      </c>
      <c r="I218" s="9" t="s">
        <v>392</v>
      </c>
      <c r="J218" s="43">
        <v>2024.0</v>
      </c>
      <c r="K218" s="42" t="s">
        <v>78</v>
      </c>
    </row>
    <row r="219" ht="12.75" customHeight="1">
      <c r="A219" s="42" t="s">
        <v>432</v>
      </c>
      <c r="B219" s="21">
        <v>45509.0</v>
      </c>
      <c r="C219" s="20" t="s">
        <v>163</v>
      </c>
      <c r="D219" s="21">
        <v>45508.0</v>
      </c>
      <c r="E219" s="21">
        <v>45514.0</v>
      </c>
      <c r="F219" s="20" t="s">
        <v>431</v>
      </c>
      <c r="G219" s="42" t="s">
        <v>236</v>
      </c>
      <c r="H219" s="20" t="s">
        <v>65</v>
      </c>
      <c r="I219" s="9" t="s">
        <v>392</v>
      </c>
      <c r="J219" s="43">
        <v>2024.0</v>
      </c>
      <c r="K219" s="42" t="s">
        <v>78</v>
      </c>
    </row>
    <row r="220" ht="12.75" customHeight="1">
      <c r="A220" s="42" t="s">
        <v>433</v>
      </c>
      <c r="B220" s="21">
        <v>45510.0</v>
      </c>
      <c r="C220" s="20" t="s">
        <v>169</v>
      </c>
      <c r="D220" s="21">
        <v>45508.0</v>
      </c>
      <c r="E220" s="21">
        <v>45514.0</v>
      </c>
      <c r="F220" s="20" t="s">
        <v>431</v>
      </c>
      <c r="G220" s="42" t="s">
        <v>236</v>
      </c>
      <c r="H220" s="20" t="s">
        <v>65</v>
      </c>
      <c r="I220" s="9" t="s">
        <v>392</v>
      </c>
      <c r="J220" s="43">
        <v>2024.0</v>
      </c>
      <c r="K220" s="42" t="s">
        <v>78</v>
      </c>
    </row>
    <row r="221" ht="12.75" customHeight="1">
      <c r="A221" s="42" t="s">
        <v>434</v>
      </c>
      <c r="B221" s="21">
        <v>45511.0</v>
      </c>
      <c r="C221" s="20" t="s">
        <v>171</v>
      </c>
      <c r="D221" s="21">
        <v>45508.0</v>
      </c>
      <c r="E221" s="21">
        <v>45514.0</v>
      </c>
      <c r="F221" s="20" t="s">
        <v>431</v>
      </c>
      <c r="G221" s="42" t="s">
        <v>236</v>
      </c>
      <c r="H221" s="20" t="s">
        <v>65</v>
      </c>
      <c r="I221" s="9" t="s">
        <v>392</v>
      </c>
      <c r="J221" s="43">
        <v>2024.0</v>
      </c>
      <c r="K221" s="42" t="s">
        <v>78</v>
      </c>
    </row>
    <row r="222" ht="12.75" customHeight="1">
      <c r="A222" s="42" t="s">
        <v>435</v>
      </c>
      <c r="B222" s="21">
        <v>45512.0</v>
      </c>
      <c r="C222" s="20" t="s">
        <v>173</v>
      </c>
      <c r="D222" s="21">
        <v>45508.0</v>
      </c>
      <c r="E222" s="21">
        <v>45514.0</v>
      </c>
      <c r="F222" s="20" t="s">
        <v>431</v>
      </c>
      <c r="G222" s="42" t="s">
        <v>236</v>
      </c>
      <c r="H222" s="20" t="s">
        <v>65</v>
      </c>
      <c r="I222" s="9" t="s">
        <v>392</v>
      </c>
      <c r="J222" s="43">
        <v>2024.0</v>
      </c>
      <c r="K222" s="42" t="s">
        <v>78</v>
      </c>
    </row>
    <row r="223" ht="12.75" customHeight="1">
      <c r="A223" s="42" t="s">
        <v>436</v>
      </c>
      <c r="B223" s="21">
        <v>45513.0</v>
      </c>
      <c r="C223" s="20" t="s">
        <v>175</v>
      </c>
      <c r="D223" s="21">
        <v>45508.0</v>
      </c>
      <c r="E223" s="21">
        <v>45514.0</v>
      </c>
      <c r="F223" s="20" t="s">
        <v>431</v>
      </c>
      <c r="G223" s="42" t="s">
        <v>236</v>
      </c>
      <c r="H223" s="20" t="s">
        <v>65</v>
      </c>
      <c r="I223" s="9" t="s">
        <v>392</v>
      </c>
      <c r="J223" s="43">
        <v>2024.0</v>
      </c>
      <c r="K223" s="42" t="s">
        <v>78</v>
      </c>
    </row>
    <row r="224" ht="12.75" customHeight="1">
      <c r="A224" s="42" t="s">
        <v>437</v>
      </c>
      <c r="B224" s="21">
        <v>45514.0</v>
      </c>
      <c r="C224" s="20" t="s">
        <v>177</v>
      </c>
      <c r="D224" s="21">
        <v>45508.0</v>
      </c>
      <c r="E224" s="21">
        <v>45514.0</v>
      </c>
      <c r="F224" s="20" t="s">
        <v>431</v>
      </c>
      <c r="G224" s="42" t="s">
        <v>236</v>
      </c>
      <c r="H224" s="20" t="s">
        <v>65</v>
      </c>
      <c r="I224" s="9" t="s">
        <v>392</v>
      </c>
      <c r="J224" s="43">
        <v>2024.0</v>
      </c>
      <c r="K224" s="42" t="s">
        <v>78</v>
      </c>
    </row>
    <row r="225" ht="12.75" customHeight="1">
      <c r="A225" s="42" t="s">
        <v>438</v>
      </c>
      <c r="B225" s="21">
        <v>45515.0</v>
      </c>
      <c r="C225" s="20" t="s">
        <v>179</v>
      </c>
      <c r="D225" s="21">
        <v>45515.0</v>
      </c>
      <c r="E225" s="21">
        <v>45521.0</v>
      </c>
      <c r="F225" s="20" t="s">
        <v>439</v>
      </c>
      <c r="G225" s="42" t="s">
        <v>236</v>
      </c>
      <c r="H225" s="20" t="s">
        <v>65</v>
      </c>
      <c r="I225" s="9" t="s">
        <v>392</v>
      </c>
      <c r="J225" s="43">
        <v>2024.0</v>
      </c>
      <c r="K225" s="42" t="s">
        <v>79</v>
      </c>
    </row>
    <row r="226" ht="12.75" customHeight="1">
      <c r="A226" s="42" t="s">
        <v>440</v>
      </c>
      <c r="B226" s="21">
        <v>45516.0</v>
      </c>
      <c r="C226" s="20" t="s">
        <v>163</v>
      </c>
      <c r="D226" s="21">
        <v>45515.0</v>
      </c>
      <c r="E226" s="21">
        <v>45521.0</v>
      </c>
      <c r="F226" s="20" t="s">
        <v>439</v>
      </c>
      <c r="G226" s="42" t="s">
        <v>236</v>
      </c>
      <c r="H226" s="20" t="s">
        <v>65</v>
      </c>
      <c r="I226" s="9" t="s">
        <v>392</v>
      </c>
      <c r="J226" s="43">
        <v>2024.0</v>
      </c>
      <c r="K226" s="42" t="s">
        <v>79</v>
      </c>
    </row>
    <row r="227" ht="12.75" customHeight="1">
      <c r="A227" s="42" t="s">
        <v>441</v>
      </c>
      <c r="B227" s="21">
        <v>45517.0</v>
      </c>
      <c r="C227" s="20" t="s">
        <v>169</v>
      </c>
      <c r="D227" s="21">
        <v>45515.0</v>
      </c>
      <c r="E227" s="21">
        <v>45521.0</v>
      </c>
      <c r="F227" s="20" t="s">
        <v>439</v>
      </c>
      <c r="G227" s="42" t="s">
        <v>236</v>
      </c>
      <c r="H227" s="20" t="s">
        <v>65</v>
      </c>
      <c r="I227" s="9" t="s">
        <v>392</v>
      </c>
      <c r="J227" s="43">
        <v>2024.0</v>
      </c>
      <c r="K227" s="42" t="s">
        <v>79</v>
      </c>
    </row>
    <row r="228" ht="12.75" customHeight="1">
      <c r="A228" s="42" t="s">
        <v>442</v>
      </c>
      <c r="B228" s="21">
        <v>45518.0</v>
      </c>
      <c r="C228" s="20" t="s">
        <v>171</v>
      </c>
      <c r="D228" s="21">
        <v>45515.0</v>
      </c>
      <c r="E228" s="21">
        <v>45521.0</v>
      </c>
      <c r="F228" s="20" t="s">
        <v>439</v>
      </c>
      <c r="G228" s="42" t="s">
        <v>236</v>
      </c>
      <c r="H228" s="20" t="s">
        <v>65</v>
      </c>
      <c r="I228" s="9" t="s">
        <v>392</v>
      </c>
      <c r="J228" s="43">
        <v>2024.0</v>
      </c>
      <c r="K228" s="42" t="s">
        <v>79</v>
      </c>
    </row>
    <row r="229" ht="12.75" customHeight="1">
      <c r="A229" s="42" t="s">
        <v>443</v>
      </c>
      <c r="B229" s="21">
        <v>45519.0</v>
      </c>
      <c r="C229" s="20" t="s">
        <v>173</v>
      </c>
      <c r="D229" s="21">
        <v>45515.0</v>
      </c>
      <c r="E229" s="21">
        <v>45521.0</v>
      </c>
      <c r="F229" s="20" t="s">
        <v>439</v>
      </c>
      <c r="G229" s="42" t="s">
        <v>236</v>
      </c>
      <c r="H229" s="20" t="s">
        <v>65</v>
      </c>
      <c r="I229" s="9" t="s">
        <v>392</v>
      </c>
      <c r="J229" s="43">
        <v>2024.0</v>
      </c>
      <c r="K229" s="42" t="s">
        <v>79</v>
      </c>
    </row>
    <row r="230" ht="12.75" customHeight="1">
      <c r="A230" s="42" t="s">
        <v>444</v>
      </c>
      <c r="B230" s="21">
        <v>45520.0</v>
      </c>
      <c r="C230" s="20" t="s">
        <v>175</v>
      </c>
      <c r="D230" s="21">
        <v>45515.0</v>
      </c>
      <c r="E230" s="21">
        <v>45521.0</v>
      </c>
      <c r="F230" s="20" t="s">
        <v>439</v>
      </c>
      <c r="G230" s="42" t="s">
        <v>236</v>
      </c>
      <c r="H230" s="20" t="s">
        <v>65</v>
      </c>
      <c r="I230" s="9" t="s">
        <v>392</v>
      </c>
      <c r="J230" s="43">
        <v>2024.0</v>
      </c>
      <c r="K230" s="42" t="s">
        <v>79</v>
      </c>
    </row>
    <row r="231" ht="12.75" customHeight="1">
      <c r="A231" s="42" t="s">
        <v>445</v>
      </c>
      <c r="B231" s="21">
        <v>45521.0</v>
      </c>
      <c r="C231" s="20" t="s">
        <v>177</v>
      </c>
      <c r="D231" s="21">
        <v>45515.0</v>
      </c>
      <c r="E231" s="21">
        <v>45521.0</v>
      </c>
      <c r="F231" s="20" t="s">
        <v>439</v>
      </c>
      <c r="G231" s="42" t="s">
        <v>236</v>
      </c>
      <c r="H231" s="20" t="s">
        <v>65</v>
      </c>
      <c r="I231" s="9" t="s">
        <v>392</v>
      </c>
      <c r="J231" s="43">
        <v>2024.0</v>
      </c>
      <c r="K231" s="42" t="s">
        <v>79</v>
      </c>
    </row>
    <row r="232" ht="12.75" customHeight="1">
      <c r="A232" s="42" t="s">
        <v>446</v>
      </c>
      <c r="B232" s="21">
        <v>45522.0</v>
      </c>
      <c r="C232" s="20" t="s">
        <v>179</v>
      </c>
      <c r="D232" s="21">
        <v>45522.0</v>
      </c>
      <c r="E232" s="21">
        <v>45528.0</v>
      </c>
      <c r="F232" s="20" t="s">
        <v>447</v>
      </c>
      <c r="G232" s="42" t="s">
        <v>236</v>
      </c>
      <c r="H232" s="20" t="s">
        <v>65</v>
      </c>
      <c r="I232" s="9" t="s">
        <v>392</v>
      </c>
      <c r="J232" s="43">
        <v>2024.0</v>
      </c>
      <c r="K232" s="42" t="s">
        <v>80</v>
      </c>
    </row>
    <row r="233" ht="12.75" customHeight="1">
      <c r="A233" s="42" t="s">
        <v>448</v>
      </c>
      <c r="B233" s="21">
        <v>45523.0</v>
      </c>
      <c r="C233" s="20" t="s">
        <v>163</v>
      </c>
      <c r="D233" s="21">
        <v>45522.0</v>
      </c>
      <c r="E233" s="21">
        <v>45528.0</v>
      </c>
      <c r="F233" s="20" t="s">
        <v>447</v>
      </c>
      <c r="G233" s="42" t="s">
        <v>236</v>
      </c>
      <c r="H233" s="20" t="s">
        <v>65</v>
      </c>
      <c r="I233" s="9" t="s">
        <v>392</v>
      </c>
      <c r="J233" s="43">
        <v>2024.0</v>
      </c>
      <c r="K233" s="42" t="s">
        <v>80</v>
      </c>
    </row>
    <row r="234" ht="12.75" customHeight="1">
      <c r="A234" s="42" t="s">
        <v>449</v>
      </c>
      <c r="B234" s="21">
        <v>45524.0</v>
      </c>
      <c r="C234" s="20" t="s">
        <v>169</v>
      </c>
      <c r="D234" s="21">
        <v>45522.0</v>
      </c>
      <c r="E234" s="21">
        <v>45528.0</v>
      </c>
      <c r="F234" s="20" t="s">
        <v>447</v>
      </c>
      <c r="G234" s="42" t="s">
        <v>236</v>
      </c>
      <c r="H234" s="20" t="s">
        <v>65</v>
      </c>
      <c r="I234" s="9" t="s">
        <v>392</v>
      </c>
      <c r="J234" s="43">
        <v>2024.0</v>
      </c>
      <c r="K234" s="42" t="s">
        <v>80</v>
      </c>
    </row>
    <row r="235" ht="12.75" customHeight="1">
      <c r="A235" s="42" t="s">
        <v>450</v>
      </c>
      <c r="B235" s="21">
        <v>45525.0</v>
      </c>
      <c r="C235" s="20" t="s">
        <v>171</v>
      </c>
      <c r="D235" s="21">
        <v>45522.0</v>
      </c>
      <c r="E235" s="21">
        <v>45528.0</v>
      </c>
      <c r="F235" s="20" t="s">
        <v>447</v>
      </c>
      <c r="G235" s="42" t="s">
        <v>236</v>
      </c>
      <c r="H235" s="20" t="s">
        <v>65</v>
      </c>
      <c r="I235" s="9" t="s">
        <v>392</v>
      </c>
      <c r="J235" s="43">
        <v>2024.0</v>
      </c>
      <c r="K235" s="42" t="s">
        <v>80</v>
      </c>
    </row>
    <row r="236" ht="12.75" customHeight="1">
      <c r="A236" s="42" t="s">
        <v>451</v>
      </c>
      <c r="B236" s="21">
        <v>45526.0</v>
      </c>
      <c r="C236" s="20" t="s">
        <v>173</v>
      </c>
      <c r="D236" s="21">
        <v>45522.0</v>
      </c>
      <c r="E236" s="21">
        <v>45528.0</v>
      </c>
      <c r="F236" s="20" t="s">
        <v>447</v>
      </c>
      <c r="G236" s="42" t="s">
        <v>236</v>
      </c>
      <c r="H236" s="20" t="s">
        <v>65</v>
      </c>
      <c r="I236" s="9" t="s">
        <v>392</v>
      </c>
      <c r="J236" s="43">
        <v>2024.0</v>
      </c>
      <c r="K236" s="42" t="s">
        <v>80</v>
      </c>
    </row>
    <row r="237" ht="12.75" customHeight="1">
      <c r="A237" s="42" t="s">
        <v>452</v>
      </c>
      <c r="B237" s="21">
        <v>45527.0</v>
      </c>
      <c r="C237" s="20" t="s">
        <v>175</v>
      </c>
      <c r="D237" s="21">
        <v>45522.0</v>
      </c>
      <c r="E237" s="21">
        <v>45528.0</v>
      </c>
      <c r="F237" s="20" t="s">
        <v>447</v>
      </c>
      <c r="G237" s="42" t="s">
        <v>236</v>
      </c>
      <c r="H237" s="20" t="s">
        <v>65</v>
      </c>
      <c r="I237" s="9" t="s">
        <v>392</v>
      </c>
      <c r="J237" s="43">
        <v>2024.0</v>
      </c>
      <c r="K237" s="42" t="s">
        <v>80</v>
      </c>
    </row>
    <row r="238" ht="12.75" customHeight="1">
      <c r="A238" s="42" t="s">
        <v>453</v>
      </c>
      <c r="B238" s="21">
        <v>45528.0</v>
      </c>
      <c r="C238" s="20" t="s">
        <v>177</v>
      </c>
      <c r="D238" s="21">
        <v>45522.0</v>
      </c>
      <c r="E238" s="21">
        <v>45528.0</v>
      </c>
      <c r="F238" s="20" t="s">
        <v>447</v>
      </c>
      <c r="G238" s="42" t="s">
        <v>236</v>
      </c>
      <c r="H238" s="20" t="s">
        <v>65</v>
      </c>
      <c r="I238" s="9" t="s">
        <v>392</v>
      </c>
      <c r="J238" s="43">
        <v>2024.0</v>
      </c>
      <c r="K238" s="42" t="s">
        <v>80</v>
      </c>
    </row>
    <row r="239" ht="12.75" customHeight="1">
      <c r="A239" s="42" t="s">
        <v>454</v>
      </c>
      <c r="B239" s="21">
        <v>45529.0</v>
      </c>
      <c r="C239" s="20" t="s">
        <v>179</v>
      </c>
      <c r="D239" s="21">
        <v>45529.0</v>
      </c>
      <c r="E239" s="21">
        <v>45535.0</v>
      </c>
      <c r="F239" s="20" t="s">
        <v>455</v>
      </c>
      <c r="G239" s="42" t="s">
        <v>236</v>
      </c>
      <c r="H239" s="20" t="s">
        <v>65</v>
      </c>
      <c r="I239" s="9" t="s">
        <v>392</v>
      </c>
      <c r="J239" s="43">
        <v>2024.0</v>
      </c>
      <c r="K239" s="42" t="s">
        <v>81</v>
      </c>
    </row>
    <row r="240" ht="12.75" customHeight="1">
      <c r="A240" s="42" t="s">
        <v>456</v>
      </c>
      <c r="B240" s="21">
        <v>45530.0</v>
      </c>
      <c r="C240" s="20" t="s">
        <v>163</v>
      </c>
      <c r="D240" s="21">
        <v>45529.0</v>
      </c>
      <c r="E240" s="21">
        <v>45535.0</v>
      </c>
      <c r="F240" s="20" t="s">
        <v>455</v>
      </c>
      <c r="G240" s="42" t="s">
        <v>236</v>
      </c>
      <c r="H240" s="20" t="s">
        <v>65</v>
      </c>
      <c r="I240" s="9" t="s">
        <v>392</v>
      </c>
      <c r="J240" s="43">
        <v>2024.0</v>
      </c>
      <c r="K240" s="42" t="s">
        <v>81</v>
      </c>
    </row>
    <row r="241" ht="12.75" customHeight="1">
      <c r="A241" s="42" t="s">
        <v>457</v>
      </c>
      <c r="B241" s="21">
        <v>45531.0</v>
      </c>
      <c r="C241" s="20" t="s">
        <v>169</v>
      </c>
      <c r="D241" s="21">
        <v>45529.0</v>
      </c>
      <c r="E241" s="21">
        <v>45535.0</v>
      </c>
      <c r="F241" s="20" t="s">
        <v>455</v>
      </c>
      <c r="G241" s="42" t="s">
        <v>236</v>
      </c>
      <c r="H241" s="20" t="s">
        <v>65</v>
      </c>
      <c r="I241" s="9" t="s">
        <v>392</v>
      </c>
      <c r="J241" s="43">
        <v>2024.0</v>
      </c>
      <c r="K241" s="42" t="s">
        <v>81</v>
      </c>
    </row>
    <row r="242" ht="12.75" customHeight="1">
      <c r="A242" s="42" t="s">
        <v>458</v>
      </c>
      <c r="B242" s="21">
        <v>45532.0</v>
      </c>
      <c r="C242" s="20" t="s">
        <v>171</v>
      </c>
      <c r="D242" s="21">
        <v>45529.0</v>
      </c>
      <c r="E242" s="21">
        <v>45535.0</v>
      </c>
      <c r="F242" s="20" t="s">
        <v>455</v>
      </c>
      <c r="G242" s="42" t="s">
        <v>236</v>
      </c>
      <c r="H242" s="20" t="s">
        <v>65</v>
      </c>
      <c r="I242" s="9" t="s">
        <v>392</v>
      </c>
      <c r="J242" s="43">
        <v>2024.0</v>
      </c>
      <c r="K242" s="42" t="s">
        <v>81</v>
      </c>
    </row>
    <row r="243" ht="12.75" customHeight="1">
      <c r="A243" s="42" t="s">
        <v>459</v>
      </c>
      <c r="B243" s="21">
        <v>45533.0</v>
      </c>
      <c r="C243" s="20" t="s">
        <v>173</v>
      </c>
      <c r="D243" s="21">
        <v>45529.0</v>
      </c>
      <c r="E243" s="21">
        <v>45535.0</v>
      </c>
      <c r="F243" s="20" t="s">
        <v>455</v>
      </c>
      <c r="G243" s="42" t="s">
        <v>236</v>
      </c>
      <c r="H243" s="20" t="s">
        <v>65</v>
      </c>
      <c r="I243" s="9" t="s">
        <v>392</v>
      </c>
      <c r="J243" s="43">
        <v>2024.0</v>
      </c>
      <c r="K243" s="42" t="s">
        <v>81</v>
      </c>
    </row>
    <row r="244" ht="12.75" customHeight="1">
      <c r="A244" s="42" t="s">
        <v>460</v>
      </c>
      <c r="B244" s="21">
        <v>45534.0</v>
      </c>
      <c r="C244" s="20" t="s">
        <v>175</v>
      </c>
      <c r="D244" s="21">
        <v>45529.0</v>
      </c>
      <c r="E244" s="21">
        <v>45535.0</v>
      </c>
      <c r="F244" s="20" t="s">
        <v>455</v>
      </c>
      <c r="G244" s="42" t="s">
        <v>236</v>
      </c>
      <c r="H244" s="20" t="s">
        <v>65</v>
      </c>
      <c r="I244" s="9" t="s">
        <v>392</v>
      </c>
      <c r="J244" s="43">
        <v>2024.0</v>
      </c>
      <c r="K244" s="42" t="s">
        <v>81</v>
      </c>
    </row>
    <row r="245" ht="12.75" customHeight="1">
      <c r="A245" s="42" t="s">
        <v>461</v>
      </c>
      <c r="B245" s="21">
        <v>45535.0</v>
      </c>
      <c r="C245" s="20" t="s">
        <v>177</v>
      </c>
      <c r="D245" s="21">
        <v>45529.0</v>
      </c>
      <c r="E245" s="21">
        <v>45535.0</v>
      </c>
      <c r="F245" s="20" t="s">
        <v>455</v>
      </c>
      <c r="G245" s="42" t="s">
        <v>236</v>
      </c>
      <c r="H245" s="20" t="s">
        <v>65</v>
      </c>
      <c r="I245" s="9" t="s">
        <v>392</v>
      </c>
      <c r="J245" s="43">
        <v>2024.0</v>
      </c>
      <c r="K245" s="42" t="s">
        <v>81</v>
      </c>
    </row>
    <row r="246" ht="12.75" customHeight="1">
      <c r="A246" s="42" t="s">
        <v>462</v>
      </c>
      <c r="B246" s="21">
        <v>45536.0</v>
      </c>
      <c r="C246" s="20" t="s">
        <v>179</v>
      </c>
      <c r="D246" s="21">
        <v>45536.0</v>
      </c>
      <c r="E246" s="21">
        <v>45542.0</v>
      </c>
      <c r="F246" s="20" t="s">
        <v>463</v>
      </c>
      <c r="G246" s="42" t="s">
        <v>245</v>
      </c>
      <c r="H246" s="20" t="s">
        <v>73</v>
      </c>
      <c r="I246" s="9" t="s">
        <v>392</v>
      </c>
      <c r="J246" s="43">
        <v>2024.0</v>
      </c>
      <c r="K246" s="42" t="s">
        <v>82</v>
      </c>
    </row>
    <row r="247" ht="12.75" customHeight="1">
      <c r="A247" s="42" t="s">
        <v>464</v>
      </c>
      <c r="B247" s="21">
        <v>45537.0</v>
      </c>
      <c r="C247" s="20" t="s">
        <v>163</v>
      </c>
      <c r="D247" s="21">
        <v>45536.0</v>
      </c>
      <c r="E247" s="21">
        <v>45542.0</v>
      </c>
      <c r="F247" s="20" t="s">
        <v>463</v>
      </c>
      <c r="G247" s="42" t="s">
        <v>245</v>
      </c>
      <c r="H247" s="20" t="s">
        <v>73</v>
      </c>
      <c r="I247" s="9" t="s">
        <v>392</v>
      </c>
      <c r="J247" s="43">
        <v>2024.0</v>
      </c>
      <c r="K247" s="42" t="s">
        <v>82</v>
      </c>
    </row>
    <row r="248" ht="12.75" customHeight="1">
      <c r="A248" s="42" t="s">
        <v>465</v>
      </c>
      <c r="B248" s="21">
        <v>45538.0</v>
      </c>
      <c r="C248" s="20" t="s">
        <v>169</v>
      </c>
      <c r="D248" s="21">
        <v>45536.0</v>
      </c>
      <c r="E248" s="21">
        <v>45542.0</v>
      </c>
      <c r="F248" s="20" t="s">
        <v>463</v>
      </c>
      <c r="G248" s="42" t="s">
        <v>245</v>
      </c>
      <c r="H248" s="20" t="s">
        <v>73</v>
      </c>
      <c r="I248" s="9" t="s">
        <v>392</v>
      </c>
      <c r="J248" s="43">
        <v>2024.0</v>
      </c>
      <c r="K248" s="42" t="s">
        <v>82</v>
      </c>
    </row>
    <row r="249" ht="12.75" customHeight="1">
      <c r="A249" s="42" t="s">
        <v>466</v>
      </c>
      <c r="B249" s="21">
        <v>45539.0</v>
      </c>
      <c r="C249" s="20" t="s">
        <v>171</v>
      </c>
      <c r="D249" s="21">
        <v>45536.0</v>
      </c>
      <c r="E249" s="21">
        <v>45542.0</v>
      </c>
      <c r="F249" s="20" t="s">
        <v>463</v>
      </c>
      <c r="G249" s="42" t="s">
        <v>245</v>
      </c>
      <c r="H249" s="20" t="s">
        <v>73</v>
      </c>
      <c r="I249" s="9" t="s">
        <v>392</v>
      </c>
      <c r="J249" s="43">
        <v>2024.0</v>
      </c>
      <c r="K249" s="42" t="s">
        <v>82</v>
      </c>
    </row>
    <row r="250" ht="12.75" customHeight="1">
      <c r="A250" s="42" t="s">
        <v>467</v>
      </c>
      <c r="B250" s="21">
        <v>45540.0</v>
      </c>
      <c r="C250" s="20" t="s">
        <v>173</v>
      </c>
      <c r="D250" s="21">
        <v>45536.0</v>
      </c>
      <c r="E250" s="21">
        <v>45542.0</v>
      </c>
      <c r="F250" s="20" t="s">
        <v>463</v>
      </c>
      <c r="G250" s="42" t="s">
        <v>245</v>
      </c>
      <c r="H250" s="20" t="s">
        <v>73</v>
      </c>
      <c r="I250" s="9" t="s">
        <v>392</v>
      </c>
      <c r="J250" s="43">
        <v>2024.0</v>
      </c>
      <c r="K250" s="42" t="s">
        <v>82</v>
      </c>
    </row>
    <row r="251" ht="12.75" customHeight="1">
      <c r="A251" s="42" t="s">
        <v>468</v>
      </c>
      <c r="B251" s="21">
        <v>45541.0</v>
      </c>
      <c r="C251" s="20" t="s">
        <v>175</v>
      </c>
      <c r="D251" s="21">
        <v>45536.0</v>
      </c>
      <c r="E251" s="21">
        <v>45542.0</v>
      </c>
      <c r="F251" s="20" t="s">
        <v>463</v>
      </c>
      <c r="G251" s="42" t="s">
        <v>245</v>
      </c>
      <c r="H251" s="20" t="s">
        <v>73</v>
      </c>
      <c r="I251" s="9" t="s">
        <v>392</v>
      </c>
      <c r="J251" s="43">
        <v>2024.0</v>
      </c>
      <c r="K251" s="42" t="s">
        <v>82</v>
      </c>
    </row>
    <row r="252" ht="12.75" customHeight="1">
      <c r="A252" s="42" t="s">
        <v>469</v>
      </c>
      <c r="B252" s="21">
        <v>45542.0</v>
      </c>
      <c r="C252" s="20" t="s">
        <v>177</v>
      </c>
      <c r="D252" s="21">
        <v>45536.0</v>
      </c>
      <c r="E252" s="21">
        <v>45542.0</v>
      </c>
      <c r="F252" s="20" t="s">
        <v>463</v>
      </c>
      <c r="G252" s="42" t="s">
        <v>245</v>
      </c>
      <c r="H252" s="20" t="s">
        <v>73</v>
      </c>
      <c r="I252" s="9" t="s">
        <v>392</v>
      </c>
      <c r="J252" s="43">
        <v>2024.0</v>
      </c>
      <c r="K252" s="42" t="s">
        <v>82</v>
      </c>
    </row>
    <row r="253" ht="12.75" customHeight="1">
      <c r="A253" s="42" t="s">
        <v>470</v>
      </c>
      <c r="B253" s="21">
        <v>45543.0</v>
      </c>
      <c r="C253" s="20" t="s">
        <v>179</v>
      </c>
      <c r="D253" s="21">
        <v>45543.0</v>
      </c>
      <c r="E253" s="21">
        <v>45549.0</v>
      </c>
      <c r="F253" s="20" t="s">
        <v>471</v>
      </c>
      <c r="G253" s="42" t="s">
        <v>245</v>
      </c>
      <c r="H253" s="20" t="s">
        <v>73</v>
      </c>
      <c r="I253" s="9" t="s">
        <v>392</v>
      </c>
      <c r="J253" s="43">
        <v>2024.0</v>
      </c>
      <c r="K253" s="42" t="s">
        <v>114</v>
      </c>
    </row>
    <row r="254" ht="12.75" customHeight="1">
      <c r="A254" s="42" t="s">
        <v>472</v>
      </c>
      <c r="B254" s="21">
        <v>45544.0</v>
      </c>
      <c r="C254" s="20" t="s">
        <v>163</v>
      </c>
      <c r="D254" s="21">
        <v>45543.0</v>
      </c>
      <c r="E254" s="21">
        <v>45549.0</v>
      </c>
      <c r="F254" s="20" t="s">
        <v>471</v>
      </c>
      <c r="G254" s="42" t="s">
        <v>245</v>
      </c>
      <c r="H254" s="20" t="s">
        <v>73</v>
      </c>
      <c r="I254" s="9" t="s">
        <v>392</v>
      </c>
      <c r="J254" s="43">
        <v>2024.0</v>
      </c>
      <c r="K254" s="42" t="s">
        <v>114</v>
      </c>
    </row>
    <row r="255" ht="12.75" customHeight="1">
      <c r="A255" s="42" t="s">
        <v>473</v>
      </c>
      <c r="B255" s="21">
        <v>45545.0</v>
      </c>
      <c r="C255" s="20" t="s">
        <v>169</v>
      </c>
      <c r="D255" s="21">
        <v>45543.0</v>
      </c>
      <c r="E255" s="21">
        <v>45549.0</v>
      </c>
      <c r="F255" s="20" t="s">
        <v>471</v>
      </c>
      <c r="G255" s="42" t="s">
        <v>245</v>
      </c>
      <c r="H255" s="20" t="s">
        <v>73</v>
      </c>
      <c r="I255" s="9" t="s">
        <v>392</v>
      </c>
      <c r="J255" s="43">
        <v>2024.0</v>
      </c>
      <c r="K255" s="42" t="s">
        <v>114</v>
      </c>
    </row>
    <row r="256" ht="12.75" customHeight="1">
      <c r="A256" s="42" t="s">
        <v>474</v>
      </c>
      <c r="B256" s="21">
        <v>45546.0</v>
      </c>
      <c r="C256" s="20" t="s">
        <v>171</v>
      </c>
      <c r="D256" s="21">
        <v>45543.0</v>
      </c>
      <c r="E256" s="21">
        <v>45549.0</v>
      </c>
      <c r="F256" s="20" t="s">
        <v>471</v>
      </c>
      <c r="G256" s="42" t="s">
        <v>245</v>
      </c>
      <c r="H256" s="20" t="s">
        <v>73</v>
      </c>
      <c r="I256" s="9" t="s">
        <v>392</v>
      </c>
      <c r="J256" s="43">
        <v>2024.0</v>
      </c>
      <c r="K256" s="42" t="s">
        <v>114</v>
      </c>
    </row>
    <row r="257" ht="12.75" customHeight="1">
      <c r="A257" s="42" t="s">
        <v>475</v>
      </c>
      <c r="B257" s="21">
        <v>45547.0</v>
      </c>
      <c r="C257" s="20" t="s">
        <v>173</v>
      </c>
      <c r="D257" s="21">
        <v>45543.0</v>
      </c>
      <c r="E257" s="21">
        <v>45549.0</v>
      </c>
      <c r="F257" s="20" t="s">
        <v>471</v>
      </c>
      <c r="G257" s="42" t="s">
        <v>245</v>
      </c>
      <c r="H257" s="20" t="s">
        <v>73</v>
      </c>
      <c r="I257" s="9" t="s">
        <v>392</v>
      </c>
      <c r="J257" s="43">
        <v>2024.0</v>
      </c>
      <c r="K257" s="42" t="s">
        <v>114</v>
      </c>
    </row>
    <row r="258" ht="12.75" customHeight="1">
      <c r="A258" s="42" t="s">
        <v>476</v>
      </c>
      <c r="B258" s="21">
        <v>45548.0</v>
      </c>
      <c r="C258" s="20" t="s">
        <v>175</v>
      </c>
      <c r="D258" s="21">
        <v>45543.0</v>
      </c>
      <c r="E258" s="21">
        <v>45549.0</v>
      </c>
      <c r="F258" s="20" t="s">
        <v>471</v>
      </c>
      <c r="G258" s="42" t="s">
        <v>245</v>
      </c>
      <c r="H258" s="20" t="s">
        <v>73</v>
      </c>
      <c r="I258" s="9" t="s">
        <v>392</v>
      </c>
      <c r="J258" s="43">
        <v>2024.0</v>
      </c>
      <c r="K258" s="42" t="s">
        <v>114</v>
      </c>
    </row>
    <row r="259" ht="12.75" customHeight="1">
      <c r="A259" s="42" t="s">
        <v>477</v>
      </c>
      <c r="B259" s="21">
        <v>45549.0</v>
      </c>
      <c r="C259" s="20" t="s">
        <v>177</v>
      </c>
      <c r="D259" s="21">
        <v>45543.0</v>
      </c>
      <c r="E259" s="21">
        <v>45549.0</v>
      </c>
      <c r="F259" s="20" t="s">
        <v>471</v>
      </c>
      <c r="G259" s="42" t="s">
        <v>245</v>
      </c>
      <c r="H259" s="20" t="s">
        <v>73</v>
      </c>
      <c r="I259" s="9" t="s">
        <v>392</v>
      </c>
      <c r="J259" s="43">
        <v>2024.0</v>
      </c>
      <c r="K259" s="42" t="s">
        <v>114</v>
      </c>
    </row>
    <row r="260" ht="12.75" customHeight="1">
      <c r="A260" s="42" t="s">
        <v>478</v>
      </c>
      <c r="B260" s="21">
        <v>45550.0</v>
      </c>
      <c r="C260" s="20" t="s">
        <v>179</v>
      </c>
      <c r="D260" s="21">
        <v>45550.0</v>
      </c>
      <c r="E260" s="21">
        <v>45556.0</v>
      </c>
      <c r="F260" s="20" t="s">
        <v>479</v>
      </c>
      <c r="G260" s="42" t="s">
        <v>245</v>
      </c>
      <c r="H260" s="20" t="s">
        <v>73</v>
      </c>
      <c r="I260" s="9" t="s">
        <v>392</v>
      </c>
      <c r="J260" s="43">
        <v>2024.0</v>
      </c>
      <c r="K260" s="42" t="s">
        <v>115</v>
      </c>
    </row>
    <row r="261" ht="12.75" customHeight="1">
      <c r="A261" s="42" t="s">
        <v>480</v>
      </c>
      <c r="B261" s="21">
        <v>45551.0</v>
      </c>
      <c r="C261" s="20" t="s">
        <v>163</v>
      </c>
      <c r="D261" s="21">
        <v>45550.0</v>
      </c>
      <c r="E261" s="21">
        <v>45556.0</v>
      </c>
      <c r="F261" s="20" t="s">
        <v>479</v>
      </c>
      <c r="G261" s="42" t="s">
        <v>245</v>
      </c>
      <c r="H261" s="20" t="s">
        <v>73</v>
      </c>
      <c r="I261" s="9" t="s">
        <v>392</v>
      </c>
      <c r="J261" s="43">
        <v>2024.0</v>
      </c>
      <c r="K261" s="42" t="s">
        <v>115</v>
      </c>
    </row>
    <row r="262" ht="12.75" customHeight="1">
      <c r="A262" s="42" t="s">
        <v>481</v>
      </c>
      <c r="B262" s="21">
        <v>45552.0</v>
      </c>
      <c r="C262" s="20" t="s">
        <v>169</v>
      </c>
      <c r="D262" s="21">
        <v>45550.0</v>
      </c>
      <c r="E262" s="21">
        <v>45556.0</v>
      </c>
      <c r="F262" s="20" t="s">
        <v>479</v>
      </c>
      <c r="G262" s="42" t="s">
        <v>245</v>
      </c>
      <c r="H262" s="20" t="s">
        <v>73</v>
      </c>
      <c r="I262" s="9" t="s">
        <v>392</v>
      </c>
      <c r="J262" s="43">
        <v>2024.0</v>
      </c>
      <c r="K262" s="42" t="s">
        <v>115</v>
      </c>
    </row>
    <row r="263" ht="12.75" customHeight="1">
      <c r="A263" s="42" t="s">
        <v>482</v>
      </c>
      <c r="B263" s="21">
        <v>45553.0</v>
      </c>
      <c r="C263" s="20" t="s">
        <v>171</v>
      </c>
      <c r="D263" s="21">
        <v>45550.0</v>
      </c>
      <c r="E263" s="21">
        <v>45556.0</v>
      </c>
      <c r="F263" s="20" t="s">
        <v>479</v>
      </c>
      <c r="G263" s="42" t="s">
        <v>245</v>
      </c>
      <c r="H263" s="20" t="s">
        <v>73</v>
      </c>
      <c r="I263" s="9" t="s">
        <v>392</v>
      </c>
      <c r="J263" s="43">
        <v>2024.0</v>
      </c>
      <c r="K263" s="42" t="s">
        <v>115</v>
      </c>
    </row>
    <row r="264" ht="12.75" customHeight="1">
      <c r="A264" s="42" t="s">
        <v>483</v>
      </c>
      <c r="B264" s="21">
        <v>45554.0</v>
      </c>
      <c r="C264" s="20" t="s">
        <v>173</v>
      </c>
      <c r="D264" s="21">
        <v>45550.0</v>
      </c>
      <c r="E264" s="21">
        <v>45556.0</v>
      </c>
      <c r="F264" s="20" t="s">
        <v>479</v>
      </c>
      <c r="G264" s="42" t="s">
        <v>245</v>
      </c>
      <c r="H264" s="20" t="s">
        <v>73</v>
      </c>
      <c r="I264" s="9" t="s">
        <v>392</v>
      </c>
      <c r="J264" s="43">
        <v>2024.0</v>
      </c>
      <c r="K264" s="42" t="s">
        <v>115</v>
      </c>
    </row>
    <row r="265" ht="12.75" customHeight="1">
      <c r="A265" s="42" t="s">
        <v>484</v>
      </c>
      <c r="B265" s="21">
        <v>45555.0</v>
      </c>
      <c r="C265" s="20" t="s">
        <v>175</v>
      </c>
      <c r="D265" s="21">
        <v>45550.0</v>
      </c>
      <c r="E265" s="21">
        <v>45556.0</v>
      </c>
      <c r="F265" s="20" t="s">
        <v>479</v>
      </c>
      <c r="G265" s="42" t="s">
        <v>245</v>
      </c>
      <c r="H265" s="20" t="s">
        <v>73</v>
      </c>
      <c r="I265" s="9" t="s">
        <v>392</v>
      </c>
      <c r="J265" s="43">
        <v>2024.0</v>
      </c>
      <c r="K265" s="42" t="s">
        <v>115</v>
      </c>
    </row>
    <row r="266" ht="12.75" customHeight="1">
      <c r="A266" s="42" t="s">
        <v>485</v>
      </c>
      <c r="B266" s="21">
        <v>45556.0</v>
      </c>
      <c r="C266" s="20" t="s">
        <v>177</v>
      </c>
      <c r="D266" s="21">
        <v>45550.0</v>
      </c>
      <c r="E266" s="21">
        <v>45556.0</v>
      </c>
      <c r="F266" s="20" t="s">
        <v>479</v>
      </c>
      <c r="G266" s="42" t="s">
        <v>245</v>
      </c>
      <c r="H266" s="20" t="s">
        <v>73</v>
      </c>
      <c r="I266" s="9" t="s">
        <v>392</v>
      </c>
      <c r="J266" s="43">
        <v>2024.0</v>
      </c>
      <c r="K266" s="42" t="s">
        <v>115</v>
      </c>
    </row>
    <row r="267" ht="12.75" customHeight="1">
      <c r="A267" s="42" t="s">
        <v>486</v>
      </c>
      <c r="B267" s="21">
        <v>45557.0</v>
      </c>
      <c r="C267" s="20" t="s">
        <v>179</v>
      </c>
      <c r="D267" s="21">
        <v>45557.0</v>
      </c>
      <c r="E267" s="21">
        <v>45563.0</v>
      </c>
      <c r="F267" s="20" t="s">
        <v>487</v>
      </c>
      <c r="G267" s="42" t="s">
        <v>245</v>
      </c>
      <c r="H267" s="20" t="s">
        <v>73</v>
      </c>
      <c r="I267" s="9" t="s">
        <v>392</v>
      </c>
      <c r="J267" s="43">
        <v>2024.0</v>
      </c>
      <c r="K267" s="42" t="s">
        <v>116</v>
      </c>
    </row>
    <row r="268" ht="12.75" customHeight="1">
      <c r="A268" s="42" t="s">
        <v>488</v>
      </c>
      <c r="B268" s="21">
        <v>45558.0</v>
      </c>
      <c r="C268" s="20" t="s">
        <v>163</v>
      </c>
      <c r="D268" s="21">
        <v>45557.0</v>
      </c>
      <c r="E268" s="21">
        <v>45563.0</v>
      </c>
      <c r="F268" s="20" t="s">
        <v>487</v>
      </c>
      <c r="G268" s="42" t="s">
        <v>245</v>
      </c>
      <c r="H268" s="20" t="s">
        <v>73</v>
      </c>
      <c r="I268" s="9" t="s">
        <v>392</v>
      </c>
      <c r="J268" s="43">
        <v>2024.0</v>
      </c>
      <c r="K268" s="42" t="s">
        <v>116</v>
      </c>
    </row>
    <row r="269" ht="12.75" customHeight="1">
      <c r="A269" s="42" t="s">
        <v>489</v>
      </c>
      <c r="B269" s="21">
        <v>45559.0</v>
      </c>
      <c r="C269" s="20" t="s">
        <v>169</v>
      </c>
      <c r="D269" s="21">
        <v>45557.0</v>
      </c>
      <c r="E269" s="21">
        <v>45563.0</v>
      </c>
      <c r="F269" s="20" t="s">
        <v>487</v>
      </c>
      <c r="G269" s="42" t="s">
        <v>245</v>
      </c>
      <c r="H269" s="20" t="s">
        <v>73</v>
      </c>
      <c r="I269" s="9" t="s">
        <v>392</v>
      </c>
      <c r="J269" s="43">
        <v>2024.0</v>
      </c>
      <c r="K269" s="42" t="s">
        <v>116</v>
      </c>
    </row>
    <row r="270" ht="12.75" customHeight="1">
      <c r="A270" s="42" t="s">
        <v>490</v>
      </c>
      <c r="B270" s="21">
        <v>45560.0</v>
      </c>
      <c r="C270" s="20" t="s">
        <v>171</v>
      </c>
      <c r="D270" s="21">
        <v>45557.0</v>
      </c>
      <c r="E270" s="21">
        <v>45563.0</v>
      </c>
      <c r="F270" s="20" t="s">
        <v>487</v>
      </c>
      <c r="G270" s="42" t="s">
        <v>245</v>
      </c>
      <c r="H270" s="20" t="s">
        <v>73</v>
      </c>
      <c r="I270" s="9" t="s">
        <v>392</v>
      </c>
      <c r="J270" s="43">
        <v>2024.0</v>
      </c>
      <c r="K270" s="42" t="s">
        <v>116</v>
      </c>
    </row>
    <row r="271" ht="12.75" customHeight="1">
      <c r="A271" s="42" t="s">
        <v>491</v>
      </c>
      <c r="B271" s="21">
        <v>45561.0</v>
      </c>
      <c r="C271" s="20" t="s">
        <v>173</v>
      </c>
      <c r="D271" s="21">
        <v>45557.0</v>
      </c>
      <c r="E271" s="21">
        <v>45563.0</v>
      </c>
      <c r="F271" s="20" t="s">
        <v>487</v>
      </c>
      <c r="G271" s="42" t="s">
        <v>245</v>
      </c>
      <c r="H271" s="20" t="s">
        <v>73</v>
      </c>
      <c r="I271" s="9" t="s">
        <v>392</v>
      </c>
      <c r="J271" s="43">
        <v>2024.0</v>
      </c>
      <c r="K271" s="42" t="s">
        <v>116</v>
      </c>
    </row>
    <row r="272" ht="12.75" customHeight="1">
      <c r="A272" s="42" t="s">
        <v>492</v>
      </c>
      <c r="B272" s="21">
        <v>45562.0</v>
      </c>
      <c r="C272" s="20" t="s">
        <v>175</v>
      </c>
      <c r="D272" s="21">
        <v>45557.0</v>
      </c>
      <c r="E272" s="21">
        <v>45563.0</v>
      </c>
      <c r="F272" s="20" t="s">
        <v>487</v>
      </c>
      <c r="G272" s="42" t="s">
        <v>245</v>
      </c>
      <c r="H272" s="20" t="s">
        <v>73</v>
      </c>
      <c r="I272" s="9" t="s">
        <v>392</v>
      </c>
      <c r="J272" s="43">
        <v>2024.0</v>
      </c>
      <c r="K272" s="42" t="s">
        <v>116</v>
      </c>
    </row>
    <row r="273" ht="12.75" customHeight="1">
      <c r="A273" s="42" t="s">
        <v>493</v>
      </c>
      <c r="B273" s="21">
        <v>45563.0</v>
      </c>
      <c r="C273" s="20" t="s">
        <v>177</v>
      </c>
      <c r="D273" s="21">
        <v>45557.0</v>
      </c>
      <c r="E273" s="21">
        <v>45563.0</v>
      </c>
      <c r="F273" s="20" t="s">
        <v>487</v>
      </c>
      <c r="G273" s="42" t="s">
        <v>245</v>
      </c>
      <c r="H273" s="20" t="s">
        <v>73</v>
      </c>
      <c r="I273" s="9" t="s">
        <v>392</v>
      </c>
      <c r="J273" s="43">
        <v>2024.0</v>
      </c>
      <c r="K273" s="42" t="s">
        <v>116</v>
      </c>
    </row>
    <row r="274" ht="12.75" customHeight="1">
      <c r="A274" s="42" t="s">
        <v>494</v>
      </c>
      <c r="B274" s="21">
        <v>45564.0</v>
      </c>
      <c r="C274" s="20" t="s">
        <v>179</v>
      </c>
      <c r="D274" s="21">
        <v>45564.0</v>
      </c>
      <c r="E274" s="21">
        <v>45570.0</v>
      </c>
      <c r="F274" s="20" t="s">
        <v>495</v>
      </c>
      <c r="G274" s="42" t="s">
        <v>245</v>
      </c>
      <c r="H274" s="20" t="s">
        <v>73</v>
      </c>
      <c r="I274" s="9" t="s">
        <v>392</v>
      </c>
      <c r="J274" s="43">
        <v>2024.0</v>
      </c>
      <c r="K274" s="42" t="s">
        <v>117</v>
      </c>
    </row>
    <row r="275" ht="12.75" customHeight="1">
      <c r="A275" s="42" t="s">
        <v>496</v>
      </c>
      <c r="B275" s="21">
        <v>45565.0</v>
      </c>
      <c r="C275" s="20" t="s">
        <v>163</v>
      </c>
      <c r="D275" s="21">
        <v>45564.0</v>
      </c>
      <c r="E275" s="21">
        <v>45570.0</v>
      </c>
      <c r="F275" s="20" t="s">
        <v>495</v>
      </c>
      <c r="G275" s="42" t="s">
        <v>245</v>
      </c>
      <c r="H275" s="20" t="s">
        <v>73</v>
      </c>
      <c r="I275" s="9" t="s">
        <v>392</v>
      </c>
      <c r="J275" s="43">
        <v>2024.0</v>
      </c>
      <c r="K275" s="42" t="s">
        <v>117</v>
      </c>
    </row>
    <row r="276" ht="12.75" customHeight="1">
      <c r="A276" s="42" t="s">
        <v>497</v>
      </c>
      <c r="B276" s="21">
        <v>45566.0</v>
      </c>
      <c r="C276" s="20" t="s">
        <v>169</v>
      </c>
      <c r="D276" s="21">
        <v>45564.0</v>
      </c>
      <c r="E276" s="21">
        <v>45570.0</v>
      </c>
      <c r="F276" s="20" t="s">
        <v>495</v>
      </c>
      <c r="G276" s="42" t="s">
        <v>96</v>
      </c>
      <c r="H276" s="20" t="s">
        <v>72</v>
      </c>
      <c r="I276" s="9" t="s">
        <v>498</v>
      </c>
      <c r="J276" s="43">
        <v>2024.0</v>
      </c>
      <c r="K276" s="42" t="s">
        <v>117</v>
      </c>
    </row>
    <row r="277" ht="12.75" customHeight="1">
      <c r="A277" s="42" t="s">
        <v>499</v>
      </c>
      <c r="B277" s="21">
        <v>45567.0</v>
      </c>
      <c r="C277" s="20" t="s">
        <v>171</v>
      </c>
      <c r="D277" s="21">
        <v>45564.0</v>
      </c>
      <c r="E277" s="21">
        <v>45570.0</v>
      </c>
      <c r="F277" s="20" t="s">
        <v>495</v>
      </c>
      <c r="G277" s="42" t="s">
        <v>96</v>
      </c>
      <c r="H277" s="20" t="s">
        <v>72</v>
      </c>
      <c r="I277" s="9" t="s">
        <v>498</v>
      </c>
      <c r="J277" s="43">
        <v>2024.0</v>
      </c>
      <c r="K277" s="42" t="s">
        <v>117</v>
      </c>
    </row>
    <row r="278" ht="12.75" customHeight="1">
      <c r="A278" s="42" t="s">
        <v>500</v>
      </c>
      <c r="B278" s="21">
        <v>45568.0</v>
      </c>
      <c r="C278" s="20" t="s">
        <v>173</v>
      </c>
      <c r="D278" s="21">
        <v>45564.0</v>
      </c>
      <c r="E278" s="21">
        <v>45570.0</v>
      </c>
      <c r="F278" s="20" t="s">
        <v>495</v>
      </c>
      <c r="G278" s="42" t="s">
        <v>96</v>
      </c>
      <c r="H278" s="20" t="s">
        <v>72</v>
      </c>
      <c r="I278" s="9" t="s">
        <v>498</v>
      </c>
      <c r="J278" s="43">
        <v>2024.0</v>
      </c>
      <c r="K278" s="42" t="s">
        <v>117</v>
      </c>
    </row>
    <row r="279" ht="12.75" customHeight="1">
      <c r="A279" s="42" t="s">
        <v>501</v>
      </c>
      <c r="B279" s="21">
        <v>45569.0</v>
      </c>
      <c r="C279" s="20" t="s">
        <v>175</v>
      </c>
      <c r="D279" s="21">
        <v>45564.0</v>
      </c>
      <c r="E279" s="21">
        <v>45570.0</v>
      </c>
      <c r="F279" s="20" t="s">
        <v>495</v>
      </c>
      <c r="G279" s="42" t="s">
        <v>96</v>
      </c>
      <c r="H279" s="20" t="s">
        <v>72</v>
      </c>
      <c r="I279" s="9" t="s">
        <v>498</v>
      </c>
      <c r="J279" s="43">
        <v>2024.0</v>
      </c>
      <c r="K279" s="42" t="s">
        <v>117</v>
      </c>
    </row>
    <row r="280" ht="12.75" customHeight="1">
      <c r="A280" s="42" t="s">
        <v>502</v>
      </c>
      <c r="B280" s="21">
        <v>45570.0</v>
      </c>
      <c r="C280" s="20" t="s">
        <v>177</v>
      </c>
      <c r="D280" s="21">
        <v>45564.0</v>
      </c>
      <c r="E280" s="21">
        <v>45570.0</v>
      </c>
      <c r="F280" s="20" t="s">
        <v>495</v>
      </c>
      <c r="G280" s="42" t="s">
        <v>96</v>
      </c>
      <c r="H280" s="20" t="s">
        <v>72</v>
      </c>
      <c r="I280" s="9" t="s">
        <v>498</v>
      </c>
      <c r="J280" s="43">
        <v>2024.0</v>
      </c>
      <c r="K280" s="42" t="s">
        <v>117</v>
      </c>
    </row>
    <row r="281" ht="12.75" customHeight="1">
      <c r="A281" s="42" t="s">
        <v>503</v>
      </c>
      <c r="B281" s="21">
        <v>45571.0</v>
      </c>
      <c r="C281" s="20" t="s">
        <v>179</v>
      </c>
      <c r="D281" s="21">
        <v>45571.0</v>
      </c>
      <c r="E281" s="21">
        <v>45577.0</v>
      </c>
      <c r="F281" s="20" t="s">
        <v>504</v>
      </c>
      <c r="G281" s="42" t="s">
        <v>96</v>
      </c>
      <c r="H281" s="20" t="s">
        <v>72</v>
      </c>
      <c r="I281" s="9" t="s">
        <v>498</v>
      </c>
      <c r="J281" s="43">
        <v>2024.0</v>
      </c>
      <c r="K281" s="42" t="s">
        <v>110</v>
      </c>
    </row>
    <row r="282" ht="12.75" customHeight="1">
      <c r="A282" s="42" t="s">
        <v>505</v>
      </c>
      <c r="B282" s="21">
        <v>45572.0</v>
      </c>
      <c r="C282" s="20" t="s">
        <v>163</v>
      </c>
      <c r="D282" s="21">
        <v>45571.0</v>
      </c>
      <c r="E282" s="21">
        <v>45577.0</v>
      </c>
      <c r="F282" s="20" t="s">
        <v>504</v>
      </c>
      <c r="G282" s="42" t="s">
        <v>96</v>
      </c>
      <c r="H282" s="20" t="s">
        <v>72</v>
      </c>
      <c r="I282" s="9" t="s">
        <v>498</v>
      </c>
      <c r="J282" s="43">
        <v>2024.0</v>
      </c>
      <c r="K282" s="42" t="s">
        <v>110</v>
      </c>
    </row>
    <row r="283" ht="12.75" customHeight="1">
      <c r="A283" s="42" t="s">
        <v>506</v>
      </c>
      <c r="B283" s="21">
        <v>45573.0</v>
      </c>
      <c r="C283" s="20" t="s">
        <v>169</v>
      </c>
      <c r="D283" s="21">
        <v>45571.0</v>
      </c>
      <c r="E283" s="21">
        <v>45577.0</v>
      </c>
      <c r="F283" s="20" t="s">
        <v>504</v>
      </c>
      <c r="G283" s="42" t="s">
        <v>96</v>
      </c>
      <c r="H283" s="20" t="s">
        <v>72</v>
      </c>
      <c r="I283" s="9" t="s">
        <v>498</v>
      </c>
      <c r="J283" s="43">
        <v>2024.0</v>
      </c>
      <c r="K283" s="42" t="s">
        <v>110</v>
      </c>
    </row>
    <row r="284" ht="12.75" customHeight="1">
      <c r="A284" s="42" t="s">
        <v>507</v>
      </c>
      <c r="B284" s="21">
        <v>45574.0</v>
      </c>
      <c r="C284" s="20" t="s">
        <v>171</v>
      </c>
      <c r="D284" s="21">
        <v>45571.0</v>
      </c>
      <c r="E284" s="21">
        <v>45577.0</v>
      </c>
      <c r="F284" s="20" t="s">
        <v>504</v>
      </c>
      <c r="G284" s="42" t="s">
        <v>96</v>
      </c>
      <c r="H284" s="20" t="s">
        <v>72</v>
      </c>
      <c r="I284" s="9" t="s">
        <v>498</v>
      </c>
      <c r="J284" s="43">
        <v>2024.0</v>
      </c>
      <c r="K284" s="42" t="s">
        <v>110</v>
      </c>
    </row>
    <row r="285" ht="12.75" customHeight="1">
      <c r="A285" s="42" t="s">
        <v>508</v>
      </c>
      <c r="B285" s="21">
        <v>45575.0</v>
      </c>
      <c r="C285" s="20" t="s">
        <v>173</v>
      </c>
      <c r="D285" s="21">
        <v>45571.0</v>
      </c>
      <c r="E285" s="21">
        <v>45577.0</v>
      </c>
      <c r="F285" s="20" t="s">
        <v>504</v>
      </c>
      <c r="G285" s="42" t="s">
        <v>96</v>
      </c>
      <c r="H285" s="20" t="s">
        <v>72</v>
      </c>
      <c r="I285" s="9" t="s">
        <v>498</v>
      </c>
      <c r="J285" s="43">
        <v>2024.0</v>
      </c>
      <c r="K285" s="42" t="s">
        <v>110</v>
      </c>
    </row>
    <row r="286" ht="12.75" customHeight="1">
      <c r="A286" s="42" t="s">
        <v>509</v>
      </c>
      <c r="B286" s="21">
        <v>45576.0</v>
      </c>
      <c r="C286" s="20" t="s">
        <v>175</v>
      </c>
      <c r="D286" s="21">
        <v>45571.0</v>
      </c>
      <c r="E286" s="21">
        <v>45577.0</v>
      </c>
      <c r="F286" s="20" t="s">
        <v>504</v>
      </c>
      <c r="G286" s="42" t="s">
        <v>96</v>
      </c>
      <c r="H286" s="20" t="s">
        <v>72</v>
      </c>
      <c r="I286" s="9" t="s">
        <v>498</v>
      </c>
      <c r="J286" s="43">
        <v>2024.0</v>
      </c>
      <c r="K286" s="42" t="s">
        <v>110</v>
      </c>
    </row>
    <row r="287" ht="12.75" customHeight="1">
      <c r="A287" s="42" t="s">
        <v>510</v>
      </c>
      <c r="B287" s="21">
        <v>45577.0</v>
      </c>
      <c r="C287" s="20" t="s">
        <v>177</v>
      </c>
      <c r="D287" s="21">
        <v>45571.0</v>
      </c>
      <c r="E287" s="21">
        <v>45577.0</v>
      </c>
      <c r="F287" s="20" t="s">
        <v>504</v>
      </c>
      <c r="G287" s="42" t="s">
        <v>96</v>
      </c>
      <c r="H287" s="20" t="s">
        <v>72</v>
      </c>
      <c r="I287" s="9" t="s">
        <v>498</v>
      </c>
      <c r="J287" s="43">
        <v>2024.0</v>
      </c>
      <c r="K287" s="42" t="s">
        <v>110</v>
      </c>
    </row>
    <row r="288" ht="12.75" customHeight="1">
      <c r="A288" s="42" t="s">
        <v>511</v>
      </c>
      <c r="B288" s="21">
        <v>45578.0</v>
      </c>
      <c r="C288" s="20" t="s">
        <v>179</v>
      </c>
      <c r="D288" s="21">
        <v>45578.0</v>
      </c>
      <c r="E288" s="21">
        <v>45584.0</v>
      </c>
      <c r="F288" s="20" t="s">
        <v>512</v>
      </c>
      <c r="G288" s="42" t="s">
        <v>96</v>
      </c>
      <c r="H288" s="20" t="s">
        <v>72</v>
      </c>
      <c r="I288" s="9" t="s">
        <v>498</v>
      </c>
      <c r="J288" s="43">
        <v>2024.0</v>
      </c>
      <c r="K288" s="42" t="s">
        <v>111</v>
      </c>
    </row>
    <row r="289" ht="12.75" customHeight="1">
      <c r="A289" s="42" t="s">
        <v>513</v>
      </c>
      <c r="B289" s="21">
        <v>45579.0</v>
      </c>
      <c r="C289" s="20" t="s">
        <v>163</v>
      </c>
      <c r="D289" s="21">
        <v>45578.0</v>
      </c>
      <c r="E289" s="21">
        <v>45584.0</v>
      </c>
      <c r="F289" s="20" t="s">
        <v>512</v>
      </c>
      <c r="G289" s="42" t="s">
        <v>96</v>
      </c>
      <c r="H289" s="20" t="s">
        <v>72</v>
      </c>
      <c r="I289" s="9" t="s">
        <v>498</v>
      </c>
      <c r="J289" s="43">
        <v>2024.0</v>
      </c>
      <c r="K289" s="42" t="s">
        <v>111</v>
      </c>
    </row>
    <row r="290" ht="12.75" customHeight="1">
      <c r="A290" s="42" t="s">
        <v>514</v>
      </c>
      <c r="B290" s="21">
        <v>45580.0</v>
      </c>
      <c r="C290" s="20" t="s">
        <v>169</v>
      </c>
      <c r="D290" s="21">
        <v>45578.0</v>
      </c>
      <c r="E290" s="21">
        <v>45584.0</v>
      </c>
      <c r="F290" s="20" t="s">
        <v>512</v>
      </c>
      <c r="G290" s="42" t="s">
        <v>96</v>
      </c>
      <c r="H290" s="20" t="s">
        <v>72</v>
      </c>
      <c r="I290" s="9" t="s">
        <v>498</v>
      </c>
      <c r="J290" s="43">
        <v>2024.0</v>
      </c>
      <c r="K290" s="42" t="s">
        <v>111</v>
      </c>
    </row>
    <row r="291" ht="12.75" customHeight="1">
      <c r="A291" s="42" t="s">
        <v>515</v>
      </c>
      <c r="B291" s="21">
        <v>45581.0</v>
      </c>
      <c r="C291" s="20" t="s">
        <v>171</v>
      </c>
      <c r="D291" s="21">
        <v>45578.0</v>
      </c>
      <c r="E291" s="21">
        <v>45584.0</v>
      </c>
      <c r="F291" s="20" t="s">
        <v>512</v>
      </c>
      <c r="G291" s="42" t="s">
        <v>96</v>
      </c>
      <c r="H291" s="20" t="s">
        <v>72</v>
      </c>
      <c r="I291" s="9" t="s">
        <v>498</v>
      </c>
      <c r="J291" s="43">
        <v>2024.0</v>
      </c>
      <c r="K291" s="42" t="s">
        <v>111</v>
      </c>
    </row>
    <row r="292" ht="12.75" customHeight="1">
      <c r="A292" s="42" t="s">
        <v>516</v>
      </c>
      <c r="B292" s="21">
        <v>45582.0</v>
      </c>
      <c r="C292" s="20" t="s">
        <v>173</v>
      </c>
      <c r="D292" s="21">
        <v>45578.0</v>
      </c>
      <c r="E292" s="21">
        <v>45584.0</v>
      </c>
      <c r="F292" s="20" t="s">
        <v>512</v>
      </c>
      <c r="G292" s="42" t="s">
        <v>96</v>
      </c>
      <c r="H292" s="20" t="s">
        <v>72</v>
      </c>
      <c r="I292" s="9" t="s">
        <v>498</v>
      </c>
      <c r="J292" s="43">
        <v>2024.0</v>
      </c>
      <c r="K292" s="42" t="s">
        <v>111</v>
      </c>
    </row>
    <row r="293" ht="12.75" customHeight="1">
      <c r="A293" s="42" t="s">
        <v>517</v>
      </c>
      <c r="B293" s="21">
        <v>45583.0</v>
      </c>
      <c r="C293" s="20" t="s">
        <v>175</v>
      </c>
      <c r="D293" s="21">
        <v>45578.0</v>
      </c>
      <c r="E293" s="21">
        <v>45584.0</v>
      </c>
      <c r="F293" s="20" t="s">
        <v>512</v>
      </c>
      <c r="G293" s="42" t="s">
        <v>96</v>
      </c>
      <c r="H293" s="20" t="s">
        <v>72</v>
      </c>
      <c r="I293" s="9" t="s">
        <v>498</v>
      </c>
      <c r="J293" s="43">
        <v>2024.0</v>
      </c>
      <c r="K293" s="42" t="s">
        <v>111</v>
      </c>
    </row>
    <row r="294" ht="12.75" customHeight="1">
      <c r="A294" s="42" t="s">
        <v>518</v>
      </c>
      <c r="B294" s="21">
        <v>45584.0</v>
      </c>
      <c r="C294" s="20" t="s">
        <v>177</v>
      </c>
      <c r="D294" s="21">
        <v>45578.0</v>
      </c>
      <c r="E294" s="21">
        <v>45584.0</v>
      </c>
      <c r="F294" s="20" t="s">
        <v>512</v>
      </c>
      <c r="G294" s="42" t="s">
        <v>96</v>
      </c>
      <c r="H294" s="20" t="s">
        <v>72</v>
      </c>
      <c r="I294" s="9" t="s">
        <v>498</v>
      </c>
      <c r="J294" s="43">
        <v>2024.0</v>
      </c>
      <c r="K294" s="42" t="s">
        <v>111</v>
      </c>
    </row>
    <row r="295" ht="12.75" customHeight="1">
      <c r="A295" s="42" t="s">
        <v>519</v>
      </c>
      <c r="B295" s="21">
        <v>45585.0</v>
      </c>
      <c r="C295" s="20" t="s">
        <v>179</v>
      </c>
      <c r="D295" s="21">
        <v>45585.0</v>
      </c>
      <c r="E295" s="21">
        <v>45591.0</v>
      </c>
      <c r="F295" s="20" t="s">
        <v>520</v>
      </c>
      <c r="G295" s="42" t="s">
        <v>96</v>
      </c>
      <c r="H295" s="20" t="s">
        <v>72</v>
      </c>
      <c r="I295" s="9" t="s">
        <v>498</v>
      </c>
      <c r="J295" s="43">
        <v>2024.0</v>
      </c>
      <c r="K295" s="42" t="s">
        <v>112</v>
      </c>
    </row>
    <row r="296" ht="12.75" customHeight="1">
      <c r="A296" s="42" t="s">
        <v>521</v>
      </c>
      <c r="B296" s="21">
        <v>45586.0</v>
      </c>
      <c r="C296" s="20" t="s">
        <v>163</v>
      </c>
      <c r="D296" s="21">
        <v>45585.0</v>
      </c>
      <c r="E296" s="21">
        <v>45591.0</v>
      </c>
      <c r="F296" s="20" t="s">
        <v>520</v>
      </c>
      <c r="G296" s="42" t="s">
        <v>96</v>
      </c>
      <c r="H296" s="20" t="s">
        <v>72</v>
      </c>
      <c r="I296" s="9" t="s">
        <v>498</v>
      </c>
      <c r="J296" s="43">
        <v>2024.0</v>
      </c>
      <c r="K296" s="42" t="s">
        <v>112</v>
      </c>
    </row>
    <row r="297" ht="12.75" customHeight="1">
      <c r="A297" s="42" t="s">
        <v>522</v>
      </c>
      <c r="B297" s="21">
        <v>45587.0</v>
      </c>
      <c r="C297" s="20" t="s">
        <v>169</v>
      </c>
      <c r="D297" s="21">
        <v>45585.0</v>
      </c>
      <c r="E297" s="21">
        <v>45591.0</v>
      </c>
      <c r="F297" s="20" t="s">
        <v>520</v>
      </c>
      <c r="G297" s="42" t="s">
        <v>96</v>
      </c>
      <c r="H297" s="20" t="s">
        <v>72</v>
      </c>
      <c r="I297" s="9" t="s">
        <v>498</v>
      </c>
      <c r="J297" s="43">
        <v>2024.0</v>
      </c>
      <c r="K297" s="42" t="s">
        <v>112</v>
      </c>
    </row>
    <row r="298" ht="12.75" customHeight="1">
      <c r="A298" s="42" t="s">
        <v>523</v>
      </c>
      <c r="B298" s="21">
        <v>45588.0</v>
      </c>
      <c r="C298" s="20" t="s">
        <v>171</v>
      </c>
      <c r="D298" s="21">
        <v>45585.0</v>
      </c>
      <c r="E298" s="21">
        <v>45591.0</v>
      </c>
      <c r="F298" s="20" t="s">
        <v>520</v>
      </c>
      <c r="G298" s="42" t="s">
        <v>96</v>
      </c>
      <c r="H298" s="20" t="s">
        <v>72</v>
      </c>
      <c r="I298" s="9" t="s">
        <v>498</v>
      </c>
      <c r="J298" s="43">
        <v>2024.0</v>
      </c>
      <c r="K298" s="42" t="s">
        <v>112</v>
      </c>
    </row>
    <row r="299" ht="12.75" customHeight="1">
      <c r="A299" s="42" t="s">
        <v>524</v>
      </c>
      <c r="B299" s="21">
        <v>45589.0</v>
      </c>
      <c r="C299" s="20" t="s">
        <v>173</v>
      </c>
      <c r="D299" s="21">
        <v>45585.0</v>
      </c>
      <c r="E299" s="21">
        <v>45591.0</v>
      </c>
      <c r="F299" s="20" t="s">
        <v>520</v>
      </c>
      <c r="G299" s="42" t="s">
        <v>96</v>
      </c>
      <c r="H299" s="20" t="s">
        <v>72</v>
      </c>
      <c r="I299" s="9" t="s">
        <v>498</v>
      </c>
      <c r="J299" s="43">
        <v>2024.0</v>
      </c>
      <c r="K299" s="42" t="s">
        <v>112</v>
      </c>
    </row>
    <row r="300" ht="12.75" customHeight="1">
      <c r="A300" s="42" t="s">
        <v>525</v>
      </c>
      <c r="B300" s="21">
        <v>45590.0</v>
      </c>
      <c r="C300" s="20" t="s">
        <v>175</v>
      </c>
      <c r="D300" s="21">
        <v>45585.0</v>
      </c>
      <c r="E300" s="21">
        <v>45591.0</v>
      </c>
      <c r="F300" s="20" t="s">
        <v>520</v>
      </c>
      <c r="G300" s="42" t="s">
        <v>96</v>
      </c>
      <c r="H300" s="20" t="s">
        <v>72</v>
      </c>
      <c r="I300" s="9" t="s">
        <v>498</v>
      </c>
      <c r="J300" s="43">
        <v>2024.0</v>
      </c>
      <c r="K300" s="42" t="s">
        <v>112</v>
      </c>
    </row>
    <row r="301" ht="12.75" customHeight="1">
      <c r="A301" s="42" t="s">
        <v>526</v>
      </c>
      <c r="B301" s="21">
        <v>45591.0</v>
      </c>
      <c r="C301" s="20" t="s">
        <v>177</v>
      </c>
      <c r="D301" s="21">
        <v>45585.0</v>
      </c>
      <c r="E301" s="21">
        <v>45591.0</v>
      </c>
      <c r="F301" s="20" t="s">
        <v>520</v>
      </c>
      <c r="G301" s="42" t="s">
        <v>96</v>
      </c>
      <c r="H301" s="20" t="s">
        <v>72</v>
      </c>
      <c r="I301" s="9" t="s">
        <v>498</v>
      </c>
      <c r="J301" s="43">
        <v>2024.0</v>
      </c>
      <c r="K301" s="42" t="s">
        <v>112</v>
      </c>
    </row>
    <row r="302" ht="12.75" customHeight="1">
      <c r="A302" s="42" t="s">
        <v>527</v>
      </c>
      <c r="B302" s="21">
        <v>45592.0</v>
      </c>
      <c r="C302" s="20" t="s">
        <v>179</v>
      </c>
      <c r="D302" s="21">
        <v>45592.0</v>
      </c>
      <c r="E302" s="21">
        <v>45598.0</v>
      </c>
      <c r="F302" s="20" t="s">
        <v>528</v>
      </c>
      <c r="G302" s="42" t="s">
        <v>96</v>
      </c>
      <c r="H302" s="20" t="s">
        <v>72</v>
      </c>
      <c r="I302" s="9" t="s">
        <v>498</v>
      </c>
      <c r="J302" s="43">
        <v>2024.0</v>
      </c>
      <c r="K302" s="42" t="s">
        <v>113</v>
      </c>
    </row>
    <row r="303" ht="12.75" customHeight="1">
      <c r="A303" s="42" t="s">
        <v>529</v>
      </c>
      <c r="B303" s="21">
        <v>45593.0</v>
      </c>
      <c r="C303" s="20" t="s">
        <v>163</v>
      </c>
      <c r="D303" s="21">
        <v>45592.0</v>
      </c>
      <c r="E303" s="21">
        <v>45598.0</v>
      </c>
      <c r="F303" s="20" t="s">
        <v>528</v>
      </c>
      <c r="G303" s="42" t="s">
        <v>96</v>
      </c>
      <c r="H303" s="20" t="s">
        <v>72</v>
      </c>
      <c r="I303" s="9" t="s">
        <v>498</v>
      </c>
      <c r="J303" s="43">
        <v>2024.0</v>
      </c>
      <c r="K303" s="42" t="s">
        <v>113</v>
      </c>
    </row>
    <row r="304" ht="12.75" customHeight="1">
      <c r="A304" s="42" t="s">
        <v>530</v>
      </c>
      <c r="B304" s="21">
        <v>45594.0</v>
      </c>
      <c r="C304" s="20" t="s">
        <v>169</v>
      </c>
      <c r="D304" s="21">
        <v>45592.0</v>
      </c>
      <c r="E304" s="21">
        <v>45598.0</v>
      </c>
      <c r="F304" s="20" t="s">
        <v>528</v>
      </c>
      <c r="G304" s="42" t="s">
        <v>96</v>
      </c>
      <c r="H304" s="20" t="s">
        <v>72</v>
      </c>
      <c r="I304" s="9" t="s">
        <v>498</v>
      </c>
      <c r="J304" s="43">
        <v>2024.0</v>
      </c>
      <c r="K304" s="42" t="s">
        <v>113</v>
      </c>
    </row>
    <row r="305" ht="12.75" customHeight="1">
      <c r="A305" s="42" t="s">
        <v>531</v>
      </c>
      <c r="B305" s="21">
        <v>45595.0</v>
      </c>
      <c r="C305" s="20" t="s">
        <v>171</v>
      </c>
      <c r="D305" s="21">
        <v>45592.0</v>
      </c>
      <c r="E305" s="21">
        <v>45598.0</v>
      </c>
      <c r="F305" s="20" t="s">
        <v>528</v>
      </c>
      <c r="G305" s="42" t="s">
        <v>96</v>
      </c>
      <c r="H305" s="20" t="s">
        <v>72</v>
      </c>
      <c r="I305" s="9" t="s">
        <v>498</v>
      </c>
      <c r="J305" s="43">
        <v>2024.0</v>
      </c>
      <c r="K305" s="42" t="s">
        <v>113</v>
      </c>
    </row>
    <row r="306" ht="12.75" customHeight="1">
      <c r="A306" s="42" t="s">
        <v>532</v>
      </c>
      <c r="B306" s="21">
        <v>45596.0</v>
      </c>
      <c r="C306" s="20" t="s">
        <v>173</v>
      </c>
      <c r="D306" s="21">
        <v>45592.0</v>
      </c>
      <c r="E306" s="21">
        <v>45598.0</v>
      </c>
      <c r="F306" s="20" t="s">
        <v>528</v>
      </c>
      <c r="G306" s="42" t="s">
        <v>96</v>
      </c>
      <c r="H306" s="20" t="s">
        <v>72</v>
      </c>
      <c r="I306" s="9" t="s">
        <v>498</v>
      </c>
      <c r="J306" s="43">
        <v>2024.0</v>
      </c>
      <c r="K306" s="42" t="s">
        <v>113</v>
      </c>
    </row>
    <row r="307" ht="12.75" customHeight="1">
      <c r="A307" s="42" t="s">
        <v>533</v>
      </c>
      <c r="B307" s="21">
        <v>45597.0</v>
      </c>
      <c r="C307" s="20" t="s">
        <v>175</v>
      </c>
      <c r="D307" s="21">
        <v>45592.0</v>
      </c>
      <c r="E307" s="21">
        <v>45598.0</v>
      </c>
      <c r="F307" s="20" t="s">
        <v>528</v>
      </c>
      <c r="G307" s="42" t="s">
        <v>97</v>
      </c>
      <c r="H307" s="20" t="s">
        <v>71</v>
      </c>
      <c r="I307" s="9" t="s">
        <v>498</v>
      </c>
      <c r="J307" s="43">
        <v>2024.0</v>
      </c>
      <c r="K307" s="42" t="s">
        <v>113</v>
      </c>
    </row>
    <row r="308" ht="12.75" customHeight="1">
      <c r="A308" s="42" t="s">
        <v>534</v>
      </c>
      <c r="B308" s="21">
        <v>45598.0</v>
      </c>
      <c r="C308" s="20" t="s">
        <v>177</v>
      </c>
      <c r="D308" s="21">
        <v>45592.0</v>
      </c>
      <c r="E308" s="21">
        <v>45598.0</v>
      </c>
      <c r="F308" s="20" t="s">
        <v>528</v>
      </c>
      <c r="G308" s="42" t="s">
        <v>97</v>
      </c>
      <c r="H308" s="20" t="s">
        <v>71</v>
      </c>
      <c r="I308" s="9" t="s">
        <v>498</v>
      </c>
      <c r="J308" s="43">
        <v>2024.0</v>
      </c>
      <c r="K308" s="42" t="s">
        <v>113</v>
      </c>
    </row>
    <row r="309" ht="12.75" customHeight="1">
      <c r="A309" s="42" t="s">
        <v>535</v>
      </c>
      <c r="B309" s="21">
        <v>45599.0</v>
      </c>
      <c r="C309" s="20" t="s">
        <v>179</v>
      </c>
      <c r="D309" s="21">
        <v>45599.0</v>
      </c>
      <c r="E309" s="21">
        <v>45605.0</v>
      </c>
      <c r="F309" s="20" t="s">
        <v>536</v>
      </c>
      <c r="G309" s="42" t="s">
        <v>97</v>
      </c>
      <c r="H309" s="20" t="s">
        <v>71</v>
      </c>
      <c r="I309" s="9" t="s">
        <v>498</v>
      </c>
      <c r="J309" s="43">
        <v>2024.0</v>
      </c>
      <c r="K309" s="42" t="s">
        <v>105</v>
      </c>
    </row>
    <row r="310" ht="12.75" customHeight="1">
      <c r="A310" s="42" t="s">
        <v>537</v>
      </c>
      <c r="B310" s="21">
        <v>45600.0</v>
      </c>
      <c r="C310" s="20" t="s">
        <v>163</v>
      </c>
      <c r="D310" s="21">
        <v>45599.0</v>
      </c>
      <c r="E310" s="21">
        <v>45605.0</v>
      </c>
      <c r="F310" s="20" t="s">
        <v>536</v>
      </c>
      <c r="G310" s="42" t="s">
        <v>97</v>
      </c>
      <c r="H310" s="20" t="s">
        <v>71</v>
      </c>
      <c r="I310" s="9" t="s">
        <v>498</v>
      </c>
      <c r="J310" s="43">
        <v>2024.0</v>
      </c>
      <c r="K310" s="42" t="s">
        <v>105</v>
      </c>
    </row>
    <row r="311" ht="12.75" customHeight="1">
      <c r="A311" s="42" t="s">
        <v>538</v>
      </c>
      <c r="B311" s="21">
        <v>45601.0</v>
      </c>
      <c r="C311" s="20" t="s">
        <v>169</v>
      </c>
      <c r="D311" s="21">
        <v>45599.0</v>
      </c>
      <c r="E311" s="21">
        <v>45605.0</v>
      </c>
      <c r="F311" s="20" t="s">
        <v>536</v>
      </c>
      <c r="G311" s="42" t="s">
        <v>97</v>
      </c>
      <c r="H311" s="20" t="s">
        <v>71</v>
      </c>
      <c r="I311" s="9" t="s">
        <v>498</v>
      </c>
      <c r="J311" s="43">
        <v>2024.0</v>
      </c>
      <c r="K311" s="42" t="s">
        <v>105</v>
      </c>
    </row>
    <row r="312" ht="12.75" customHeight="1">
      <c r="A312" s="42" t="s">
        <v>539</v>
      </c>
      <c r="B312" s="21">
        <v>45602.0</v>
      </c>
      <c r="C312" s="20" t="s">
        <v>171</v>
      </c>
      <c r="D312" s="21">
        <v>45599.0</v>
      </c>
      <c r="E312" s="21">
        <v>45605.0</v>
      </c>
      <c r="F312" s="20" t="s">
        <v>536</v>
      </c>
      <c r="G312" s="42" t="s">
        <v>97</v>
      </c>
      <c r="H312" s="20" t="s">
        <v>71</v>
      </c>
      <c r="I312" s="9" t="s">
        <v>498</v>
      </c>
      <c r="J312" s="43">
        <v>2024.0</v>
      </c>
      <c r="K312" s="42" t="s">
        <v>105</v>
      </c>
    </row>
    <row r="313" ht="12.75" customHeight="1">
      <c r="A313" s="42" t="s">
        <v>540</v>
      </c>
      <c r="B313" s="21">
        <v>45603.0</v>
      </c>
      <c r="C313" s="20" t="s">
        <v>173</v>
      </c>
      <c r="D313" s="21">
        <v>45599.0</v>
      </c>
      <c r="E313" s="21">
        <v>45605.0</v>
      </c>
      <c r="F313" s="20" t="s">
        <v>536</v>
      </c>
      <c r="G313" s="42" t="s">
        <v>97</v>
      </c>
      <c r="H313" s="20" t="s">
        <v>71</v>
      </c>
      <c r="I313" s="9" t="s">
        <v>498</v>
      </c>
      <c r="J313" s="43">
        <v>2024.0</v>
      </c>
      <c r="K313" s="42" t="s">
        <v>105</v>
      </c>
    </row>
    <row r="314" ht="12.75" customHeight="1">
      <c r="A314" s="42" t="s">
        <v>541</v>
      </c>
      <c r="B314" s="21">
        <v>45604.0</v>
      </c>
      <c r="C314" s="20" t="s">
        <v>175</v>
      </c>
      <c r="D314" s="21">
        <v>45599.0</v>
      </c>
      <c r="E314" s="21">
        <v>45605.0</v>
      </c>
      <c r="F314" s="20" t="s">
        <v>536</v>
      </c>
      <c r="G314" s="42" t="s">
        <v>97</v>
      </c>
      <c r="H314" s="20" t="s">
        <v>71</v>
      </c>
      <c r="I314" s="9" t="s">
        <v>498</v>
      </c>
      <c r="J314" s="43">
        <v>2024.0</v>
      </c>
      <c r="K314" s="42" t="s">
        <v>105</v>
      </c>
    </row>
    <row r="315" ht="12.75" customHeight="1">
      <c r="A315" s="42" t="s">
        <v>542</v>
      </c>
      <c r="B315" s="21">
        <v>45605.0</v>
      </c>
      <c r="C315" s="20" t="s">
        <v>177</v>
      </c>
      <c r="D315" s="21">
        <v>45599.0</v>
      </c>
      <c r="E315" s="21">
        <v>45605.0</v>
      </c>
      <c r="F315" s="20" t="s">
        <v>536</v>
      </c>
      <c r="G315" s="42" t="s">
        <v>97</v>
      </c>
      <c r="H315" s="20" t="s">
        <v>71</v>
      </c>
      <c r="I315" s="9" t="s">
        <v>498</v>
      </c>
      <c r="J315" s="43">
        <v>2024.0</v>
      </c>
      <c r="K315" s="42" t="s">
        <v>105</v>
      </c>
    </row>
    <row r="316" ht="12.75" customHeight="1">
      <c r="A316" s="42" t="s">
        <v>543</v>
      </c>
      <c r="B316" s="21">
        <v>45606.0</v>
      </c>
      <c r="C316" s="20" t="s">
        <v>179</v>
      </c>
      <c r="D316" s="21">
        <v>45606.0</v>
      </c>
      <c r="E316" s="21">
        <v>45612.0</v>
      </c>
      <c r="F316" s="20" t="s">
        <v>544</v>
      </c>
      <c r="G316" s="42" t="s">
        <v>97</v>
      </c>
      <c r="H316" s="20" t="s">
        <v>71</v>
      </c>
      <c r="I316" s="9" t="s">
        <v>498</v>
      </c>
      <c r="J316" s="43">
        <v>2024.0</v>
      </c>
      <c r="K316" s="42" t="s">
        <v>106</v>
      </c>
    </row>
    <row r="317" ht="12.75" customHeight="1">
      <c r="A317" s="42" t="s">
        <v>545</v>
      </c>
      <c r="B317" s="21">
        <v>45607.0</v>
      </c>
      <c r="C317" s="20" t="s">
        <v>163</v>
      </c>
      <c r="D317" s="21">
        <v>45606.0</v>
      </c>
      <c r="E317" s="21">
        <v>45612.0</v>
      </c>
      <c r="F317" s="20" t="s">
        <v>544</v>
      </c>
      <c r="G317" s="42" t="s">
        <v>97</v>
      </c>
      <c r="H317" s="20" t="s">
        <v>71</v>
      </c>
      <c r="I317" s="9" t="s">
        <v>498</v>
      </c>
      <c r="J317" s="43">
        <v>2024.0</v>
      </c>
      <c r="K317" s="42" t="s">
        <v>106</v>
      </c>
    </row>
    <row r="318" ht="12.75" customHeight="1">
      <c r="A318" s="42" t="s">
        <v>546</v>
      </c>
      <c r="B318" s="21">
        <v>45608.0</v>
      </c>
      <c r="C318" s="20" t="s">
        <v>169</v>
      </c>
      <c r="D318" s="21">
        <v>45606.0</v>
      </c>
      <c r="E318" s="21">
        <v>45612.0</v>
      </c>
      <c r="F318" s="20" t="s">
        <v>544</v>
      </c>
      <c r="G318" s="42" t="s">
        <v>97</v>
      </c>
      <c r="H318" s="20" t="s">
        <v>71</v>
      </c>
      <c r="I318" s="9" t="s">
        <v>498</v>
      </c>
      <c r="J318" s="43">
        <v>2024.0</v>
      </c>
      <c r="K318" s="42" t="s">
        <v>106</v>
      </c>
    </row>
    <row r="319" ht="12.75" customHeight="1">
      <c r="A319" s="42" t="s">
        <v>547</v>
      </c>
      <c r="B319" s="21">
        <v>45609.0</v>
      </c>
      <c r="C319" s="20" t="s">
        <v>171</v>
      </c>
      <c r="D319" s="21">
        <v>45606.0</v>
      </c>
      <c r="E319" s="21">
        <v>45612.0</v>
      </c>
      <c r="F319" s="20" t="s">
        <v>544</v>
      </c>
      <c r="G319" s="42" t="s">
        <v>97</v>
      </c>
      <c r="H319" s="20" t="s">
        <v>71</v>
      </c>
      <c r="I319" s="9" t="s">
        <v>498</v>
      </c>
      <c r="J319" s="43">
        <v>2024.0</v>
      </c>
      <c r="K319" s="42" t="s">
        <v>106</v>
      </c>
    </row>
    <row r="320" ht="12.75" customHeight="1">
      <c r="A320" s="42" t="s">
        <v>548</v>
      </c>
      <c r="B320" s="21">
        <v>45610.0</v>
      </c>
      <c r="C320" s="20" t="s">
        <v>173</v>
      </c>
      <c r="D320" s="21">
        <v>45606.0</v>
      </c>
      <c r="E320" s="21">
        <v>45612.0</v>
      </c>
      <c r="F320" s="20" t="s">
        <v>544</v>
      </c>
      <c r="G320" s="42" t="s">
        <v>97</v>
      </c>
      <c r="H320" s="20" t="s">
        <v>71</v>
      </c>
      <c r="I320" s="9" t="s">
        <v>498</v>
      </c>
      <c r="J320" s="43">
        <v>2024.0</v>
      </c>
      <c r="K320" s="42" t="s">
        <v>106</v>
      </c>
    </row>
    <row r="321" ht="12.75" customHeight="1">
      <c r="A321" s="42" t="s">
        <v>549</v>
      </c>
      <c r="B321" s="21">
        <v>45611.0</v>
      </c>
      <c r="C321" s="20" t="s">
        <v>175</v>
      </c>
      <c r="D321" s="21">
        <v>45606.0</v>
      </c>
      <c r="E321" s="21">
        <v>45612.0</v>
      </c>
      <c r="F321" s="20" t="s">
        <v>544</v>
      </c>
      <c r="G321" s="42" t="s">
        <v>97</v>
      </c>
      <c r="H321" s="20" t="s">
        <v>71</v>
      </c>
      <c r="I321" s="9" t="s">
        <v>498</v>
      </c>
      <c r="J321" s="43">
        <v>2024.0</v>
      </c>
      <c r="K321" s="42" t="s">
        <v>106</v>
      </c>
    </row>
    <row r="322" ht="12.75" customHeight="1">
      <c r="A322" s="42" t="s">
        <v>550</v>
      </c>
      <c r="B322" s="21">
        <v>45612.0</v>
      </c>
      <c r="C322" s="20" t="s">
        <v>177</v>
      </c>
      <c r="D322" s="21">
        <v>45606.0</v>
      </c>
      <c r="E322" s="21">
        <v>45612.0</v>
      </c>
      <c r="F322" s="20" t="s">
        <v>544</v>
      </c>
      <c r="G322" s="42" t="s">
        <v>97</v>
      </c>
      <c r="H322" s="20" t="s">
        <v>71</v>
      </c>
      <c r="I322" s="9" t="s">
        <v>498</v>
      </c>
      <c r="J322" s="43">
        <v>2024.0</v>
      </c>
      <c r="K322" s="42" t="s">
        <v>106</v>
      </c>
    </row>
    <row r="323" ht="12.75" customHeight="1">
      <c r="A323" s="42" t="s">
        <v>551</v>
      </c>
      <c r="B323" s="21">
        <v>45613.0</v>
      </c>
      <c r="C323" s="20" t="s">
        <v>179</v>
      </c>
      <c r="D323" s="21">
        <v>45613.0</v>
      </c>
      <c r="E323" s="21">
        <v>45619.0</v>
      </c>
      <c r="F323" s="20" t="s">
        <v>552</v>
      </c>
      <c r="G323" s="42" t="s">
        <v>97</v>
      </c>
      <c r="H323" s="20" t="s">
        <v>71</v>
      </c>
      <c r="I323" s="9" t="s">
        <v>498</v>
      </c>
      <c r="J323" s="43">
        <v>2024.0</v>
      </c>
      <c r="K323" s="42" t="s">
        <v>107</v>
      </c>
    </row>
    <row r="324" ht="12.75" customHeight="1">
      <c r="A324" s="42" t="s">
        <v>553</v>
      </c>
      <c r="B324" s="21">
        <v>45614.0</v>
      </c>
      <c r="C324" s="20" t="s">
        <v>163</v>
      </c>
      <c r="D324" s="21">
        <v>45613.0</v>
      </c>
      <c r="E324" s="21">
        <v>45619.0</v>
      </c>
      <c r="F324" s="20" t="s">
        <v>552</v>
      </c>
      <c r="G324" s="42" t="s">
        <v>97</v>
      </c>
      <c r="H324" s="20" t="s">
        <v>71</v>
      </c>
      <c r="I324" s="9" t="s">
        <v>498</v>
      </c>
      <c r="J324" s="43">
        <v>2024.0</v>
      </c>
      <c r="K324" s="42" t="s">
        <v>107</v>
      </c>
    </row>
    <row r="325" ht="12.75" customHeight="1">
      <c r="A325" s="42" t="s">
        <v>554</v>
      </c>
      <c r="B325" s="21">
        <v>45615.0</v>
      </c>
      <c r="C325" s="20" t="s">
        <v>169</v>
      </c>
      <c r="D325" s="21">
        <v>45613.0</v>
      </c>
      <c r="E325" s="21">
        <v>45619.0</v>
      </c>
      <c r="F325" s="20" t="s">
        <v>552</v>
      </c>
      <c r="G325" s="42" t="s">
        <v>97</v>
      </c>
      <c r="H325" s="20" t="s">
        <v>71</v>
      </c>
      <c r="I325" s="9" t="s">
        <v>498</v>
      </c>
      <c r="J325" s="43">
        <v>2024.0</v>
      </c>
      <c r="K325" s="42" t="s">
        <v>107</v>
      </c>
    </row>
    <row r="326" ht="12.75" customHeight="1">
      <c r="A326" s="42" t="s">
        <v>555</v>
      </c>
      <c r="B326" s="21">
        <v>45616.0</v>
      </c>
      <c r="C326" s="20" t="s">
        <v>171</v>
      </c>
      <c r="D326" s="21">
        <v>45613.0</v>
      </c>
      <c r="E326" s="21">
        <v>45619.0</v>
      </c>
      <c r="F326" s="20" t="s">
        <v>552</v>
      </c>
      <c r="G326" s="42" t="s">
        <v>97</v>
      </c>
      <c r="H326" s="20" t="s">
        <v>71</v>
      </c>
      <c r="I326" s="9" t="s">
        <v>498</v>
      </c>
      <c r="J326" s="43">
        <v>2024.0</v>
      </c>
      <c r="K326" s="42" t="s">
        <v>107</v>
      </c>
    </row>
    <row r="327" ht="12.75" customHeight="1">
      <c r="A327" s="42" t="s">
        <v>556</v>
      </c>
      <c r="B327" s="21">
        <v>45617.0</v>
      </c>
      <c r="C327" s="20" t="s">
        <v>173</v>
      </c>
      <c r="D327" s="21">
        <v>45613.0</v>
      </c>
      <c r="E327" s="21">
        <v>45619.0</v>
      </c>
      <c r="F327" s="20" t="s">
        <v>552</v>
      </c>
      <c r="G327" s="42" t="s">
        <v>97</v>
      </c>
      <c r="H327" s="20" t="s">
        <v>71</v>
      </c>
      <c r="I327" s="9" t="s">
        <v>498</v>
      </c>
      <c r="J327" s="43">
        <v>2024.0</v>
      </c>
      <c r="K327" s="42" t="s">
        <v>107</v>
      </c>
    </row>
    <row r="328" ht="12.75" customHeight="1">
      <c r="A328" s="42" t="s">
        <v>557</v>
      </c>
      <c r="B328" s="21">
        <v>45618.0</v>
      </c>
      <c r="C328" s="20" t="s">
        <v>175</v>
      </c>
      <c r="D328" s="21">
        <v>45613.0</v>
      </c>
      <c r="E328" s="21">
        <v>45619.0</v>
      </c>
      <c r="F328" s="20" t="s">
        <v>552</v>
      </c>
      <c r="G328" s="42" t="s">
        <v>97</v>
      </c>
      <c r="H328" s="20" t="s">
        <v>71</v>
      </c>
      <c r="I328" s="9" t="s">
        <v>498</v>
      </c>
      <c r="J328" s="43">
        <v>2024.0</v>
      </c>
      <c r="K328" s="42" t="s">
        <v>107</v>
      </c>
    </row>
    <row r="329" ht="12.75" customHeight="1">
      <c r="A329" s="42" t="s">
        <v>558</v>
      </c>
      <c r="B329" s="21">
        <v>45619.0</v>
      </c>
      <c r="C329" s="20" t="s">
        <v>177</v>
      </c>
      <c r="D329" s="21">
        <v>45613.0</v>
      </c>
      <c r="E329" s="21">
        <v>45619.0</v>
      </c>
      <c r="F329" s="20" t="s">
        <v>552</v>
      </c>
      <c r="G329" s="42" t="s">
        <v>97</v>
      </c>
      <c r="H329" s="20" t="s">
        <v>71</v>
      </c>
      <c r="I329" s="9" t="s">
        <v>498</v>
      </c>
      <c r="J329" s="43">
        <v>2024.0</v>
      </c>
      <c r="K329" s="42" t="s">
        <v>107</v>
      </c>
    </row>
    <row r="330" ht="12.75" customHeight="1">
      <c r="A330" s="42" t="s">
        <v>559</v>
      </c>
      <c r="B330" s="21">
        <v>45620.0</v>
      </c>
      <c r="C330" s="20" t="s">
        <v>179</v>
      </c>
      <c r="D330" s="21">
        <v>45620.0</v>
      </c>
      <c r="E330" s="21">
        <v>45626.0</v>
      </c>
      <c r="F330" s="20" t="s">
        <v>560</v>
      </c>
      <c r="G330" s="42" t="s">
        <v>97</v>
      </c>
      <c r="H330" s="20" t="s">
        <v>71</v>
      </c>
      <c r="I330" s="9" t="s">
        <v>498</v>
      </c>
      <c r="J330" s="43">
        <v>2024.0</v>
      </c>
      <c r="K330" s="42" t="s">
        <v>108</v>
      </c>
    </row>
    <row r="331" ht="12.75" customHeight="1">
      <c r="A331" s="42" t="s">
        <v>561</v>
      </c>
      <c r="B331" s="21">
        <v>45621.0</v>
      </c>
      <c r="C331" s="20" t="s">
        <v>163</v>
      </c>
      <c r="D331" s="21">
        <v>45620.0</v>
      </c>
      <c r="E331" s="21">
        <v>45626.0</v>
      </c>
      <c r="F331" s="20" t="s">
        <v>560</v>
      </c>
      <c r="G331" s="42" t="s">
        <v>97</v>
      </c>
      <c r="H331" s="20" t="s">
        <v>71</v>
      </c>
      <c r="I331" s="9" t="s">
        <v>498</v>
      </c>
      <c r="J331" s="43">
        <v>2024.0</v>
      </c>
      <c r="K331" s="42" t="s">
        <v>108</v>
      </c>
    </row>
    <row r="332" ht="12.75" customHeight="1">
      <c r="A332" s="42" t="s">
        <v>562</v>
      </c>
      <c r="B332" s="21">
        <v>45622.0</v>
      </c>
      <c r="C332" s="20" t="s">
        <v>169</v>
      </c>
      <c r="D332" s="21">
        <v>45620.0</v>
      </c>
      <c r="E332" s="21">
        <v>45626.0</v>
      </c>
      <c r="F332" s="20" t="s">
        <v>560</v>
      </c>
      <c r="G332" s="42" t="s">
        <v>97</v>
      </c>
      <c r="H332" s="20" t="s">
        <v>71</v>
      </c>
      <c r="I332" s="9" t="s">
        <v>498</v>
      </c>
      <c r="J332" s="43">
        <v>2024.0</v>
      </c>
      <c r="K332" s="42" t="s">
        <v>108</v>
      </c>
    </row>
    <row r="333" ht="12.75" customHeight="1">
      <c r="A333" s="42" t="s">
        <v>563</v>
      </c>
      <c r="B333" s="21">
        <v>45623.0</v>
      </c>
      <c r="C333" s="20" t="s">
        <v>171</v>
      </c>
      <c r="D333" s="21">
        <v>45620.0</v>
      </c>
      <c r="E333" s="21">
        <v>45626.0</v>
      </c>
      <c r="F333" s="20" t="s">
        <v>560</v>
      </c>
      <c r="G333" s="42" t="s">
        <v>97</v>
      </c>
      <c r="H333" s="20" t="s">
        <v>71</v>
      </c>
      <c r="I333" s="9" t="s">
        <v>498</v>
      </c>
      <c r="J333" s="43">
        <v>2024.0</v>
      </c>
      <c r="K333" s="42" t="s">
        <v>108</v>
      </c>
    </row>
    <row r="334" ht="12.75" customHeight="1">
      <c r="A334" s="42" t="s">
        <v>564</v>
      </c>
      <c r="B334" s="21">
        <v>45624.0</v>
      </c>
      <c r="C334" s="20" t="s">
        <v>173</v>
      </c>
      <c r="D334" s="21">
        <v>45620.0</v>
      </c>
      <c r="E334" s="21">
        <v>45626.0</v>
      </c>
      <c r="F334" s="20" t="s">
        <v>560</v>
      </c>
      <c r="G334" s="42" t="s">
        <v>97</v>
      </c>
      <c r="H334" s="20" t="s">
        <v>71</v>
      </c>
      <c r="I334" s="9" t="s">
        <v>498</v>
      </c>
      <c r="J334" s="43">
        <v>2024.0</v>
      </c>
      <c r="K334" s="42" t="s">
        <v>108</v>
      </c>
    </row>
    <row r="335" ht="12.75" customHeight="1">
      <c r="A335" s="42" t="s">
        <v>565</v>
      </c>
      <c r="B335" s="21">
        <v>45625.0</v>
      </c>
      <c r="C335" s="20" t="s">
        <v>175</v>
      </c>
      <c r="D335" s="21">
        <v>45620.0</v>
      </c>
      <c r="E335" s="21">
        <v>45626.0</v>
      </c>
      <c r="F335" s="20" t="s">
        <v>560</v>
      </c>
      <c r="G335" s="42" t="s">
        <v>97</v>
      </c>
      <c r="H335" s="20" t="s">
        <v>71</v>
      </c>
      <c r="I335" s="9" t="s">
        <v>498</v>
      </c>
      <c r="J335" s="43">
        <v>2024.0</v>
      </c>
      <c r="K335" s="42" t="s">
        <v>108</v>
      </c>
    </row>
    <row r="336" ht="12.75" customHeight="1">
      <c r="A336" s="42" t="s">
        <v>566</v>
      </c>
      <c r="B336" s="21">
        <v>45626.0</v>
      </c>
      <c r="C336" s="20" t="s">
        <v>177</v>
      </c>
      <c r="D336" s="21">
        <v>45620.0</v>
      </c>
      <c r="E336" s="21">
        <v>45626.0</v>
      </c>
      <c r="F336" s="20" t="s">
        <v>560</v>
      </c>
      <c r="G336" s="42" t="s">
        <v>97</v>
      </c>
      <c r="H336" s="20" t="s">
        <v>71</v>
      </c>
      <c r="I336" s="9" t="s">
        <v>498</v>
      </c>
      <c r="J336" s="43">
        <v>2024.0</v>
      </c>
      <c r="K336" s="42" t="s">
        <v>108</v>
      </c>
    </row>
    <row r="337" ht="12.75" customHeight="1">
      <c r="A337" s="42" t="s">
        <v>567</v>
      </c>
      <c r="B337" s="21">
        <v>45627.0</v>
      </c>
      <c r="C337" s="20" t="s">
        <v>179</v>
      </c>
      <c r="D337" s="21">
        <v>45627.0</v>
      </c>
      <c r="E337" s="21">
        <v>45633.0</v>
      </c>
      <c r="F337" s="20" t="s">
        <v>568</v>
      </c>
      <c r="G337" s="42" t="s">
        <v>98</v>
      </c>
      <c r="H337" s="20" t="s">
        <v>66</v>
      </c>
      <c r="I337" s="9" t="s">
        <v>498</v>
      </c>
      <c r="J337" s="43">
        <v>2024.0</v>
      </c>
      <c r="K337" s="42" t="s">
        <v>109</v>
      </c>
    </row>
    <row r="338" ht="12.75" customHeight="1">
      <c r="A338" s="42" t="s">
        <v>569</v>
      </c>
      <c r="B338" s="21">
        <v>45628.0</v>
      </c>
      <c r="C338" s="20" t="s">
        <v>163</v>
      </c>
      <c r="D338" s="21">
        <v>45627.0</v>
      </c>
      <c r="E338" s="21">
        <v>45633.0</v>
      </c>
      <c r="F338" s="20" t="s">
        <v>568</v>
      </c>
      <c r="G338" s="42" t="s">
        <v>98</v>
      </c>
      <c r="H338" s="20" t="s">
        <v>66</v>
      </c>
      <c r="I338" s="9" t="s">
        <v>498</v>
      </c>
      <c r="J338" s="43">
        <v>2024.0</v>
      </c>
      <c r="K338" s="42" t="s">
        <v>109</v>
      </c>
    </row>
    <row r="339" ht="12.75" customHeight="1">
      <c r="A339" s="42" t="s">
        <v>570</v>
      </c>
      <c r="B339" s="21">
        <v>45629.0</v>
      </c>
      <c r="C339" s="20" t="s">
        <v>169</v>
      </c>
      <c r="D339" s="21">
        <v>45627.0</v>
      </c>
      <c r="E339" s="21">
        <v>45633.0</v>
      </c>
      <c r="F339" s="20" t="s">
        <v>568</v>
      </c>
      <c r="G339" s="42" t="s">
        <v>98</v>
      </c>
      <c r="H339" s="20" t="s">
        <v>66</v>
      </c>
      <c r="I339" s="9" t="s">
        <v>498</v>
      </c>
      <c r="J339" s="43">
        <v>2024.0</v>
      </c>
      <c r="K339" s="42" t="s">
        <v>109</v>
      </c>
    </row>
    <row r="340" ht="12.75" customHeight="1">
      <c r="A340" s="42" t="s">
        <v>571</v>
      </c>
      <c r="B340" s="21">
        <v>45630.0</v>
      </c>
      <c r="C340" s="20" t="s">
        <v>171</v>
      </c>
      <c r="D340" s="21">
        <v>45627.0</v>
      </c>
      <c r="E340" s="21">
        <v>45633.0</v>
      </c>
      <c r="F340" s="20" t="s">
        <v>568</v>
      </c>
      <c r="G340" s="42" t="s">
        <v>98</v>
      </c>
      <c r="H340" s="20" t="s">
        <v>66</v>
      </c>
      <c r="I340" s="9" t="s">
        <v>498</v>
      </c>
      <c r="J340" s="43">
        <v>2024.0</v>
      </c>
      <c r="K340" s="42" t="s">
        <v>109</v>
      </c>
    </row>
    <row r="341" ht="12.75" customHeight="1">
      <c r="A341" s="42" t="s">
        <v>572</v>
      </c>
      <c r="B341" s="21">
        <v>45631.0</v>
      </c>
      <c r="C341" s="20" t="s">
        <v>173</v>
      </c>
      <c r="D341" s="21">
        <v>45627.0</v>
      </c>
      <c r="E341" s="21">
        <v>45633.0</v>
      </c>
      <c r="F341" s="20" t="s">
        <v>568</v>
      </c>
      <c r="G341" s="42" t="s">
        <v>98</v>
      </c>
      <c r="H341" s="20" t="s">
        <v>66</v>
      </c>
      <c r="I341" s="9" t="s">
        <v>498</v>
      </c>
      <c r="J341" s="43">
        <v>2024.0</v>
      </c>
      <c r="K341" s="42" t="s">
        <v>109</v>
      </c>
    </row>
    <row r="342" ht="12.75" customHeight="1">
      <c r="A342" s="42" t="s">
        <v>573</v>
      </c>
      <c r="B342" s="21">
        <v>45632.0</v>
      </c>
      <c r="C342" s="20" t="s">
        <v>175</v>
      </c>
      <c r="D342" s="21">
        <v>45627.0</v>
      </c>
      <c r="E342" s="21">
        <v>45633.0</v>
      </c>
      <c r="F342" s="20" t="s">
        <v>568</v>
      </c>
      <c r="G342" s="42" t="s">
        <v>98</v>
      </c>
      <c r="H342" s="20" t="s">
        <v>66</v>
      </c>
      <c r="I342" s="9" t="s">
        <v>498</v>
      </c>
      <c r="J342" s="43">
        <v>2024.0</v>
      </c>
      <c r="K342" s="42" t="s">
        <v>109</v>
      </c>
    </row>
    <row r="343" ht="12.75" customHeight="1">
      <c r="A343" s="42" t="s">
        <v>574</v>
      </c>
      <c r="B343" s="21">
        <v>45633.0</v>
      </c>
      <c r="C343" s="20" t="s">
        <v>177</v>
      </c>
      <c r="D343" s="21">
        <v>45627.0</v>
      </c>
      <c r="E343" s="21">
        <v>45633.0</v>
      </c>
      <c r="F343" s="20" t="s">
        <v>568</v>
      </c>
      <c r="G343" s="42" t="s">
        <v>98</v>
      </c>
      <c r="H343" s="20" t="s">
        <v>66</v>
      </c>
      <c r="I343" s="9" t="s">
        <v>498</v>
      </c>
      <c r="J343" s="43">
        <v>2024.0</v>
      </c>
      <c r="K343" s="42" t="s">
        <v>109</v>
      </c>
    </row>
    <row r="344" ht="12.75" customHeight="1">
      <c r="A344" s="42" t="s">
        <v>575</v>
      </c>
      <c r="B344" s="21">
        <v>45634.0</v>
      </c>
      <c r="C344" s="20" t="s">
        <v>179</v>
      </c>
      <c r="D344" s="21">
        <v>45634.0</v>
      </c>
      <c r="E344" s="21">
        <v>45640.0</v>
      </c>
      <c r="F344" s="20" t="s">
        <v>576</v>
      </c>
      <c r="G344" s="42" t="s">
        <v>98</v>
      </c>
      <c r="H344" s="20" t="s">
        <v>66</v>
      </c>
      <c r="I344" s="9" t="s">
        <v>498</v>
      </c>
      <c r="J344" s="43">
        <v>2024.0</v>
      </c>
      <c r="K344" s="42" t="s">
        <v>83</v>
      </c>
    </row>
    <row r="345" ht="12.75" customHeight="1">
      <c r="A345" s="42" t="s">
        <v>577</v>
      </c>
      <c r="B345" s="21">
        <v>45635.0</v>
      </c>
      <c r="C345" s="20" t="s">
        <v>163</v>
      </c>
      <c r="D345" s="21">
        <v>45634.0</v>
      </c>
      <c r="E345" s="21">
        <v>45640.0</v>
      </c>
      <c r="F345" s="20" t="s">
        <v>576</v>
      </c>
      <c r="G345" s="42" t="s">
        <v>98</v>
      </c>
      <c r="H345" s="20" t="s">
        <v>66</v>
      </c>
      <c r="I345" s="9" t="s">
        <v>498</v>
      </c>
      <c r="J345" s="43">
        <v>2024.0</v>
      </c>
      <c r="K345" s="42" t="s">
        <v>83</v>
      </c>
    </row>
    <row r="346" ht="12.75" customHeight="1">
      <c r="A346" s="42" t="s">
        <v>578</v>
      </c>
      <c r="B346" s="21">
        <v>45636.0</v>
      </c>
      <c r="C346" s="20" t="s">
        <v>169</v>
      </c>
      <c r="D346" s="21">
        <v>45634.0</v>
      </c>
      <c r="E346" s="21">
        <v>45640.0</v>
      </c>
      <c r="F346" s="20" t="s">
        <v>576</v>
      </c>
      <c r="G346" s="42" t="s">
        <v>98</v>
      </c>
      <c r="H346" s="20" t="s">
        <v>66</v>
      </c>
      <c r="I346" s="9" t="s">
        <v>498</v>
      </c>
      <c r="J346" s="43">
        <v>2024.0</v>
      </c>
      <c r="K346" s="42" t="s">
        <v>83</v>
      </c>
    </row>
    <row r="347" ht="12.75" customHeight="1">
      <c r="A347" s="42" t="s">
        <v>579</v>
      </c>
      <c r="B347" s="21">
        <v>45637.0</v>
      </c>
      <c r="C347" s="20" t="s">
        <v>171</v>
      </c>
      <c r="D347" s="21">
        <v>45634.0</v>
      </c>
      <c r="E347" s="21">
        <v>45640.0</v>
      </c>
      <c r="F347" s="20" t="s">
        <v>576</v>
      </c>
      <c r="G347" s="42" t="s">
        <v>98</v>
      </c>
      <c r="H347" s="20" t="s">
        <v>66</v>
      </c>
      <c r="I347" s="9" t="s">
        <v>498</v>
      </c>
      <c r="J347" s="43">
        <v>2024.0</v>
      </c>
      <c r="K347" s="42" t="s">
        <v>83</v>
      </c>
    </row>
    <row r="348" ht="12.75" customHeight="1">
      <c r="A348" s="42" t="s">
        <v>580</v>
      </c>
      <c r="B348" s="21">
        <v>45638.0</v>
      </c>
      <c r="C348" s="20" t="s">
        <v>173</v>
      </c>
      <c r="D348" s="21">
        <v>45634.0</v>
      </c>
      <c r="E348" s="21">
        <v>45640.0</v>
      </c>
      <c r="F348" s="20" t="s">
        <v>576</v>
      </c>
      <c r="G348" s="42" t="s">
        <v>98</v>
      </c>
      <c r="H348" s="20" t="s">
        <v>66</v>
      </c>
      <c r="I348" s="9" t="s">
        <v>498</v>
      </c>
      <c r="J348" s="43">
        <v>2024.0</v>
      </c>
      <c r="K348" s="42" t="s">
        <v>83</v>
      </c>
    </row>
    <row r="349" ht="12.75" customHeight="1">
      <c r="A349" s="42" t="s">
        <v>581</v>
      </c>
      <c r="B349" s="21">
        <v>45639.0</v>
      </c>
      <c r="C349" s="20" t="s">
        <v>175</v>
      </c>
      <c r="D349" s="21">
        <v>45634.0</v>
      </c>
      <c r="E349" s="21">
        <v>45640.0</v>
      </c>
      <c r="F349" s="20" t="s">
        <v>576</v>
      </c>
      <c r="G349" s="42" t="s">
        <v>98</v>
      </c>
      <c r="H349" s="20" t="s">
        <v>66</v>
      </c>
      <c r="I349" s="9" t="s">
        <v>498</v>
      </c>
      <c r="J349" s="43">
        <v>2024.0</v>
      </c>
      <c r="K349" s="42" t="s">
        <v>83</v>
      </c>
    </row>
    <row r="350" ht="12.75" customHeight="1">
      <c r="A350" s="42" t="s">
        <v>582</v>
      </c>
      <c r="B350" s="21">
        <v>45640.0</v>
      </c>
      <c r="C350" s="20" t="s">
        <v>177</v>
      </c>
      <c r="D350" s="21">
        <v>45634.0</v>
      </c>
      <c r="E350" s="21">
        <v>45640.0</v>
      </c>
      <c r="F350" s="20" t="s">
        <v>576</v>
      </c>
      <c r="G350" s="42" t="s">
        <v>98</v>
      </c>
      <c r="H350" s="20" t="s">
        <v>66</v>
      </c>
      <c r="I350" s="9" t="s">
        <v>498</v>
      </c>
      <c r="J350" s="43">
        <v>2024.0</v>
      </c>
      <c r="K350" s="42" t="s">
        <v>83</v>
      </c>
    </row>
    <row r="351" ht="12.75" customHeight="1">
      <c r="A351" s="42" t="s">
        <v>583</v>
      </c>
      <c r="B351" s="21">
        <v>45641.0</v>
      </c>
      <c r="C351" s="20" t="s">
        <v>179</v>
      </c>
      <c r="D351" s="21">
        <v>45641.0</v>
      </c>
      <c r="E351" s="21">
        <v>45647.0</v>
      </c>
      <c r="F351" s="20" t="s">
        <v>584</v>
      </c>
      <c r="G351" s="42" t="s">
        <v>98</v>
      </c>
      <c r="H351" s="20" t="s">
        <v>66</v>
      </c>
      <c r="I351" s="9" t="s">
        <v>498</v>
      </c>
      <c r="J351" s="43">
        <v>2024.0</v>
      </c>
      <c r="K351" s="42" t="s">
        <v>84</v>
      </c>
    </row>
    <row r="352" ht="12.75" customHeight="1">
      <c r="A352" s="42" t="s">
        <v>585</v>
      </c>
      <c r="B352" s="21">
        <v>45642.0</v>
      </c>
      <c r="C352" s="20" t="s">
        <v>163</v>
      </c>
      <c r="D352" s="21">
        <v>45641.0</v>
      </c>
      <c r="E352" s="21">
        <v>45647.0</v>
      </c>
      <c r="F352" s="20" t="s">
        <v>584</v>
      </c>
      <c r="G352" s="42" t="s">
        <v>98</v>
      </c>
      <c r="H352" s="20" t="s">
        <v>66</v>
      </c>
      <c r="I352" s="9" t="s">
        <v>498</v>
      </c>
      <c r="J352" s="43">
        <v>2024.0</v>
      </c>
      <c r="K352" s="42" t="s">
        <v>84</v>
      </c>
    </row>
    <row r="353" ht="12.75" customHeight="1">
      <c r="A353" s="42" t="s">
        <v>586</v>
      </c>
      <c r="B353" s="21">
        <v>45643.0</v>
      </c>
      <c r="C353" s="20" t="s">
        <v>169</v>
      </c>
      <c r="D353" s="21">
        <v>45641.0</v>
      </c>
      <c r="E353" s="21">
        <v>45647.0</v>
      </c>
      <c r="F353" s="20" t="s">
        <v>584</v>
      </c>
      <c r="G353" s="42" t="s">
        <v>98</v>
      </c>
      <c r="H353" s="20" t="s">
        <v>66</v>
      </c>
      <c r="I353" s="9" t="s">
        <v>498</v>
      </c>
      <c r="J353" s="43">
        <v>2024.0</v>
      </c>
      <c r="K353" s="42" t="s">
        <v>84</v>
      </c>
    </row>
    <row r="354" ht="12.75" customHeight="1">
      <c r="A354" s="42" t="s">
        <v>587</v>
      </c>
      <c r="B354" s="21">
        <v>45644.0</v>
      </c>
      <c r="C354" s="20" t="s">
        <v>171</v>
      </c>
      <c r="D354" s="21">
        <v>45641.0</v>
      </c>
      <c r="E354" s="21">
        <v>45647.0</v>
      </c>
      <c r="F354" s="20" t="s">
        <v>584</v>
      </c>
      <c r="G354" s="42" t="s">
        <v>98</v>
      </c>
      <c r="H354" s="20" t="s">
        <v>66</v>
      </c>
      <c r="I354" s="9" t="s">
        <v>498</v>
      </c>
      <c r="J354" s="43">
        <v>2024.0</v>
      </c>
      <c r="K354" s="42" t="s">
        <v>84</v>
      </c>
    </row>
    <row r="355" ht="12.75" customHeight="1">
      <c r="A355" s="42" t="s">
        <v>588</v>
      </c>
      <c r="B355" s="21">
        <v>45645.0</v>
      </c>
      <c r="C355" s="20" t="s">
        <v>173</v>
      </c>
      <c r="D355" s="21">
        <v>45641.0</v>
      </c>
      <c r="E355" s="21">
        <v>45647.0</v>
      </c>
      <c r="F355" s="20" t="s">
        <v>584</v>
      </c>
      <c r="G355" s="42" t="s">
        <v>98</v>
      </c>
      <c r="H355" s="20" t="s">
        <v>66</v>
      </c>
      <c r="I355" s="9" t="s">
        <v>498</v>
      </c>
      <c r="J355" s="43">
        <v>2024.0</v>
      </c>
      <c r="K355" s="42" t="s">
        <v>84</v>
      </c>
    </row>
    <row r="356" ht="12.75" customHeight="1">
      <c r="A356" s="42" t="s">
        <v>589</v>
      </c>
      <c r="B356" s="21">
        <v>45646.0</v>
      </c>
      <c r="C356" s="20" t="s">
        <v>175</v>
      </c>
      <c r="D356" s="21">
        <v>45641.0</v>
      </c>
      <c r="E356" s="21">
        <v>45647.0</v>
      </c>
      <c r="F356" s="20" t="s">
        <v>584</v>
      </c>
      <c r="G356" s="42" t="s">
        <v>98</v>
      </c>
      <c r="H356" s="20" t="s">
        <v>66</v>
      </c>
      <c r="I356" s="9" t="s">
        <v>498</v>
      </c>
      <c r="J356" s="43">
        <v>2024.0</v>
      </c>
      <c r="K356" s="42" t="s">
        <v>84</v>
      </c>
    </row>
    <row r="357" ht="12.75" customHeight="1">
      <c r="A357" s="42" t="s">
        <v>590</v>
      </c>
      <c r="B357" s="21">
        <v>45647.0</v>
      </c>
      <c r="C357" s="20" t="s">
        <v>177</v>
      </c>
      <c r="D357" s="21">
        <v>45641.0</v>
      </c>
      <c r="E357" s="21">
        <v>45647.0</v>
      </c>
      <c r="F357" s="20" t="s">
        <v>584</v>
      </c>
      <c r="G357" s="42" t="s">
        <v>98</v>
      </c>
      <c r="H357" s="20" t="s">
        <v>66</v>
      </c>
      <c r="I357" s="9" t="s">
        <v>498</v>
      </c>
      <c r="J357" s="43">
        <v>2024.0</v>
      </c>
      <c r="K357" s="42" t="s">
        <v>84</v>
      </c>
    </row>
    <row r="358" ht="12.75" customHeight="1">
      <c r="A358" s="42" t="s">
        <v>591</v>
      </c>
      <c r="B358" s="21">
        <v>45648.0</v>
      </c>
      <c r="C358" s="20" t="s">
        <v>179</v>
      </c>
      <c r="D358" s="21">
        <v>45648.0</v>
      </c>
      <c r="E358" s="21">
        <v>45654.0</v>
      </c>
      <c r="F358" s="20" t="s">
        <v>592</v>
      </c>
      <c r="G358" s="42" t="s">
        <v>98</v>
      </c>
      <c r="H358" s="20" t="s">
        <v>66</v>
      </c>
      <c r="I358" s="9" t="s">
        <v>498</v>
      </c>
      <c r="J358" s="43">
        <v>2024.0</v>
      </c>
      <c r="K358" s="42" t="s">
        <v>85</v>
      </c>
    </row>
    <row r="359" ht="12.75" customHeight="1">
      <c r="A359" s="42" t="s">
        <v>593</v>
      </c>
      <c r="B359" s="21">
        <v>45649.0</v>
      </c>
      <c r="C359" s="20" t="s">
        <v>163</v>
      </c>
      <c r="D359" s="21">
        <v>45648.0</v>
      </c>
      <c r="E359" s="21">
        <v>45654.0</v>
      </c>
      <c r="F359" s="20" t="s">
        <v>592</v>
      </c>
      <c r="G359" s="42" t="s">
        <v>98</v>
      </c>
      <c r="H359" s="20" t="s">
        <v>66</v>
      </c>
      <c r="I359" s="9" t="s">
        <v>498</v>
      </c>
      <c r="J359" s="43">
        <v>2024.0</v>
      </c>
      <c r="K359" s="42" t="s">
        <v>85</v>
      </c>
    </row>
    <row r="360" ht="12.75" customHeight="1">
      <c r="A360" s="42" t="s">
        <v>594</v>
      </c>
      <c r="B360" s="21">
        <v>45650.0</v>
      </c>
      <c r="C360" s="20" t="s">
        <v>169</v>
      </c>
      <c r="D360" s="21">
        <v>45648.0</v>
      </c>
      <c r="E360" s="21">
        <v>45654.0</v>
      </c>
      <c r="F360" s="20" t="s">
        <v>592</v>
      </c>
      <c r="G360" s="42" t="s">
        <v>98</v>
      </c>
      <c r="H360" s="20" t="s">
        <v>66</v>
      </c>
      <c r="I360" s="9" t="s">
        <v>498</v>
      </c>
      <c r="J360" s="43">
        <v>2024.0</v>
      </c>
      <c r="K360" s="42" t="s">
        <v>85</v>
      </c>
    </row>
    <row r="361" ht="12.75" customHeight="1">
      <c r="A361" s="42" t="s">
        <v>595</v>
      </c>
      <c r="B361" s="21">
        <v>45651.0</v>
      </c>
      <c r="C361" s="20" t="s">
        <v>171</v>
      </c>
      <c r="D361" s="21">
        <v>45648.0</v>
      </c>
      <c r="E361" s="21">
        <v>45654.0</v>
      </c>
      <c r="F361" s="20" t="s">
        <v>592</v>
      </c>
      <c r="G361" s="42" t="s">
        <v>98</v>
      </c>
      <c r="H361" s="20" t="s">
        <v>66</v>
      </c>
      <c r="I361" s="9" t="s">
        <v>498</v>
      </c>
      <c r="J361" s="43">
        <v>2024.0</v>
      </c>
      <c r="K361" s="42" t="s">
        <v>85</v>
      </c>
    </row>
    <row r="362" ht="12.75" customHeight="1">
      <c r="A362" s="42" t="s">
        <v>596</v>
      </c>
      <c r="B362" s="21">
        <v>45652.0</v>
      </c>
      <c r="C362" s="20" t="s">
        <v>173</v>
      </c>
      <c r="D362" s="21">
        <v>45648.0</v>
      </c>
      <c r="E362" s="21">
        <v>45654.0</v>
      </c>
      <c r="F362" s="20" t="s">
        <v>592</v>
      </c>
      <c r="G362" s="42" t="s">
        <v>98</v>
      </c>
      <c r="H362" s="20" t="s">
        <v>66</v>
      </c>
      <c r="I362" s="9" t="s">
        <v>498</v>
      </c>
      <c r="J362" s="43">
        <v>2024.0</v>
      </c>
      <c r="K362" s="42" t="s">
        <v>85</v>
      </c>
    </row>
    <row r="363" ht="12.75" customHeight="1">
      <c r="A363" s="42" t="s">
        <v>597</v>
      </c>
      <c r="B363" s="21">
        <v>45653.0</v>
      </c>
      <c r="C363" s="20" t="s">
        <v>175</v>
      </c>
      <c r="D363" s="21">
        <v>45648.0</v>
      </c>
      <c r="E363" s="21">
        <v>45654.0</v>
      </c>
      <c r="F363" s="20" t="s">
        <v>592</v>
      </c>
      <c r="G363" s="42" t="s">
        <v>98</v>
      </c>
      <c r="H363" s="20" t="s">
        <v>66</v>
      </c>
      <c r="I363" s="9" t="s">
        <v>498</v>
      </c>
      <c r="J363" s="43">
        <v>2024.0</v>
      </c>
      <c r="K363" s="42" t="s">
        <v>85</v>
      </c>
    </row>
    <row r="364" ht="12.75" customHeight="1">
      <c r="A364" s="42" t="s">
        <v>598</v>
      </c>
      <c r="B364" s="21">
        <v>45654.0</v>
      </c>
      <c r="C364" s="20" t="s">
        <v>177</v>
      </c>
      <c r="D364" s="21">
        <v>45648.0</v>
      </c>
      <c r="E364" s="21">
        <v>45654.0</v>
      </c>
      <c r="F364" s="20" t="s">
        <v>592</v>
      </c>
      <c r="G364" s="42" t="s">
        <v>98</v>
      </c>
      <c r="H364" s="20" t="s">
        <v>66</v>
      </c>
      <c r="I364" s="9" t="s">
        <v>498</v>
      </c>
      <c r="J364" s="43">
        <v>2024.0</v>
      </c>
      <c r="K364" s="42" t="s">
        <v>85</v>
      </c>
    </row>
    <row r="365" ht="12.75" customHeight="1">
      <c r="A365" s="42" t="s">
        <v>599</v>
      </c>
      <c r="B365" s="21">
        <v>45655.0</v>
      </c>
      <c r="C365" s="20" t="s">
        <v>179</v>
      </c>
      <c r="D365" s="21">
        <v>45655.0</v>
      </c>
      <c r="E365" s="21">
        <v>45661.0</v>
      </c>
      <c r="F365" s="20" t="s">
        <v>600</v>
      </c>
      <c r="G365" s="42" t="s">
        <v>98</v>
      </c>
      <c r="H365" s="20" t="s">
        <v>66</v>
      </c>
      <c r="I365" s="9" t="s">
        <v>498</v>
      </c>
      <c r="J365" s="43">
        <v>2024.0</v>
      </c>
      <c r="K365" s="42" t="s">
        <v>86</v>
      </c>
    </row>
    <row r="366" ht="12.75" customHeight="1">
      <c r="A366" s="42" t="s">
        <v>601</v>
      </c>
      <c r="B366" s="21">
        <v>45656.0</v>
      </c>
      <c r="C366" s="20" t="s">
        <v>163</v>
      </c>
      <c r="D366" s="21">
        <v>45655.0</v>
      </c>
      <c r="E366" s="21">
        <v>45661.0</v>
      </c>
      <c r="F366" s="20" t="s">
        <v>600</v>
      </c>
      <c r="G366" s="42" t="s">
        <v>98</v>
      </c>
      <c r="H366" s="20" t="s">
        <v>66</v>
      </c>
      <c r="I366" s="9" t="s">
        <v>498</v>
      </c>
      <c r="J366" s="43">
        <v>2024.0</v>
      </c>
      <c r="K366" s="42" t="s">
        <v>86</v>
      </c>
    </row>
    <row r="367" ht="12.75" customHeight="1">
      <c r="A367" s="42" t="s">
        <v>602</v>
      </c>
      <c r="B367" s="21">
        <v>45657.0</v>
      </c>
      <c r="C367" s="20" t="s">
        <v>169</v>
      </c>
      <c r="D367" s="21">
        <v>45655.0</v>
      </c>
      <c r="E367" s="21">
        <v>45661.0</v>
      </c>
      <c r="F367" s="20" t="s">
        <v>600</v>
      </c>
      <c r="G367" s="42" t="s">
        <v>98</v>
      </c>
      <c r="H367" s="20" t="s">
        <v>66</v>
      </c>
      <c r="I367" s="9" t="s">
        <v>498</v>
      </c>
      <c r="J367" s="43">
        <v>2024.0</v>
      </c>
      <c r="K367" s="42" t="s">
        <v>86</v>
      </c>
    </row>
    <row r="368" ht="12.75" customHeight="1">
      <c r="A368" s="42" t="s">
        <v>603</v>
      </c>
      <c r="B368" s="21">
        <v>45658.0</v>
      </c>
      <c r="C368" s="20" t="s">
        <v>171</v>
      </c>
      <c r="D368" s="21">
        <v>45655.0</v>
      </c>
      <c r="E368" s="21">
        <v>45661.0</v>
      </c>
      <c r="F368" s="20" t="s">
        <v>600</v>
      </c>
      <c r="G368" s="42" t="s">
        <v>165</v>
      </c>
      <c r="H368" s="20" t="s">
        <v>166</v>
      </c>
      <c r="I368" s="9" t="s">
        <v>167</v>
      </c>
      <c r="J368" s="43">
        <v>2025.0</v>
      </c>
      <c r="K368" s="42" t="s">
        <v>165</v>
      </c>
    </row>
    <row r="369" ht="12.75" customHeight="1">
      <c r="A369" s="42" t="s">
        <v>604</v>
      </c>
      <c r="B369" s="21">
        <v>45659.0</v>
      </c>
      <c r="C369" s="20" t="s">
        <v>173</v>
      </c>
      <c r="D369" s="21">
        <v>45655.0</v>
      </c>
      <c r="E369" s="21">
        <v>45661.0</v>
      </c>
      <c r="F369" s="20" t="s">
        <v>600</v>
      </c>
      <c r="G369" s="42" t="s">
        <v>165</v>
      </c>
      <c r="H369" s="20" t="s">
        <v>166</v>
      </c>
      <c r="I369" s="9" t="s">
        <v>167</v>
      </c>
      <c r="J369" s="43">
        <v>2025.0</v>
      </c>
      <c r="K369" s="42" t="s">
        <v>165</v>
      </c>
    </row>
    <row r="370" ht="12.75" customHeight="1">
      <c r="A370" s="42" t="s">
        <v>605</v>
      </c>
      <c r="B370" s="21">
        <v>45660.0</v>
      </c>
      <c r="C370" s="20" t="s">
        <v>175</v>
      </c>
      <c r="D370" s="21">
        <v>45655.0</v>
      </c>
      <c r="E370" s="21">
        <v>45661.0</v>
      </c>
      <c r="F370" s="20" t="s">
        <v>600</v>
      </c>
      <c r="G370" s="42" t="s">
        <v>165</v>
      </c>
      <c r="H370" s="20" t="s">
        <v>166</v>
      </c>
      <c r="I370" s="9" t="s">
        <v>167</v>
      </c>
      <c r="J370" s="43">
        <v>2025.0</v>
      </c>
      <c r="K370" s="42" t="s">
        <v>165</v>
      </c>
    </row>
    <row r="371" ht="12.75" customHeight="1">
      <c r="A371" s="42" t="s">
        <v>606</v>
      </c>
      <c r="B371" s="21">
        <v>45661.0</v>
      </c>
      <c r="C371" s="20" t="s">
        <v>177</v>
      </c>
      <c r="D371" s="21">
        <v>45655.0</v>
      </c>
      <c r="E371" s="21">
        <v>45661.0</v>
      </c>
      <c r="F371" s="20" t="s">
        <v>600</v>
      </c>
      <c r="G371" s="42" t="s">
        <v>165</v>
      </c>
      <c r="H371" s="20" t="s">
        <v>166</v>
      </c>
      <c r="I371" s="9" t="s">
        <v>167</v>
      </c>
      <c r="J371" s="43">
        <v>2025.0</v>
      </c>
      <c r="K371" s="42" t="s">
        <v>165</v>
      </c>
    </row>
    <row r="372" ht="12.75" customHeight="1">
      <c r="A372" s="42" t="s">
        <v>607</v>
      </c>
      <c r="B372" s="21">
        <v>45662.0</v>
      </c>
      <c r="C372" s="20" t="s">
        <v>179</v>
      </c>
      <c r="D372" s="21">
        <v>45662.0</v>
      </c>
      <c r="E372" s="21">
        <v>45668.0</v>
      </c>
      <c r="F372" s="20" t="s">
        <v>608</v>
      </c>
      <c r="G372" s="42" t="s">
        <v>165</v>
      </c>
      <c r="H372" s="20" t="s">
        <v>166</v>
      </c>
      <c r="I372" s="9" t="s">
        <v>167</v>
      </c>
      <c r="J372" s="43">
        <v>2025.0</v>
      </c>
      <c r="K372" s="42" t="s">
        <v>181</v>
      </c>
    </row>
    <row r="373" ht="12.75" customHeight="1">
      <c r="A373" s="42" t="s">
        <v>609</v>
      </c>
      <c r="B373" s="21">
        <v>45663.0</v>
      </c>
      <c r="C373" s="20" t="s">
        <v>163</v>
      </c>
      <c r="D373" s="21">
        <v>45662.0</v>
      </c>
      <c r="E373" s="21">
        <v>45668.0</v>
      </c>
      <c r="F373" s="20" t="s">
        <v>608</v>
      </c>
      <c r="G373" s="42" t="s">
        <v>165</v>
      </c>
      <c r="H373" s="20" t="s">
        <v>166</v>
      </c>
      <c r="I373" s="9" t="s">
        <v>167</v>
      </c>
      <c r="J373" s="43">
        <v>2025.0</v>
      </c>
      <c r="K373" s="42" t="s">
        <v>181</v>
      </c>
    </row>
    <row r="374" ht="12.75" customHeight="1">
      <c r="A374" s="42" t="s">
        <v>610</v>
      </c>
      <c r="B374" s="21">
        <v>45664.0</v>
      </c>
      <c r="C374" s="20" t="s">
        <v>169</v>
      </c>
      <c r="D374" s="21">
        <v>45662.0</v>
      </c>
      <c r="E374" s="21">
        <v>45668.0</v>
      </c>
      <c r="F374" s="20" t="s">
        <v>608</v>
      </c>
      <c r="G374" s="42" t="s">
        <v>165</v>
      </c>
      <c r="H374" s="20" t="s">
        <v>166</v>
      </c>
      <c r="I374" s="9" t="s">
        <v>167</v>
      </c>
      <c r="J374" s="43">
        <v>2025.0</v>
      </c>
      <c r="K374" s="42" t="s">
        <v>181</v>
      </c>
    </row>
    <row r="375" ht="12.75" customHeight="1">
      <c r="A375" s="42" t="s">
        <v>611</v>
      </c>
      <c r="B375" s="21">
        <v>45665.0</v>
      </c>
      <c r="C375" s="20" t="s">
        <v>171</v>
      </c>
      <c r="D375" s="21">
        <v>45662.0</v>
      </c>
      <c r="E375" s="21">
        <v>45668.0</v>
      </c>
      <c r="F375" s="20" t="s">
        <v>608</v>
      </c>
      <c r="G375" s="42" t="s">
        <v>165</v>
      </c>
      <c r="H375" s="20" t="s">
        <v>166</v>
      </c>
      <c r="I375" s="9" t="s">
        <v>167</v>
      </c>
      <c r="J375" s="43">
        <v>2025.0</v>
      </c>
      <c r="K375" s="42" t="s">
        <v>181</v>
      </c>
    </row>
    <row r="376" ht="12.75" customHeight="1">
      <c r="A376" s="42" t="s">
        <v>612</v>
      </c>
      <c r="B376" s="21">
        <v>45666.0</v>
      </c>
      <c r="C376" s="20" t="s">
        <v>173</v>
      </c>
      <c r="D376" s="21">
        <v>45662.0</v>
      </c>
      <c r="E376" s="21">
        <v>45668.0</v>
      </c>
      <c r="F376" s="20" t="s">
        <v>608</v>
      </c>
      <c r="G376" s="42" t="s">
        <v>165</v>
      </c>
      <c r="H376" s="20" t="s">
        <v>166</v>
      </c>
      <c r="I376" s="9" t="s">
        <v>167</v>
      </c>
      <c r="J376" s="43">
        <v>2025.0</v>
      </c>
      <c r="K376" s="42" t="s">
        <v>181</v>
      </c>
    </row>
    <row r="377" ht="12.75" customHeight="1">
      <c r="A377" s="42" t="s">
        <v>613</v>
      </c>
      <c r="B377" s="21">
        <v>45667.0</v>
      </c>
      <c r="C377" s="20" t="s">
        <v>175</v>
      </c>
      <c r="D377" s="21">
        <v>45662.0</v>
      </c>
      <c r="E377" s="21">
        <v>45668.0</v>
      </c>
      <c r="F377" s="20" t="s">
        <v>608</v>
      </c>
      <c r="G377" s="42" t="s">
        <v>165</v>
      </c>
      <c r="H377" s="20" t="s">
        <v>166</v>
      </c>
      <c r="I377" s="9" t="s">
        <v>167</v>
      </c>
      <c r="J377" s="43">
        <v>2025.0</v>
      </c>
      <c r="K377" s="42" t="s">
        <v>181</v>
      </c>
    </row>
    <row r="378" ht="12.75" customHeight="1">
      <c r="A378" s="42" t="s">
        <v>614</v>
      </c>
      <c r="B378" s="21">
        <v>45668.0</v>
      </c>
      <c r="C378" s="20" t="s">
        <v>177</v>
      </c>
      <c r="D378" s="21">
        <v>45662.0</v>
      </c>
      <c r="E378" s="21">
        <v>45668.0</v>
      </c>
      <c r="F378" s="20" t="s">
        <v>608</v>
      </c>
      <c r="G378" s="42" t="s">
        <v>165</v>
      </c>
      <c r="H378" s="20" t="s">
        <v>166</v>
      </c>
      <c r="I378" s="9" t="s">
        <v>167</v>
      </c>
      <c r="J378" s="43">
        <v>2025.0</v>
      </c>
      <c r="K378" s="42" t="s">
        <v>181</v>
      </c>
    </row>
    <row r="379" ht="12.75" customHeight="1">
      <c r="A379" s="42" t="s">
        <v>615</v>
      </c>
      <c r="B379" s="21">
        <v>45669.0</v>
      </c>
      <c r="C379" s="20" t="s">
        <v>179</v>
      </c>
      <c r="D379" s="21">
        <v>45669.0</v>
      </c>
      <c r="E379" s="21">
        <v>45675.0</v>
      </c>
      <c r="F379" s="20" t="s">
        <v>616</v>
      </c>
      <c r="G379" s="42" t="s">
        <v>165</v>
      </c>
      <c r="H379" s="20" t="s">
        <v>166</v>
      </c>
      <c r="I379" s="9" t="s">
        <v>167</v>
      </c>
      <c r="J379" s="43">
        <v>2025.0</v>
      </c>
      <c r="K379" s="42" t="s">
        <v>190</v>
      </c>
    </row>
    <row r="380" ht="12.75" customHeight="1">
      <c r="A380" s="42" t="s">
        <v>617</v>
      </c>
      <c r="B380" s="21">
        <v>45670.0</v>
      </c>
      <c r="C380" s="20" t="s">
        <v>163</v>
      </c>
      <c r="D380" s="21">
        <v>45669.0</v>
      </c>
      <c r="E380" s="21">
        <v>45675.0</v>
      </c>
      <c r="F380" s="20" t="s">
        <v>616</v>
      </c>
      <c r="G380" s="42" t="s">
        <v>165</v>
      </c>
      <c r="H380" s="20" t="s">
        <v>166</v>
      </c>
      <c r="I380" s="9" t="s">
        <v>167</v>
      </c>
      <c r="J380" s="43">
        <v>2025.0</v>
      </c>
      <c r="K380" s="42" t="s">
        <v>190</v>
      </c>
    </row>
    <row r="381" ht="12.75" customHeight="1">
      <c r="A381" s="42" t="s">
        <v>618</v>
      </c>
      <c r="B381" s="21">
        <v>45671.0</v>
      </c>
      <c r="C381" s="20" t="s">
        <v>169</v>
      </c>
      <c r="D381" s="21">
        <v>45669.0</v>
      </c>
      <c r="E381" s="21">
        <v>45675.0</v>
      </c>
      <c r="F381" s="20" t="s">
        <v>616</v>
      </c>
      <c r="G381" s="42" t="s">
        <v>165</v>
      </c>
      <c r="H381" s="20" t="s">
        <v>166</v>
      </c>
      <c r="I381" s="9" t="s">
        <v>167</v>
      </c>
      <c r="J381" s="43">
        <v>2025.0</v>
      </c>
      <c r="K381" s="42" t="s">
        <v>190</v>
      </c>
    </row>
    <row r="382" ht="12.75" customHeight="1">
      <c r="A382" s="42" t="s">
        <v>619</v>
      </c>
      <c r="B382" s="21">
        <v>45672.0</v>
      </c>
      <c r="C382" s="20" t="s">
        <v>171</v>
      </c>
      <c r="D382" s="21">
        <v>45669.0</v>
      </c>
      <c r="E382" s="21">
        <v>45675.0</v>
      </c>
      <c r="F382" s="20" t="s">
        <v>616</v>
      </c>
      <c r="G382" s="42" t="s">
        <v>165</v>
      </c>
      <c r="H382" s="20" t="s">
        <v>166</v>
      </c>
      <c r="I382" s="9" t="s">
        <v>167</v>
      </c>
      <c r="J382" s="43">
        <v>2025.0</v>
      </c>
      <c r="K382" s="42" t="s">
        <v>190</v>
      </c>
    </row>
    <row r="383" ht="12.75" customHeight="1">
      <c r="A383" s="42" t="s">
        <v>620</v>
      </c>
      <c r="B383" s="21">
        <v>45673.0</v>
      </c>
      <c r="C383" s="20" t="s">
        <v>173</v>
      </c>
      <c r="D383" s="21">
        <v>45669.0</v>
      </c>
      <c r="E383" s="21">
        <v>45675.0</v>
      </c>
      <c r="F383" s="20" t="s">
        <v>616</v>
      </c>
      <c r="G383" s="42" t="s">
        <v>165</v>
      </c>
      <c r="H383" s="20" t="s">
        <v>166</v>
      </c>
      <c r="I383" s="9" t="s">
        <v>167</v>
      </c>
      <c r="J383" s="43">
        <v>2025.0</v>
      </c>
      <c r="K383" s="42" t="s">
        <v>190</v>
      </c>
    </row>
    <row r="384" ht="12.75" customHeight="1">
      <c r="A384" s="42" t="s">
        <v>621</v>
      </c>
      <c r="B384" s="21">
        <v>45674.0</v>
      </c>
      <c r="C384" s="20" t="s">
        <v>175</v>
      </c>
      <c r="D384" s="21">
        <v>45669.0</v>
      </c>
      <c r="E384" s="21">
        <v>45675.0</v>
      </c>
      <c r="F384" s="20" t="s">
        <v>616</v>
      </c>
      <c r="G384" s="42" t="s">
        <v>165</v>
      </c>
      <c r="H384" s="20" t="s">
        <v>166</v>
      </c>
      <c r="I384" s="9" t="s">
        <v>167</v>
      </c>
      <c r="J384" s="43">
        <v>2025.0</v>
      </c>
      <c r="K384" s="42" t="s">
        <v>190</v>
      </c>
    </row>
    <row r="385" ht="12.75" customHeight="1">
      <c r="A385" s="42" t="s">
        <v>622</v>
      </c>
      <c r="B385" s="21">
        <v>45675.0</v>
      </c>
      <c r="C385" s="20" t="s">
        <v>177</v>
      </c>
      <c r="D385" s="21">
        <v>45669.0</v>
      </c>
      <c r="E385" s="21">
        <v>45675.0</v>
      </c>
      <c r="F385" s="20" t="s">
        <v>616</v>
      </c>
      <c r="G385" s="42" t="s">
        <v>165</v>
      </c>
      <c r="H385" s="20" t="s">
        <v>166</v>
      </c>
      <c r="I385" s="9" t="s">
        <v>167</v>
      </c>
      <c r="J385" s="43">
        <v>2025.0</v>
      </c>
      <c r="K385" s="42" t="s">
        <v>190</v>
      </c>
    </row>
    <row r="386" ht="12.75" customHeight="1">
      <c r="A386" s="42" t="s">
        <v>623</v>
      </c>
      <c r="B386" s="21">
        <v>45676.0</v>
      </c>
      <c r="C386" s="20" t="s">
        <v>179</v>
      </c>
      <c r="D386" s="21">
        <v>45676.0</v>
      </c>
      <c r="E386" s="21">
        <v>45682.0</v>
      </c>
      <c r="F386" s="20" t="s">
        <v>624</v>
      </c>
      <c r="G386" s="42" t="s">
        <v>165</v>
      </c>
      <c r="H386" s="20" t="s">
        <v>166</v>
      </c>
      <c r="I386" s="9" t="s">
        <v>167</v>
      </c>
      <c r="J386" s="43">
        <v>2025.0</v>
      </c>
      <c r="K386" s="42" t="s">
        <v>199</v>
      </c>
    </row>
    <row r="387" ht="12.75" customHeight="1">
      <c r="A387" s="42" t="s">
        <v>625</v>
      </c>
      <c r="B387" s="21">
        <v>45677.0</v>
      </c>
      <c r="C387" s="20" t="s">
        <v>163</v>
      </c>
      <c r="D387" s="21">
        <v>45676.0</v>
      </c>
      <c r="E387" s="21">
        <v>45682.0</v>
      </c>
      <c r="F387" s="20" t="s">
        <v>624</v>
      </c>
      <c r="G387" s="42" t="s">
        <v>165</v>
      </c>
      <c r="H387" s="20" t="s">
        <v>166</v>
      </c>
      <c r="I387" s="9" t="s">
        <v>167</v>
      </c>
      <c r="J387" s="43">
        <v>2025.0</v>
      </c>
      <c r="K387" s="42" t="s">
        <v>199</v>
      </c>
    </row>
    <row r="388" ht="12.75" customHeight="1">
      <c r="A388" s="42" t="s">
        <v>626</v>
      </c>
      <c r="B388" s="21">
        <v>45678.0</v>
      </c>
      <c r="C388" s="20" t="s">
        <v>169</v>
      </c>
      <c r="D388" s="21">
        <v>45676.0</v>
      </c>
      <c r="E388" s="21">
        <v>45682.0</v>
      </c>
      <c r="F388" s="20" t="s">
        <v>624</v>
      </c>
      <c r="G388" s="42" t="s">
        <v>165</v>
      </c>
      <c r="H388" s="20" t="s">
        <v>166</v>
      </c>
      <c r="I388" s="9" t="s">
        <v>167</v>
      </c>
      <c r="J388" s="43">
        <v>2025.0</v>
      </c>
      <c r="K388" s="42" t="s">
        <v>199</v>
      </c>
    </row>
    <row r="389" ht="12.75" customHeight="1">
      <c r="A389" s="42" t="s">
        <v>627</v>
      </c>
      <c r="B389" s="21">
        <v>45679.0</v>
      </c>
      <c r="C389" s="20" t="s">
        <v>171</v>
      </c>
      <c r="D389" s="21">
        <v>45676.0</v>
      </c>
      <c r="E389" s="21">
        <v>45682.0</v>
      </c>
      <c r="F389" s="20" t="s">
        <v>624</v>
      </c>
      <c r="G389" s="42" t="s">
        <v>165</v>
      </c>
      <c r="H389" s="20" t="s">
        <v>166</v>
      </c>
      <c r="I389" s="9" t="s">
        <v>167</v>
      </c>
      <c r="J389" s="43">
        <v>2025.0</v>
      </c>
      <c r="K389" s="42" t="s">
        <v>199</v>
      </c>
    </row>
    <row r="390" ht="12.75" customHeight="1">
      <c r="A390" s="42" t="s">
        <v>628</v>
      </c>
      <c r="B390" s="21">
        <v>45680.0</v>
      </c>
      <c r="C390" s="20" t="s">
        <v>173</v>
      </c>
      <c r="D390" s="21">
        <v>45676.0</v>
      </c>
      <c r="E390" s="21">
        <v>45682.0</v>
      </c>
      <c r="F390" s="20" t="s">
        <v>624</v>
      </c>
      <c r="G390" s="42" t="s">
        <v>165</v>
      </c>
      <c r="H390" s="20" t="s">
        <v>166</v>
      </c>
      <c r="I390" s="9" t="s">
        <v>167</v>
      </c>
      <c r="J390" s="43">
        <v>2025.0</v>
      </c>
      <c r="K390" s="42" t="s">
        <v>199</v>
      </c>
    </row>
    <row r="391" ht="12.75" customHeight="1">
      <c r="A391" s="42" t="s">
        <v>629</v>
      </c>
      <c r="B391" s="21">
        <v>45681.0</v>
      </c>
      <c r="C391" s="20" t="s">
        <v>175</v>
      </c>
      <c r="D391" s="21">
        <v>45676.0</v>
      </c>
      <c r="E391" s="21">
        <v>45682.0</v>
      </c>
      <c r="F391" s="20" t="s">
        <v>624</v>
      </c>
      <c r="G391" s="42" t="s">
        <v>165</v>
      </c>
      <c r="H391" s="20" t="s">
        <v>166</v>
      </c>
      <c r="I391" s="9" t="s">
        <v>167</v>
      </c>
      <c r="J391" s="43">
        <v>2025.0</v>
      </c>
      <c r="K391" s="42" t="s">
        <v>199</v>
      </c>
    </row>
    <row r="392" ht="12.75" customHeight="1">
      <c r="A392" s="42" t="s">
        <v>630</v>
      </c>
      <c r="B392" s="21">
        <v>45682.0</v>
      </c>
      <c r="C392" s="20" t="s">
        <v>177</v>
      </c>
      <c r="D392" s="21">
        <v>45676.0</v>
      </c>
      <c r="E392" s="21">
        <v>45682.0</v>
      </c>
      <c r="F392" s="20" t="s">
        <v>624</v>
      </c>
      <c r="G392" s="42" t="s">
        <v>165</v>
      </c>
      <c r="H392" s="20" t="s">
        <v>166</v>
      </c>
      <c r="I392" s="9" t="s">
        <v>167</v>
      </c>
      <c r="J392" s="43">
        <v>2025.0</v>
      </c>
      <c r="K392" s="42" t="s">
        <v>199</v>
      </c>
    </row>
    <row r="393" ht="12.75" customHeight="1">
      <c r="A393" s="42" t="s">
        <v>631</v>
      </c>
      <c r="B393" s="21">
        <v>45683.0</v>
      </c>
      <c r="C393" s="20" t="s">
        <v>179</v>
      </c>
      <c r="D393" s="21">
        <v>45683.0</v>
      </c>
      <c r="E393" s="21">
        <v>45689.0</v>
      </c>
      <c r="F393" s="20" t="s">
        <v>632</v>
      </c>
      <c r="G393" s="42" t="s">
        <v>165</v>
      </c>
      <c r="H393" s="20" t="s">
        <v>166</v>
      </c>
      <c r="I393" s="9" t="s">
        <v>167</v>
      </c>
      <c r="J393" s="43">
        <v>2025.0</v>
      </c>
      <c r="K393" s="42" t="s">
        <v>208</v>
      </c>
    </row>
    <row r="394" ht="12.75" customHeight="1">
      <c r="A394" s="42" t="s">
        <v>633</v>
      </c>
      <c r="B394" s="21">
        <v>45684.0</v>
      </c>
      <c r="C394" s="20" t="s">
        <v>163</v>
      </c>
      <c r="D394" s="21">
        <v>45683.0</v>
      </c>
      <c r="E394" s="21">
        <v>45689.0</v>
      </c>
      <c r="F394" s="20" t="s">
        <v>632</v>
      </c>
      <c r="G394" s="42" t="s">
        <v>165</v>
      </c>
      <c r="H394" s="20" t="s">
        <v>166</v>
      </c>
      <c r="I394" s="9" t="s">
        <v>167</v>
      </c>
      <c r="J394" s="43">
        <v>2025.0</v>
      </c>
      <c r="K394" s="42" t="s">
        <v>208</v>
      </c>
    </row>
    <row r="395" ht="12.75" customHeight="1">
      <c r="A395" s="42" t="s">
        <v>634</v>
      </c>
      <c r="B395" s="21">
        <v>45685.0</v>
      </c>
      <c r="C395" s="20" t="s">
        <v>169</v>
      </c>
      <c r="D395" s="21">
        <v>45683.0</v>
      </c>
      <c r="E395" s="21">
        <v>45689.0</v>
      </c>
      <c r="F395" s="20" t="s">
        <v>632</v>
      </c>
      <c r="G395" s="42" t="s">
        <v>165</v>
      </c>
      <c r="H395" s="20" t="s">
        <v>166</v>
      </c>
      <c r="I395" s="9" t="s">
        <v>167</v>
      </c>
      <c r="J395" s="43">
        <v>2025.0</v>
      </c>
      <c r="K395" s="42" t="s">
        <v>208</v>
      </c>
    </row>
    <row r="396" ht="12.75" customHeight="1">
      <c r="A396" s="42" t="s">
        <v>635</v>
      </c>
      <c r="B396" s="21">
        <v>45686.0</v>
      </c>
      <c r="C396" s="20" t="s">
        <v>171</v>
      </c>
      <c r="D396" s="21">
        <v>45683.0</v>
      </c>
      <c r="E396" s="21">
        <v>45689.0</v>
      </c>
      <c r="F396" s="20" t="s">
        <v>632</v>
      </c>
      <c r="G396" s="42" t="s">
        <v>165</v>
      </c>
      <c r="H396" s="20" t="s">
        <v>166</v>
      </c>
      <c r="I396" s="9" t="s">
        <v>167</v>
      </c>
      <c r="J396" s="43">
        <v>2025.0</v>
      </c>
      <c r="K396" s="42" t="s">
        <v>208</v>
      </c>
    </row>
    <row r="397" ht="12.75" customHeight="1">
      <c r="A397" s="42" t="s">
        <v>636</v>
      </c>
      <c r="B397" s="21">
        <v>45687.0</v>
      </c>
      <c r="C397" s="20" t="s">
        <v>173</v>
      </c>
      <c r="D397" s="21">
        <v>45683.0</v>
      </c>
      <c r="E397" s="21">
        <v>45689.0</v>
      </c>
      <c r="F397" s="20" t="s">
        <v>632</v>
      </c>
      <c r="G397" s="42" t="s">
        <v>165</v>
      </c>
      <c r="H397" s="20" t="s">
        <v>166</v>
      </c>
      <c r="I397" s="9" t="s">
        <v>167</v>
      </c>
      <c r="J397" s="43">
        <v>2025.0</v>
      </c>
      <c r="K397" s="42" t="s">
        <v>208</v>
      </c>
    </row>
    <row r="398" ht="12.75" customHeight="1">
      <c r="A398" s="42" t="s">
        <v>637</v>
      </c>
      <c r="B398" s="21">
        <v>45688.0</v>
      </c>
      <c r="C398" s="20" t="s">
        <v>175</v>
      </c>
      <c r="D398" s="21">
        <v>45683.0</v>
      </c>
      <c r="E398" s="21">
        <v>45689.0</v>
      </c>
      <c r="F398" s="20" t="s">
        <v>632</v>
      </c>
      <c r="G398" s="42" t="s">
        <v>165</v>
      </c>
      <c r="H398" s="20" t="s">
        <v>166</v>
      </c>
      <c r="I398" s="9" t="s">
        <v>167</v>
      </c>
      <c r="J398" s="43">
        <v>2025.0</v>
      </c>
      <c r="K398" s="42" t="s">
        <v>208</v>
      </c>
    </row>
    <row r="399" ht="12.75" customHeight="1">
      <c r="A399" s="42" t="s">
        <v>638</v>
      </c>
      <c r="B399" s="21">
        <v>45689.0</v>
      </c>
      <c r="C399" s="20" t="s">
        <v>177</v>
      </c>
      <c r="D399" s="21">
        <v>45683.0</v>
      </c>
      <c r="E399" s="21">
        <v>45689.0</v>
      </c>
      <c r="F399" s="20" t="s">
        <v>632</v>
      </c>
      <c r="G399" s="42" t="s">
        <v>181</v>
      </c>
      <c r="H399" s="20" t="s">
        <v>213</v>
      </c>
      <c r="I399" s="9" t="s">
        <v>167</v>
      </c>
      <c r="J399" s="43">
        <v>2025.0</v>
      </c>
      <c r="K399" s="42" t="s">
        <v>208</v>
      </c>
    </row>
    <row r="400" ht="12.75" customHeight="1">
      <c r="A400" s="42" t="s">
        <v>639</v>
      </c>
      <c r="B400" s="21">
        <v>45690.0</v>
      </c>
      <c r="C400" s="20" t="s">
        <v>179</v>
      </c>
      <c r="D400" s="21">
        <v>45690.0</v>
      </c>
      <c r="E400" s="21">
        <v>45696.0</v>
      </c>
      <c r="F400" s="20" t="s">
        <v>640</v>
      </c>
      <c r="G400" s="42" t="s">
        <v>181</v>
      </c>
      <c r="H400" s="20" t="s">
        <v>213</v>
      </c>
      <c r="I400" s="9" t="s">
        <v>167</v>
      </c>
      <c r="J400" s="43">
        <v>2025.0</v>
      </c>
      <c r="K400" s="42" t="s">
        <v>218</v>
      </c>
    </row>
    <row r="401" ht="12.75" customHeight="1">
      <c r="A401" s="42" t="s">
        <v>641</v>
      </c>
      <c r="B401" s="21">
        <v>45691.0</v>
      </c>
      <c r="C401" s="20" t="s">
        <v>163</v>
      </c>
      <c r="D401" s="21">
        <v>45690.0</v>
      </c>
      <c r="E401" s="21">
        <v>45696.0</v>
      </c>
      <c r="F401" s="20" t="s">
        <v>640</v>
      </c>
      <c r="G401" s="42" t="s">
        <v>181</v>
      </c>
      <c r="H401" s="20" t="s">
        <v>213</v>
      </c>
      <c r="I401" s="9" t="s">
        <v>167</v>
      </c>
      <c r="J401" s="43">
        <v>2025.0</v>
      </c>
      <c r="K401" s="42" t="s">
        <v>218</v>
      </c>
    </row>
    <row r="402" ht="12.75" customHeight="1">
      <c r="A402" s="42" t="s">
        <v>642</v>
      </c>
      <c r="B402" s="21">
        <v>45692.0</v>
      </c>
      <c r="C402" s="20" t="s">
        <v>169</v>
      </c>
      <c r="D402" s="21">
        <v>45690.0</v>
      </c>
      <c r="E402" s="21">
        <v>45696.0</v>
      </c>
      <c r="F402" s="20" t="s">
        <v>640</v>
      </c>
      <c r="G402" s="42" t="s">
        <v>181</v>
      </c>
      <c r="H402" s="20" t="s">
        <v>213</v>
      </c>
      <c r="I402" s="9" t="s">
        <v>167</v>
      </c>
      <c r="J402" s="43">
        <v>2025.0</v>
      </c>
      <c r="K402" s="42" t="s">
        <v>218</v>
      </c>
    </row>
    <row r="403" ht="12.75" customHeight="1">
      <c r="A403" s="42" t="s">
        <v>643</v>
      </c>
      <c r="B403" s="21">
        <v>45693.0</v>
      </c>
      <c r="C403" s="20" t="s">
        <v>171</v>
      </c>
      <c r="D403" s="21">
        <v>45690.0</v>
      </c>
      <c r="E403" s="21">
        <v>45696.0</v>
      </c>
      <c r="F403" s="20" t="s">
        <v>640</v>
      </c>
      <c r="G403" s="42" t="s">
        <v>181</v>
      </c>
      <c r="H403" s="20" t="s">
        <v>213</v>
      </c>
      <c r="I403" s="9" t="s">
        <v>167</v>
      </c>
      <c r="J403" s="43">
        <v>2025.0</v>
      </c>
      <c r="K403" s="42" t="s">
        <v>218</v>
      </c>
    </row>
    <row r="404" ht="12.75" customHeight="1">
      <c r="A404" s="42" t="s">
        <v>644</v>
      </c>
      <c r="B404" s="21">
        <v>45694.0</v>
      </c>
      <c r="C404" s="20" t="s">
        <v>173</v>
      </c>
      <c r="D404" s="21">
        <v>45690.0</v>
      </c>
      <c r="E404" s="21">
        <v>45696.0</v>
      </c>
      <c r="F404" s="20" t="s">
        <v>640</v>
      </c>
      <c r="G404" s="42" t="s">
        <v>181</v>
      </c>
      <c r="H404" s="20" t="s">
        <v>213</v>
      </c>
      <c r="I404" s="9" t="s">
        <v>167</v>
      </c>
      <c r="J404" s="43">
        <v>2025.0</v>
      </c>
      <c r="K404" s="42" t="s">
        <v>218</v>
      </c>
    </row>
    <row r="405" ht="12.75" customHeight="1">
      <c r="A405" s="42" t="s">
        <v>645</v>
      </c>
      <c r="B405" s="21">
        <v>45695.0</v>
      </c>
      <c r="C405" s="20" t="s">
        <v>175</v>
      </c>
      <c r="D405" s="21">
        <v>45690.0</v>
      </c>
      <c r="E405" s="21">
        <v>45696.0</v>
      </c>
      <c r="F405" s="20" t="s">
        <v>640</v>
      </c>
      <c r="G405" s="42" t="s">
        <v>181</v>
      </c>
      <c r="H405" s="20" t="s">
        <v>213</v>
      </c>
      <c r="I405" s="9" t="s">
        <v>167</v>
      </c>
      <c r="J405" s="43">
        <v>2025.0</v>
      </c>
      <c r="K405" s="42" t="s">
        <v>218</v>
      </c>
    </row>
    <row r="406" ht="12.75" customHeight="1">
      <c r="A406" s="42" t="s">
        <v>646</v>
      </c>
      <c r="B406" s="21">
        <v>45696.0</v>
      </c>
      <c r="C406" s="20" t="s">
        <v>177</v>
      </c>
      <c r="D406" s="21">
        <v>45690.0</v>
      </c>
      <c r="E406" s="21">
        <v>45696.0</v>
      </c>
      <c r="F406" s="20" t="s">
        <v>640</v>
      </c>
      <c r="G406" s="42" t="s">
        <v>181</v>
      </c>
      <c r="H406" s="20" t="s">
        <v>213</v>
      </c>
      <c r="I406" s="9" t="s">
        <v>167</v>
      </c>
      <c r="J406" s="43">
        <v>2025.0</v>
      </c>
      <c r="K406" s="42" t="s">
        <v>218</v>
      </c>
    </row>
    <row r="407" ht="12.75" customHeight="1">
      <c r="A407" s="42" t="s">
        <v>647</v>
      </c>
      <c r="B407" s="21">
        <v>45697.0</v>
      </c>
      <c r="C407" s="20" t="s">
        <v>179</v>
      </c>
      <c r="D407" s="21">
        <v>45697.0</v>
      </c>
      <c r="E407" s="21">
        <v>45703.0</v>
      </c>
      <c r="F407" s="20" t="s">
        <v>648</v>
      </c>
      <c r="G407" s="42" t="s">
        <v>181</v>
      </c>
      <c r="H407" s="20" t="s">
        <v>213</v>
      </c>
      <c r="I407" s="9" t="s">
        <v>167</v>
      </c>
      <c r="J407" s="43">
        <v>2025.0</v>
      </c>
      <c r="K407" s="42" t="s">
        <v>227</v>
      </c>
    </row>
    <row r="408" ht="12.75" customHeight="1">
      <c r="A408" s="42" t="s">
        <v>649</v>
      </c>
      <c r="B408" s="21">
        <v>45698.0</v>
      </c>
      <c r="C408" s="20" t="s">
        <v>163</v>
      </c>
      <c r="D408" s="21">
        <v>45697.0</v>
      </c>
      <c r="E408" s="21">
        <v>45703.0</v>
      </c>
      <c r="F408" s="20" t="s">
        <v>648</v>
      </c>
      <c r="G408" s="42" t="s">
        <v>181</v>
      </c>
      <c r="H408" s="20" t="s">
        <v>213</v>
      </c>
      <c r="I408" s="9" t="s">
        <v>167</v>
      </c>
      <c r="J408" s="43">
        <v>2025.0</v>
      </c>
      <c r="K408" s="42" t="s">
        <v>227</v>
      </c>
    </row>
    <row r="409" ht="12.75" customHeight="1">
      <c r="A409" s="42" t="s">
        <v>650</v>
      </c>
      <c r="B409" s="21">
        <v>45699.0</v>
      </c>
      <c r="C409" s="20" t="s">
        <v>169</v>
      </c>
      <c r="D409" s="21">
        <v>45697.0</v>
      </c>
      <c r="E409" s="21">
        <v>45703.0</v>
      </c>
      <c r="F409" s="20" t="s">
        <v>648</v>
      </c>
      <c r="G409" s="42" t="s">
        <v>181</v>
      </c>
      <c r="H409" s="20" t="s">
        <v>213</v>
      </c>
      <c r="I409" s="9" t="s">
        <v>167</v>
      </c>
      <c r="J409" s="43">
        <v>2025.0</v>
      </c>
      <c r="K409" s="42" t="s">
        <v>227</v>
      </c>
    </row>
    <row r="410" ht="12.75" customHeight="1">
      <c r="A410" s="42" t="s">
        <v>651</v>
      </c>
      <c r="B410" s="21">
        <v>45700.0</v>
      </c>
      <c r="C410" s="20" t="s">
        <v>171</v>
      </c>
      <c r="D410" s="21">
        <v>45697.0</v>
      </c>
      <c r="E410" s="21">
        <v>45703.0</v>
      </c>
      <c r="F410" s="20" t="s">
        <v>648</v>
      </c>
      <c r="G410" s="42" t="s">
        <v>181</v>
      </c>
      <c r="H410" s="20" t="s">
        <v>213</v>
      </c>
      <c r="I410" s="9" t="s">
        <v>167</v>
      </c>
      <c r="J410" s="43">
        <v>2025.0</v>
      </c>
      <c r="K410" s="42" t="s">
        <v>227</v>
      </c>
    </row>
    <row r="411" ht="12.75" customHeight="1">
      <c r="A411" s="42" t="s">
        <v>652</v>
      </c>
      <c r="B411" s="21">
        <v>45701.0</v>
      </c>
      <c r="C411" s="20" t="s">
        <v>173</v>
      </c>
      <c r="D411" s="21">
        <v>45697.0</v>
      </c>
      <c r="E411" s="21">
        <v>45703.0</v>
      </c>
      <c r="F411" s="20" t="s">
        <v>648</v>
      </c>
      <c r="G411" s="42" t="s">
        <v>181</v>
      </c>
      <c r="H411" s="20" t="s">
        <v>213</v>
      </c>
      <c r="I411" s="9" t="s">
        <v>167</v>
      </c>
      <c r="J411" s="43">
        <v>2025.0</v>
      </c>
      <c r="K411" s="42" t="s">
        <v>227</v>
      </c>
    </row>
    <row r="412" ht="12.75" customHeight="1">
      <c r="A412" s="42" t="s">
        <v>653</v>
      </c>
      <c r="B412" s="21">
        <v>45702.0</v>
      </c>
      <c r="C412" s="20" t="s">
        <v>175</v>
      </c>
      <c r="D412" s="21">
        <v>45697.0</v>
      </c>
      <c r="E412" s="21">
        <v>45703.0</v>
      </c>
      <c r="F412" s="20" t="s">
        <v>648</v>
      </c>
      <c r="G412" s="42" t="s">
        <v>181</v>
      </c>
      <c r="H412" s="20" t="s">
        <v>213</v>
      </c>
      <c r="I412" s="9" t="s">
        <v>167</v>
      </c>
      <c r="J412" s="43">
        <v>2025.0</v>
      </c>
      <c r="K412" s="42" t="s">
        <v>227</v>
      </c>
    </row>
    <row r="413" ht="12.75" customHeight="1">
      <c r="A413" s="42" t="s">
        <v>654</v>
      </c>
      <c r="B413" s="21">
        <v>45703.0</v>
      </c>
      <c r="C413" s="20" t="s">
        <v>177</v>
      </c>
      <c r="D413" s="21">
        <v>45697.0</v>
      </c>
      <c r="E413" s="21">
        <v>45703.0</v>
      </c>
      <c r="F413" s="20" t="s">
        <v>648</v>
      </c>
      <c r="G413" s="42" t="s">
        <v>181</v>
      </c>
      <c r="H413" s="20" t="s">
        <v>213</v>
      </c>
      <c r="I413" s="9" t="s">
        <v>167</v>
      </c>
      <c r="J413" s="43">
        <v>2025.0</v>
      </c>
      <c r="K413" s="42" t="s">
        <v>227</v>
      </c>
    </row>
    <row r="414" ht="12.75" customHeight="1">
      <c r="A414" s="42" t="s">
        <v>655</v>
      </c>
      <c r="B414" s="21">
        <v>45704.0</v>
      </c>
      <c r="C414" s="20" t="s">
        <v>179</v>
      </c>
      <c r="D414" s="21">
        <v>45704.0</v>
      </c>
      <c r="E414" s="21">
        <v>45710.0</v>
      </c>
      <c r="F414" s="20" t="s">
        <v>656</v>
      </c>
      <c r="G414" s="42" t="s">
        <v>181</v>
      </c>
      <c r="H414" s="20" t="s">
        <v>213</v>
      </c>
      <c r="I414" s="9" t="s">
        <v>167</v>
      </c>
      <c r="J414" s="43">
        <v>2025.0</v>
      </c>
      <c r="K414" s="42" t="s">
        <v>236</v>
      </c>
    </row>
    <row r="415" ht="12.75" customHeight="1">
      <c r="A415" s="42" t="s">
        <v>657</v>
      </c>
      <c r="B415" s="21">
        <v>45705.0</v>
      </c>
      <c r="C415" s="20" t="s">
        <v>163</v>
      </c>
      <c r="D415" s="21">
        <v>45704.0</v>
      </c>
      <c r="E415" s="21">
        <v>45710.0</v>
      </c>
      <c r="F415" s="20" t="s">
        <v>656</v>
      </c>
      <c r="G415" s="42" t="s">
        <v>181</v>
      </c>
      <c r="H415" s="20" t="s">
        <v>213</v>
      </c>
      <c r="I415" s="9" t="s">
        <v>167</v>
      </c>
      <c r="J415" s="43">
        <v>2025.0</v>
      </c>
      <c r="K415" s="42" t="s">
        <v>236</v>
      </c>
    </row>
    <row r="416" ht="12.75" customHeight="1">
      <c r="A416" s="42" t="s">
        <v>658</v>
      </c>
      <c r="B416" s="21">
        <v>45706.0</v>
      </c>
      <c r="C416" s="20" t="s">
        <v>169</v>
      </c>
      <c r="D416" s="21">
        <v>45704.0</v>
      </c>
      <c r="E416" s="21">
        <v>45710.0</v>
      </c>
      <c r="F416" s="20" t="s">
        <v>656</v>
      </c>
      <c r="G416" s="42" t="s">
        <v>181</v>
      </c>
      <c r="H416" s="20" t="s">
        <v>213</v>
      </c>
      <c r="I416" s="9" t="s">
        <v>167</v>
      </c>
      <c r="J416" s="43">
        <v>2025.0</v>
      </c>
      <c r="K416" s="42" t="s">
        <v>236</v>
      </c>
    </row>
    <row r="417" ht="12.75" customHeight="1">
      <c r="A417" s="42" t="s">
        <v>659</v>
      </c>
      <c r="B417" s="21">
        <v>45707.0</v>
      </c>
      <c r="C417" s="20" t="s">
        <v>171</v>
      </c>
      <c r="D417" s="21">
        <v>45704.0</v>
      </c>
      <c r="E417" s="21">
        <v>45710.0</v>
      </c>
      <c r="F417" s="20" t="s">
        <v>656</v>
      </c>
      <c r="G417" s="42" t="s">
        <v>181</v>
      </c>
      <c r="H417" s="20" t="s">
        <v>213</v>
      </c>
      <c r="I417" s="9" t="s">
        <v>167</v>
      </c>
      <c r="J417" s="43">
        <v>2025.0</v>
      </c>
      <c r="K417" s="42" t="s">
        <v>236</v>
      </c>
    </row>
    <row r="418" ht="12.75" customHeight="1">
      <c r="A418" s="42" t="s">
        <v>660</v>
      </c>
      <c r="B418" s="21">
        <v>45708.0</v>
      </c>
      <c r="C418" s="20" t="s">
        <v>173</v>
      </c>
      <c r="D418" s="21">
        <v>45704.0</v>
      </c>
      <c r="E418" s="21">
        <v>45710.0</v>
      </c>
      <c r="F418" s="20" t="s">
        <v>656</v>
      </c>
      <c r="G418" s="42" t="s">
        <v>181</v>
      </c>
      <c r="H418" s="20" t="s">
        <v>213</v>
      </c>
      <c r="I418" s="9" t="s">
        <v>167</v>
      </c>
      <c r="J418" s="43">
        <v>2025.0</v>
      </c>
      <c r="K418" s="42" t="s">
        <v>236</v>
      </c>
    </row>
    <row r="419" ht="12.75" customHeight="1">
      <c r="A419" s="42" t="s">
        <v>661</v>
      </c>
      <c r="B419" s="21">
        <v>45709.0</v>
      </c>
      <c r="C419" s="20" t="s">
        <v>175</v>
      </c>
      <c r="D419" s="21">
        <v>45704.0</v>
      </c>
      <c r="E419" s="21">
        <v>45710.0</v>
      </c>
      <c r="F419" s="20" t="s">
        <v>656</v>
      </c>
      <c r="G419" s="42" t="s">
        <v>181</v>
      </c>
      <c r="H419" s="20" t="s">
        <v>213</v>
      </c>
      <c r="I419" s="9" t="s">
        <v>167</v>
      </c>
      <c r="J419" s="43">
        <v>2025.0</v>
      </c>
      <c r="K419" s="42" t="s">
        <v>236</v>
      </c>
    </row>
    <row r="420" ht="12.75" customHeight="1">
      <c r="A420" s="42" t="s">
        <v>662</v>
      </c>
      <c r="B420" s="21">
        <v>45710.0</v>
      </c>
      <c r="C420" s="20" t="s">
        <v>177</v>
      </c>
      <c r="D420" s="21">
        <v>45704.0</v>
      </c>
      <c r="E420" s="21">
        <v>45710.0</v>
      </c>
      <c r="F420" s="20" t="s">
        <v>656</v>
      </c>
      <c r="G420" s="42" t="s">
        <v>181</v>
      </c>
      <c r="H420" s="20" t="s">
        <v>213</v>
      </c>
      <c r="I420" s="9" t="s">
        <v>167</v>
      </c>
      <c r="J420" s="43">
        <v>2025.0</v>
      </c>
      <c r="K420" s="42" t="s">
        <v>236</v>
      </c>
    </row>
    <row r="421" ht="12.75" customHeight="1">
      <c r="A421" s="42" t="s">
        <v>663</v>
      </c>
      <c r="B421" s="21">
        <v>45711.0</v>
      </c>
      <c r="C421" s="20" t="s">
        <v>179</v>
      </c>
      <c r="D421" s="21">
        <v>45711.0</v>
      </c>
      <c r="E421" s="21">
        <v>45717.0</v>
      </c>
      <c r="F421" s="20" t="s">
        <v>664</v>
      </c>
      <c r="G421" s="42" t="s">
        <v>181</v>
      </c>
      <c r="H421" s="20" t="s">
        <v>213</v>
      </c>
      <c r="I421" s="9" t="s">
        <v>167</v>
      </c>
      <c r="J421" s="43">
        <v>2025.0</v>
      </c>
      <c r="K421" s="42" t="s">
        <v>245</v>
      </c>
    </row>
    <row r="422" ht="12.75" customHeight="1">
      <c r="A422" s="42" t="s">
        <v>665</v>
      </c>
      <c r="B422" s="21">
        <v>45712.0</v>
      </c>
      <c r="C422" s="20" t="s">
        <v>163</v>
      </c>
      <c r="D422" s="21">
        <v>45711.0</v>
      </c>
      <c r="E422" s="21">
        <v>45717.0</v>
      </c>
      <c r="F422" s="20" t="s">
        <v>664</v>
      </c>
      <c r="G422" s="42" t="s">
        <v>181</v>
      </c>
      <c r="H422" s="20" t="s">
        <v>213</v>
      </c>
      <c r="I422" s="9" t="s">
        <v>167</v>
      </c>
      <c r="J422" s="43">
        <v>2025.0</v>
      </c>
      <c r="K422" s="42" t="s">
        <v>245</v>
      </c>
    </row>
    <row r="423" ht="12.75" customHeight="1">
      <c r="A423" s="42" t="s">
        <v>666</v>
      </c>
      <c r="B423" s="21">
        <v>45713.0</v>
      </c>
      <c r="C423" s="20" t="s">
        <v>169</v>
      </c>
      <c r="D423" s="21">
        <v>45711.0</v>
      </c>
      <c r="E423" s="21">
        <v>45717.0</v>
      </c>
      <c r="F423" s="20" t="s">
        <v>664</v>
      </c>
      <c r="G423" s="42" t="s">
        <v>181</v>
      </c>
      <c r="H423" s="20" t="s">
        <v>213</v>
      </c>
      <c r="I423" s="9" t="s">
        <v>167</v>
      </c>
      <c r="J423" s="43">
        <v>2025.0</v>
      </c>
      <c r="K423" s="42" t="s">
        <v>245</v>
      </c>
    </row>
    <row r="424" ht="12.75" customHeight="1">
      <c r="A424" s="42" t="s">
        <v>667</v>
      </c>
      <c r="B424" s="21">
        <v>45714.0</v>
      </c>
      <c r="C424" s="20" t="s">
        <v>171</v>
      </c>
      <c r="D424" s="21">
        <v>45711.0</v>
      </c>
      <c r="E424" s="21">
        <v>45717.0</v>
      </c>
      <c r="F424" s="20" t="s">
        <v>664</v>
      </c>
      <c r="G424" s="42" t="s">
        <v>181</v>
      </c>
      <c r="H424" s="20" t="s">
        <v>213</v>
      </c>
      <c r="I424" s="9" t="s">
        <v>167</v>
      </c>
      <c r="J424" s="43">
        <v>2025.0</v>
      </c>
      <c r="K424" s="42" t="s">
        <v>245</v>
      </c>
    </row>
    <row r="425" ht="12.75" customHeight="1">
      <c r="A425" s="42" t="s">
        <v>668</v>
      </c>
      <c r="B425" s="21">
        <v>45715.0</v>
      </c>
      <c r="C425" s="20" t="s">
        <v>173</v>
      </c>
      <c r="D425" s="21">
        <v>45711.0</v>
      </c>
      <c r="E425" s="21">
        <v>45717.0</v>
      </c>
      <c r="F425" s="20" t="s">
        <v>664</v>
      </c>
      <c r="G425" s="42" t="s">
        <v>181</v>
      </c>
      <c r="H425" s="20" t="s">
        <v>213</v>
      </c>
      <c r="I425" s="9" t="s">
        <v>167</v>
      </c>
      <c r="J425" s="43">
        <v>2025.0</v>
      </c>
      <c r="K425" s="42" t="s">
        <v>245</v>
      </c>
    </row>
    <row r="426" ht="12.75" customHeight="1">
      <c r="A426" s="42" t="s">
        <v>669</v>
      </c>
      <c r="B426" s="21">
        <v>45716.0</v>
      </c>
      <c r="C426" s="20" t="s">
        <v>175</v>
      </c>
      <c r="D426" s="21">
        <v>45711.0</v>
      </c>
      <c r="E426" s="21">
        <v>45717.0</v>
      </c>
      <c r="F426" s="20" t="s">
        <v>664</v>
      </c>
      <c r="G426" s="42" t="s">
        <v>181</v>
      </c>
      <c r="H426" s="20" t="s">
        <v>213</v>
      </c>
      <c r="I426" s="9" t="s">
        <v>167</v>
      </c>
      <c r="J426" s="43">
        <v>2025.0</v>
      </c>
      <c r="K426" s="42" t="s">
        <v>245</v>
      </c>
    </row>
    <row r="427" ht="12.75" customHeight="1">
      <c r="A427" s="42" t="s">
        <v>670</v>
      </c>
      <c r="B427" s="21">
        <v>45717.0</v>
      </c>
      <c r="C427" s="20" t="s">
        <v>177</v>
      </c>
      <c r="D427" s="21">
        <v>45711.0</v>
      </c>
      <c r="E427" s="21">
        <v>45717.0</v>
      </c>
      <c r="F427" s="20" t="s">
        <v>664</v>
      </c>
      <c r="G427" s="42" t="s">
        <v>190</v>
      </c>
      <c r="H427" s="20" t="s">
        <v>69</v>
      </c>
      <c r="I427" s="9" t="s">
        <v>167</v>
      </c>
      <c r="J427" s="43">
        <v>2025.0</v>
      </c>
      <c r="K427" s="42" t="s">
        <v>245</v>
      </c>
    </row>
    <row r="428" ht="12.75" customHeight="1">
      <c r="A428" s="42" t="s">
        <v>671</v>
      </c>
      <c r="B428" s="21">
        <v>45718.0</v>
      </c>
      <c r="C428" s="20" t="s">
        <v>179</v>
      </c>
      <c r="D428" s="21">
        <v>45718.0</v>
      </c>
      <c r="E428" s="21">
        <v>45724.0</v>
      </c>
      <c r="F428" s="20" t="s">
        <v>672</v>
      </c>
      <c r="G428" s="42" t="s">
        <v>190</v>
      </c>
      <c r="H428" s="20" t="s">
        <v>69</v>
      </c>
      <c r="I428" s="9" t="s">
        <v>167</v>
      </c>
      <c r="J428" s="43">
        <v>2025.0</v>
      </c>
      <c r="K428" s="42" t="s">
        <v>96</v>
      </c>
    </row>
    <row r="429" ht="12.75" customHeight="1">
      <c r="A429" s="42" t="s">
        <v>673</v>
      </c>
      <c r="B429" s="21">
        <v>45719.0</v>
      </c>
      <c r="C429" s="20" t="s">
        <v>163</v>
      </c>
      <c r="D429" s="21">
        <v>45718.0</v>
      </c>
      <c r="E429" s="21">
        <v>45724.0</v>
      </c>
      <c r="F429" s="20" t="s">
        <v>672</v>
      </c>
      <c r="G429" s="42" t="s">
        <v>190</v>
      </c>
      <c r="H429" s="20" t="s">
        <v>69</v>
      </c>
      <c r="I429" s="9" t="s">
        <v>167</v>
      </c>
      <c r="J429" s="43">
        <v>2025.0</v>
      </c>
      <c r="K429" s="42" t="s">
        <v>96</v>
      </c>
    </row>
    <row r="430" ht="12.75" customHeight="1">
      <c r="A430" s="42" t="s">
        <v>674</v>
      </c>
      <c r="B430" s="21">
        <v>45720.0</v>
      </c>
      <c r="C430" s="20" t="s">
        <v>169</v>
      </c>
      <c r="D430" s="21">
        <v>45718.0</v>
      </c>
      <c r="E430" s="21">
        <v>45724.0</v>
      </c>
      <c r="F430" s="20" t="s">
        <v>672</v>
      </c>
      <c r="G430" s="42" t="s">
        <v>190</v>
      </c>
      <c r="H430" s="20" t="s">
        <v>69</v>
      </c>
      <c r="I430" s="9" t="s">
        <v>167</v>
      </c>
      <c r="J430" s="43">
        <v>2025.0</v>
      </c>
      <c r="K430" s="42" t="s">
        <v>96</v>
      </c>
    </row>
    <row r="431" ht="12.75" customHeight="1">
      <c r="A431" s="42" t="s">
        <v>675</v>
      </c>
      <c r="B431" s="21">
        <v>45721.0</v>
      </c>
      <c r="C431" s="20" t="s">
        <v>171</v>
      </c>
      <c r="D431" s="21">
        <v>45718.0</v>
      </c>
      <c r="E431" s="21">
        <v>45724.0</v>
      </c>
      <c r="F431" s="20" t="s">
        <v>672</v>
      </c>
      <c r="G431" s="42" t="s">
        <v>190</v>
      </c>
      <c r="H431" s="20" t="s">
        <v>69</v>
      </c>
      <c r="I431" s="9" t="s">
        <v>167</v>
      </c>
      <c r="J431" s="43">
        <v>2025.0</v>
      </c>
      <c r="K431" s="42" t="s">
        <v>96</v>
      </c>
    </row>
    <row r="432" ht="12.75" customHeight="1">
      <c r="A432" s="42" t="s">
        <v>676</v>
      </c>
      <c r="B432" s="21">
        <v>45722.0</v>
      </c>
      <c r="C432" s="20" t="s">
        <v>173</v>
      </c>
      <c r="D432" s="21">
        <v>45718.0</v>
      </c>
      <c r="E432" s="21">
        <v>45724.0</v>
      </c>
      <c r="F432" s="20" t="s">
        <v>672</v>
      </c>
      <c r="G432" s="42" t="s">
        <v>190</v>
      </c>
      <c r="H432" s="20" t="s">
        <v>69</v>
      </c>
      <c r="I432" s="9" t="s">
        <v>167</v>
      </c>
      <c r="J432" s="43">
        <v>2025.0</v>
      </c>
      <c r="K432" s="42" t="s">
        <v>96</v>
      </c>
    </row>
    <row r="433" ht="12.75" customHeight="1">
      <c r="A433" s="42" t="s">
        <v>677</v>
      </c>
      <c r="B433" s="21">
        <v>45723.0</v>
      </c>
      <c r="C433" s="20" t="s">
        <v>175</v>
      </c>
      <c r="D433" s="21">
        <v>45718.0</v>
      </c>
      <c r="E433" s="21">
        <v>45724.0</v>
      </c>
      <c r="F433" s="20" t="s">
        <v>672</v>
      </c>
      <c r="G433" s="42" t="s">
        <v>190</v>
      </c>
      <c r="H433" s="20" t="s">
        <v>69</v>
      </c>
      <c r="I433" s="9" t="s">
        <v>167</v>
      </c>
      <c r="J433" s="43">
        <v>2025.0</v>
      </c>
      <c r="K433" s="42" t="s">
        <v>96</v>
      </c>
    </row>
    <row r="434" ht="12.75" customHeight="1">
      <c r="A434" s="42" t="s">
        <v>678</v>
      </c>
      <c r="B434" s="21">
        <v>45724.0</v>
      </c>
      <c r="C434" s="20" t="s">
        <v>177</v>
      </c>
      <c r="D434" s="21">
        <v>45718.0</v>
      </c>
      <c r="E434" s="21">
        <v>45724.0</v>
      </c>
      <c r="F434" s="20" t="s">
        <v>672</v>
      </c>
      <c r="G434" s="42" t="s">
        <v>190</v>
      </c>
      <c r="H434" s="20" t="s">
        <v>69</v>
      </c>
      <c r="I434" s="9" t="s">
        <v>167</v>
      </c>
      <c r="J434" s="43">
        <v>2025.0</v>
      </c>
      <c r="K434" s="42" t="s">
        <v>96</v>
      </c>
    </row>
    <row r="435" ht="12.75" customHeight="1">
      <c r="A435" s="42" t="s">
        <v>679</v>
      </c>
      <c r="B435" s="21">
        <v>45725.0</v>
      </c>
      <c r="C435" s="20" t="s">
        <v>179</v>
      </c>
      <c r="D435" s="21">
        <v>45725.0</v>
      </c>
      <c r="E435" s="21">
        <v>45731.0</v>
      </c>
      <c r="F435" s="20" t="s">
        <v>680</v>
      </c>
      <c r="G435" s="42" t="s">
        <v>190</v>
      </c>
      <c r="H435" s="20" t="s">
        <v>69</v>
      </c>
      <c r="I435" s="9" t="s">
        <v>167</v>
      </c>
      <c r="J435" s="43">
        <v>2025.0</v>
      </c>
      <c r="K435" s="42" t="s">
        <v>97</v>
      </c>
    </row>
    <row r="436" ht="12.75" customHeight="1">
      <c r="A436" s="42" t="s">
        <v>681</v>
      </c>
      <c r="B436" s="21">
        <v>45726.0</v>
      </c>
      <c r="C436" s="20" t="s">
        <v>163</v>
      </c>
      <c r="D436" s="21">
        <v>45725.0</v>
      </c>
      <c r="E436" s="21">
        <v>45731.0</v>
      </c>
      <c r="F436" s="20" t="s">
        <v>680</v>
      </c>
      <c r="G436" s="42" t="s">
        <v>190</v>
      </c>
      <c r="H436" s="20" t="s">
        <v>69</v>
      </c>
      <c r="I436" s="9" t="s">
        <v>167</v>
      </c>
      <c r="J436" s="43">
        <v>2025.0</v>
      </c>
      <c r="K436" s="42" t="s">
        <v>97</v>
      </c>
    </row>
    <row r="437" ht="12.75" customHeight="1">
      <c r="A437" s="42" t="s">
        <v>682</v>
      </c>
      <c r="B437" s="21">
        <v>45727.0</v>
      </c>
      <c r="C437" s="20" t="s">
        <v>169</v>
      </c>
      <c r="D437" s="21">
        <v>45725.0</v>
      </c>
      <c r="E437" s="21">
        <v>45731.0</v>
      </c>
      <c r="F437" s="20" t="s">
        <v>680</v>
      </c>
      <c r="G437" s="42" t="s">
        <v>190</v>
      </c>
      <c r="H437" s="20" t="s">
        <v>69</v>
      </c>
      <c r="I437" s="9" t="s">
        <v>167</v>
      </c>
      <c r="J437" s="43">
        <v>2025.0</v>
      </c>
      <c r="K437" s="42" t="s">
        <v>97</v>
      </c>
    </row>
    <row r="438" ht="12.75" customHeight="1">
      <c r="A438" s="42" t="s">
        <v>683</v>
      </c>
      <c r="B438" s="21">
        <v>45728.0</v>
      </c>
      <c r="C438" s="20" t="s">
        <v>171</v>
      </c>
      <c r="D438" s="21">
        <v>45725.0</v>
      </c>
      <c r="E438" s="21">
        <v>45731.0</v>
      </c>
      <c r="F438" s="20" t="s">
        <v>680</v>
      </c>
      <c r="G438" s="42" t="s">
        <v>190</v>
      </c>
      <c r="H438" s="20" t="s">
        <v>69</v>
      </c>
      <c r="I438" s="9" t="s">
        <v>167</v>
      </c>
      <c r="J438" s="43">
        <v>2025.0</v>
      </c>
      <c r="K438" s="42" t="s">
        <v>97</v>
      </c>
    </row>
    <row r="439" ht="12.75" customHeight="1">
      <c r="A439" s="42" t="s">
        <v>684</v>
      </c>
      <c r="B439" s="21">
        <v>45729.0</v>
      </c>
      <c r="C439" s="20" t="s">
        <v>173</v>
      </c>
      <c r="D439" s="21">
        <v>45725.0</v>
      </c>
      <c r="E439" s="21">
        <v>45731.0</v>
      </c>
      <c r="F439" s="20" t="s">
        <v>680</v>
      </c>
      <c r="G439" s="42" t="s">
        <v>190</v>
      </c>
      <c r="H439" s="20" t="s">
        <v>69</v>
      </c>
      <c r="I439" s="9" t="s">
        <v>167</v>
      </c>
      <c r="J439" s="43">
        <v>2025.0</v>
      </c>
      <c r="K439" s="42" t="s">
        <v>97</v>
      </c>
    </row>
    <row r="440" ht="12.75" customHeight="1">
      <c r="A440" s="42" t="s">
        <v>685</v>
      </c>
      <c r="B440" s="21">
        <v>45730.0</v>
      </c>
      <c r="C440" s="20" t="s">
        <v>175</v>
      </c>
      <c r="D440" s="21">
        <v>45725.0</v>
      </c>
      <c r="E440" s="21">
        <v>45731.0</v>
      </c>
      <c r="F440" s="20" t="s">
        <v>680</v>
      </c>
      <c r="G440" s="42" t="s">
        <v>190</v>
      </c>
      <c r="H440" s="20" t="s">
        <v>69</v>
      </c>
      <c r="I440" s="9" t="s">
        <v>167</v>
      </c>
      <c r="J440" s="43">
        <v>2025.0</v>
      </c>
      <c r="K440" s="42" t="s">
        <v>97</v>
      </c>
    </row>
    <row r="441" ht="12.75" customHeight="1">
      <c r="A441" s="42" t="s">
        <v>686</v>
      </c>
      <c r="B441" s="21">
        <v>45731.0</v>
      </c>
      <c r="C441" s="20" t="s">
        <v>177</v>
      </c>
      <c r="D441" s="21">
        <v>45725.0</v>
      </c>
      <c r="E441" s="21">
        <v>45731.0</v>
      </c>
      <c r="F441" s="20" t="s">
        <v>680</v>
      </c>
      <c r="G441" s="42" t="s">
        <v>190</v>
      </c>
      <c r="H441" s="20" t="s">
        <v>69</v>
      </c>
      <c r="I441" s="9" t="s">
        <v>167</v>
      </c>
      <c r="J441" s="43">
        <v>2025.0</v>
      </c>
      <c r="K441" s="42" t="s">
        <v>97</v>
      </c>
    </row>
    <row r="442" ht="12.75" customHeight="1">
      <c r="A442" s="42" t="s">
        <v>687</v>
      </c>
      <c r="B442" s="21">
        <v>45732.0</v>
      </c>
      <c r="C442" s="20" t="s">
        <v>179</v>
      </c>
      <c r="D442" s="21">
        <v>45732.0</v>
      </c>
      <c r="E442" s="21">
        <v>45738.0</v>
      </c>
      <c r="F442" s="20" t="s">
        <v>688</v>
      </c>
      <c r="G442" s="42" t="s">
        <v>190</v>
      </c>
      <c r="H442" s="20" t="s">
        <v>69</v>
      </c>
      <c r="I442" s="9" t="s">
        <v>167</v>
      </c>
      <c r="J442" s="43">
        <v>2025.0</v>
      </c>
      <c r="K442" s="42" t="s">
        <v>98</v>
      </c>
    </row>
    <row r="443" ht="12.75" customHeight="1">
      <c r="A443" s="42" t="s">
        <v>689</v>
      </c>
      <c r="B443" s="21">
        <v>45733.0</v>
      </c>
      <c r="C443" s="20" t="s">
        <v>163</v>
      </c>
      <c r="D443" s="21">
        <v>45732.0</v>
      </c>
      <c r="E443" s="21">
        <v>45738.0</v>
      </c>
      <c r="F443" s="20" t="s">
        <v>688</v>
      </c>
      <c r="G443" s="42" t="s">
        <v>190</v>
      </c>
      <c r="H443" s="20" t="s">
        <v>69</v>
      </c>
      <c r="I443" s="9" t="s">
        <v>167</v>
      </c>
      <c r="J443" s="43">
        <v>2025.0</v>
      </c>
      <c r="K443" s="42" t="s">
        <v>98</v>
      </c>
    </row>
    <row r="444" ht="12.75" customHeight="1">
      <c r="A444" s="42" t="s">
        <v>690</v>
      </c>
      <c r="B444" s="21">
        <v>45734.0</v>
      </c>
      <c r="C444" s="20" t="s">
        <v>169</v>
      </c>
      <c r="D444" s="21">
        <v>45732.0</v>
      </c>
      <c r="E444" s="21">
        <v>45738.0</v>
      </c>
      <c r="F444" s="20" t="s">
        <v>688</v>
      </c>
      <c r="G444" s="42" t="s">
        <v>190</v>
      </c>
      <c r="H444" s="20" t="s">
        <v>69</v>
      </c>
      <c r="I444" s="9" t="s">
        <v>167</v>
      </c>
      <c r="J444" s="43">
        <v>2025.0</v>
      </c>
      <c r="K444" s="42" t="s">
        <v>98</v>
      </c>
    </row>
    <row r="445" ht="12.75" customHeight="1">
      <c r="A445" s="42" t="s">
        <v>691</v>
      </c>
      <c r="B445" s="21">
        <v>45735.0</v>
      </c>
      <c r="C445" s="20" t="s">
        <v>171</v>
      </c>
      <c r="D445" s="21">
        <v>45732.0</v>
      </c>
      <c r="E445" s="21">
        <v>45738.0</v>
      </c>
      <c r="F445" s="20" t="s">
        <v>688</v>
      </c>
      <c r="G445" s="42" t="s">
        <v>190</v>
      </c>
      <c r="H445" s="20" t="s">
        <v>69</v>
      </c>
      <c r="I445" s="9" t="s">
        <v>167</v>
      </c>
      <c r="J445" s="43">
        <v>2025.0</v>
      </c>
      <c r="K445" s="42" t="s">
        <v>98</v>
      </c>
    </row>
    <row r="446" ht="12.75" customHeight="1">
      <c r="A446" s="42" t="s">
        <v>692</v>
      </c>
      <c r="B446" s="21">
        <v>45736.0</v>
      </c>
      <c r="C446" s="20" t="s">
        <v>173</v>
      </c>
      <c r="D446" s="21">
        <v>45732.0</v>
      </c>
      <c r="E446" s="21">
        <v>45738.0</v>
      </c>
      <c r="F446" s="20" t="s">
        <v>688</v>
      </c>
      <c r="G446" s="42" t="s">
        <v>190</v>
      </c>
      <c r="H446" s="20" t="s">
        <v>69</v>
      </c>
      <c r="I446" s="9" t="s">
        <v>167</v>
      </c>
      <c r="J446" s="43">
        <v>2025.0</v>
      </c>
      <c r="K446" s="42" t="s">
        <v>98</v>
      </c>
    </row>
    <row r="447" ht="12.75" customHeight="1">
      <c r="A447" s="42" t="s">
        <v>693</v>
      </c>
      <c r="B447" s="21">
        <v>45737.0</v>
      </c>
      <c r="C447" s="20" t="s">
        <v>175</v>
      </c>
      <c r="D447" s="21">
        <v>45732.0</v>
      </c>
      <c r="E447" s="21">
        <v>45738.0</v>
      </c>
      <c r="F447" s="20" t="s">
        <v>688</v>
      </c>
      <c r="G447" s="42" t="s">
        <v>190</v>
      </c>
      <c r="H447" s="20" t="s">
        <v>69</v>
      </c>
      <c r="I447" s="9" t="s">
        <v>167</v>
      </c>
      <c r="J447" s="43">
        <v>2025.0</v>
      </c>
      <c r="K447" s="42" t="s">
        <v>98</v>
      </c>
    </row>
    <row r="448" ht="12.75" customHeight="1">
      <c r="A448" s="42" t="s">
        <v>694</v>
      </c>
      <c r="B448" s="21">
        <v>45738.0</v>
      </c>
      <c r="C448" s="20" t="s">
        <v>177</v>
      </c>
      <c r="D448" s="21">
        <v>45732.0</v>
      </c>
      <c r="E448" s="21">
        <v>45738.0</v>
      </c>
      <c r="F448" s="20" t="s">
        <v>688</v>
      </c>
      <c r="G448" s="42" t="s">
        <v>190</v>
      </c>
      <c r="H448" s="20" t="s">
        <v>69</v>
      </c>
      <c r="I448" s="9" t="s">
        <v>167</v>
      </c>
      <c r="J448" s="43">
        <v>2025.0</v>
      </c>
      <c r="K448" s="42" t="s">
        <v>98</v>
      </c>
    </row>
    <row r="449" ht="12.75" customHeight="1">
      <c r="A449" s="42" t="s">
        <v>695</v>
      </c>
      <c r="B449" s="21">
        <v>45739.0</v>
      </c>
      <c r="C449" s="20" t="s">
        <v>179</v>
      </c>
      <c r="D449" s="21">
        <v>45739.0</v>
      </c>
      <c r="E449" s="21">
        <v>45745.0</v>
      </c>
      <c r="F449" s="20" t="s">
        <v>696</v>
      </c>
      <c r="G449" s="42" t="s">
        <v>190</v>
      </c>
      <c r="H449" s="20" t="s">
        <v>69</v>
      </c>
      <c r="I449" s="9" t="s">
        <v>167</v>
      </c>
      <c r="J449" s="43">
        <v>2025.0</v>
      </c>
      <c r="K449" s="42" t="s">
        <v>99</v>
      </c>
    </row>
    <row r="450" ht="12.75" customHeight="1">
      <c r="A450" s="42" t="s">
        <v>697</v>
      </c>
      <c r="B450" s="21">
        <v>45740.0</v>
      </c>
      <c r="C450" s="20" t="s">
        <v>163</v>
      </c>
      <c r="D450" s="21">
        <v>45739.0</v>
      </c>
      <c r="E450" s="21">
        <v>45745.0</v>
      </c>
      <c r="F450" s="20" t="s">
        <v>696</v>
      </c>
      <c r="G450" s="42" t="s">
        <v>190</v>
      </c>
      <c r="H450" s="20" t="s">
        <v>69</v>
      </c>
      <c r="I450" s="9" t="s">
        <v>167</v>
      </c>
      <c r="J450" s="43">
        <v>2025.0</v>
      </c>
      <c r="K450" s="42" t="s">
        <v>99</v>
      </c>
    </row>
    <row r="451" ht="12.75" customHeight="1">
      <c r="A451" s="42" t="s">
        <v>698</v>
      </c>
      <c r="B451" s="21">
        <v>45741.0</v>
      </c>
      <c r="C451" s="20" t="s">
        <v>169</v>
      </c>
      <c r="D451" s="21">
        <v>45739.0</v>
      </c>
      <c r="E451" s="21">
        <v>45745.0</v>
      </c>
      <c r="F451" s="20" t="s">
        <v>696</v>
      </c>
      <c r="G451" s="42" t="s">
        <v>190</v>
      </c>
      <c r="H451" s="20" t="s">
        <v>69</v>
      </c>
      <c r="I451" s="9" t="s">
        <v>167</v>
      </c>
      <c r="J451" s="43">
        <v>2025.0</v>
      </c>
      <c r="K451" s="42" t="s">
        <v>99</v>
      </c>
    </row>
    <row r="452" ht="12.75" customHeight="1">
      <c r="A452" s="42" t="s">
        <v>699</v>
      </c>
      <c r="B452" s="21">
        <v>45742.0</v>
      </c>
      <c r="C452" s="20" t="s">
        <v>171</v>
      </c>
      <c r="D452" s="21">
        <v>45739.0</v>
      </c>
      <c r="E452" s="21">
        <v>45745.0</v>
      </c>
      <c r="F452" s="20" t="s">
        <v>696</v>
      </c>
      <c r="G452" s="42" t="s">
        <v>190</v>
      </c>
      <c r="H452" s="20" t="s">
        <v>69</v>
      </c>
      <c r="I452" s="9" t="s">
        <v>167</v>
      </c>
      <c r="J452" s="43">
        <v>2025.0</v>
      </c>
      <c r="K452" s="42" t="s">
        <v>99</v>
      </c>
    </row>
    <row r="453" ht="12.75" customHeight="1">
      <c r="A453" s="42" t="s">
        <v>700</v>
      </c>
      <c r="B453" s="21">
        <v>45743.0</v>
      </c>
      <c r="C453" s="20" t="s">
        <v>173</v>
      </c>
      <c r="D453" s="21">
        <v>45739.0</v>
      </c>
      <c r="E453" s="21">
        <v>45745.0</v>
      </c>
      <c r="F453" s="20" t="s">
        <v>696</v>
      </c>
      <c r="G453" s="42" t="s">
        <v>190</v>
      </c>
      <c r="H453" s="20" t="s">
        <v>69</v>
      </c>
      <c r="I453" s="9" t="s">
        <v>167</v>
      </c>
      <c r="J453" s="43">
        <v>2025.0</v>
      </c>
      <c r="K453" s="42" t="s">
        <v>99</v>
      </c>
    </row>
    <row r="454" ht="12.75" customHeight="1">
      <c r="A454" s="42" t="s">
        <v>701</v>
      </c>
      <c r="B454" s="21">
        <v>45744.0</v>
      </c>
      <c r="C454" s="20" t="s">
        <v>175</v>
      </c>
      <c r="D454" s="21">
        <v>45739.0</v>
      </c>
      <c r="E454" s="21">
        <v>45745.0</v>
      </c>
      <c r="F454" s="20" t="s">
        <v>696</v>
      </c>
      <c r="G454" s="42" t="s">
        <v>190</v>
      </c>
      <c r="H454" s="20" t="s">
        <v>69</v>
      </c>
      <c r="I454" s="9" t="s">
        <v>167</v>
      </c>
      <c r="J454" s="43">
        <v>2025.0</v>
      </c>
      <c r="K454" s="42" t="s">
        <v>99</v>
      </c>
    </row>
    <row r="455" ht="12.75" customHeight="1">
      <c r="A455" s="42" t="s">
        <v>702</v>
      </c>
      <c r="B455" s="21">
        <v>45745.0</v>
      </c>
      <c r="C455" s="20" t="s">
        <v>177</v>
      </c>
      <c r="D455" s="21">
        <v>45739.0</v>
      </c>
      <c r="E455" s="21">
        <v>45745.0</v>
      </c>
      <c r="F455" s="20" t="s">
        <v>696</v>
      </c>
      <c r="G455" s="42" t="s">
        <v>190</v>
      </c>
      <c r="H455" s="20" t="s">
        <v>69</v>
      </c>
      <c r="I455" s="9" t="s">
        <v>167</v>
      </c>
      <c r="J455" s="43">
        <v>2025.0</v>
      </c>
      <c r="K455" s="42" t="s">
        <v>99</v>
      </c>
    </row>
    <row r="456" ht="12.75" customHeight="1">
      <c r="A456" s="42" t="s">
        <v>703</v>
      </c>
      <c r="B456" s="21">
        <v>45746.0</v>
      </c>
      <c r="C456" s="20" t="s">
        <v>179</v>
      </c>
      <c r="D456" s="21">
        <v>45746.0</v>
      </c>
      <c r="E456" s="21">
        <v>45752.0</v>
      </c>
      <c r="F456" s="20" t="s">
        <v>704</v>
      </c>
      <c r="G456" s="42" t="s">
        <v>190</v>
      </c>
      <c r="H456" s="20" t="s">
        <v>69</v>
      </c>
      <c r="I456" s="9" t="s">
        <v>167</v>
      </c>
      <c r="J456" s="43">
        <v>2025.0</v>
      </c>
      <c r="K456" s="42" t="s">
        <v>100</v>
      </c>
    </row>
    <row r="457" ht="12.75" customHeight="1">
      <c r="A457" s="42" t="s">
        <v>705</v>
      </c>
      <c r="B457" s="21">
        <v>45747.0</v>
      </c>
      <c r="C457" s="20" t="s">
        <v>163</v>
      </c>
      <c r="D457" s="21">
        <v>45746.0</v>
      </c>
      <c r="E457" s="21">
        <v>45752.0</v>
      </c>
      <c r="F457" s="20" t="s">
        <v>704</v>
      </c>
      <c r="G457" s="42" t="s">
        <v>190</v>
      </c>
      <c r="H457" s="20" t="s">
        <v>69</v>
      </c>
      <c r="I457" s="9" t="s">
        <v>167</v>
      </c>
      <c r="J457" s="43">
        <v>2025.0</v>
      </c>
      <c r="K457" s="42" t="s">
        <v>100</v>
      </c>
    </row>
    <row r="458" ht="12.75" customHeight="1">
      <c r="A458" s="42" t="s">
        <v>706</v>
      </c>
      <c r="B458" s="21">
        <v>45748.0</v>
      </c>
      <c r="C458" s="20" t="s">
        <v>169</v>
      </c>
      <c r="D458" s="21">
        <v>45746.0</v>
      </c>
      <c r="E458" s="21">
        <v>45752.0</v>
      </c>
      <c r="F458" s="20" t="s">
        <v>704</v>
      </c>
      <c r="G458" s="42" t="s">
        <v>199</v>
      </c>
      <c r="H458" s="20" t="s">
        <v>64</v>
      </c>
      <c r="I458" s="9" t="s">
        <v>287</v>
      </c>
      <c r="J458" s="43">
        <v>2025.0</v>
      </c>
      <c r="K458" s="42" t="s">
        <v>100</v>
      </c>
    </row>
    <row r="459" ht="12.75" customHeight="1">
      <c r="A459" s="42" t="s">
        <v>707</v>
      </c>
      <c r="B459" s="21">
        <v>45749.0</v>
      </c>
      <c r="C459" s="20" t="s">
        <v>171</v>
      </c>
      <c r="D459" s="21">
        <v>45746.0</v>
      </c>
      <c r="E459" s="21">
        <v>45752.0</v>
      </c>
      <c r="F459" s="20" t="s">
        <v>704</v>
      </c>
      <c r="G459" s="42" t="s">
        <v>199</v>
      </c>
      <c r="H459" s="20" t="s">
        <v>64</v>
      </c>
      <c r="I459" s="9" t="s">
        <v>287</v>
      </c>
      <c r="J459" s="43">
        <v>2025.0</v>
      </c>
      <c r="K459" s="42" t="s">
        <v>100</v>
      </c>
    </row>
    <row r="460" ht="12.75" customHeight="1">
      <c r="A460" s="42" t="s">
        <v>708</v>
      </c>
      <c r="B460" s="21">
        <v>45750.0</v>
      </c>
      <c r="C460" s="20" t="s">
        <v>173</v>
      </c>
      <c r="D460" s="21">
        <v>45746.0</v>
      </c>
      <c r="E460" s="21">
        <v>45752.0</v>
      </c>
      <c r="F460" s="20" t="s">
        <v>704</v>
      </c>
      <c r="G460" s="42" t="s">
        <v>199</v>
      </c>
      <c r="H460" s="20" t="s">
        <v>64</v>
      </c>
      <c r="I460" s="9" t="s">
        <v>287</v>
      </c>
      <c r="J460" s="43">
        <v>2025.0</v>
      </c>
      <c r="K460" s="42" t="s">
        <v>100</v>
      </c>
    </row>
    <row r="461" ht="12.75" customHeight="1">
      <c r="A461" s="42" t="s">
        <v>709</v>
      </c>
      <c r="B461" s="21">
        <v>45751.0</v>
      </c>
      <c r="C461" s="20" t="s">
        <v>175</v>
      </c>
      <c r="D461" s="21">
        <v>45746.0</v>
      </c>
      <c r="E461" s="21">
        <v>45752.0</v>
      </c>
      <c r="F461" s="20" t="s">
        <v>704</v>
      </c>
      <c r="G461" s="42" t="s">
        <v>199</v>
      </c>
      <c r="H461" s="20" t="s">
        <v>64</v>
      </c>
      <c r="I461" s="9" t="s">
        <v>287</v>
      </c>
      <c r="J461" s="43">
        <v>2025.0</v>
      </c>
      <c r="K461" s="42" t="s">
        <v>100</v>
      </c>
    </row>
    <row r="462" ht="12.75" customHeight="1">
      <c r="A462" s="42" t="s">
        <v>710</v>
      </c>
      <c r="B462" s="21">
        <v>45752.0</v>
      </c>
      <c r="C462" s="20" t="s">
        <v>177</v>
      </c>
      <c r="D462" s="21">
        <v>45746.0</v>
      </c>
      <c r="E462" s="21">
        <v>45752.0</v>
      </c>
      <c r="F462" s="20" t="s">
        <v>704</v>
      </c>
      <c r="G462" s="42" t="s">
        <v>199</v>
      </c>
      <c r="H462" s="20" t="s">
        <v>64</v>
      </c>
      <c r="I462" s="9" t="s">
        <v>287</v>
      </c>
      <c r="J462" s="43">
        <v>2025.0</v>
      </c>
      <c r="K462" s="42" t="s">
        <v>100</v>
      </c>
    </row>
    <row r="463" ht="12.75" customHeight="1">
      <c r="A463" s="42" t="s">
        <v>711</v>
      </c>
      <c r="B463" s="21">
        <v>45753.0</v>
      </c>
      <c r="C463" s="20" t="s">
        <v>179</v>
      </c>
      <c r="D463" s="21">
        <v>45753.0</v>
      </c>
      <c r="E463" s="21">
        <v>45759.0</v>
      </c>
      <c r="F463" s="20" t="s">
        <v>712</v>
      </c>
      <c r="G463" s="42" t="s">
        <v>199</v>
      </c>
      <c r="H463" s="20" t="s">
        <v>64</v>
      </c>
      <c r="I463" s="9" t="s">
        <v>287</v>
      </c>
      <c r="J463" s="43">
        <v>2025.0</v>
      </c>
      <c r="K463" s="42" t="s">
        <v>74</v>
      </c>
    </row>
    <row r="464" ht="12.75" customHeight="1">
      <c r="A464" s="42" t="s">
        <v>713</v>
      </c>
      <c r="B464" s="21">
        <v>45754.0</v>
      </c>
      <c r="C464" s="20" t="s">
        <v>163</v>
      </c>
      <c r="D464" s="21">
        <v>45753.0</v>
      </c>
      <c r="E464" s="21">
        <v>45759.0</v>
      </c>
      <c r="F464" s="20" t="s">
        <v>712</v>
      </c>
      <c r="G464" s="42" t="s">
        <v>199</v>
      </c>
      <c r="H464" s="20" t="s">
        <v>64</v>
      </c>
      <c r="I464" s="9" t="s">
        <v>287</v>
      </c>
      <c r="J464" s="43">
        <v>2025.0</v>
      </c>
      <c r="K464" s="42" t="s">
        <v>74</v>
      </c>
    </row>
    <row r="465" ht="12.75" customHeight="1">
      <c r="A465" s="42" t="s">
        <v>714</v>
      </c>
      <c r="B465" s="21">
        <v>45755.0</v>
      </c>
      <c r="C465" s="20" t="s">
        <v>169</v>
      </c>
      <c r="D465" s="21">
        <v>45753.0</v>
      </c>
      <c r="E465" s="21">
        <v>45759.0</v>
      </c>
      <c r="F465" s="20" t="s">
        <v>712</v>
      </c>
      <c r="G465" s="42" t="s">
        <v>199</v>
      </c>
      <c r="H465" s="20" t="s">
        <v>64</v>
      </c>
      <c r="I465" s="9" t="s">
        <v>287</v>
      </c>
      <c r="J465" s="43">
        <v>2025.0</v>
      </c>
      <c r="K465" s="42" t="s">
        <v>74</v>
      </c>
    </row>
    <row r="466" ht="12.75" customHeight="1">
      <c r="A466" s="42" t="s">
        <v>715</v>
      </c>
      <c r="B466" s="21">
        <v>45756.0</v>
      </c>
      <c r="C466" s="20" t="s">
        <v>171</v>
      </c>
      <c r="D466" s="21">
        <v>45753.0</v>
      </c>
      <c r="E466" s="21">
        <v>45759.0</v>
      </c>
      <c r="F466" s="20" t="s">
        <v>712</v>
      </c>
      <c r="G466" s="42" t="s">
        <v>199</v>
      </c>
      <c r="H466" s="20" t="s">
        <v>64</v>
      </c>
      <c r="I466" s="9" t="s">
        <v>287</v>
      </c>
      <c r="J466" s="43">
        <v>2025.0</v>
      </c>
      <c r="K466" s="42" t="s">
        <v>74</v>
      </c>
    </row>
    <row r="467" ht="12.75" customHeight="1">
      <c r="A467" s="42" t="s">
        <v>716</v>
      </c>
      <c r="B467" s="21">
        <v>45757.0</v>
      </c>
      <c r="C467" s="20" t="s">
        <v>173</v>
      </c>
      <c r="D467" s="21">
        <v>45753.0</v>
      </c>
      <c r="E467" s="21">
        <v>45759.0</v>
      </c>
      <c r="F467" s="20" t="s">
        <v>712</v>
      </c>
      <c r="G467" s="42" t="s">
        <v>199</v>
      </c>
      <c r="H467" s="20" t="s">
        <v>64</v>
      </c>
      <c r="I467" s="9" t="s">
        <v>287</v>
      </c>
      <c r="J467" s="43">
        <v>2025.0</v>
      </c>
      <c r="K467" s="42" t="s">
        <v>74</v>
      </c>
    </row>
    <row r="468" ht="12.75" customHeight="1">
      <c r="A468" s="42" t="s">
        <v>717</v>
      </c>
      <c r="B468" s="21">
        <v>45758.0</v>
      </c>
      <c r="C468" s="20" t="s">
        <v>175</v>
      </c>
      <c r="D468" s="21">
        <v>45753.0</v>
      </c>
      <c r="E468" s="21">
        <v>45759.0</v>
      </c>
      <c r="F468" s="20" t="s">
        <v>712</v>
      </c>
      <c r="G468" s="42" t="s">
        <v>199</v>
      </c>
      <c r="H468" s="20" t="s">
        <v>64</v>
      </c>
      <c r="I468" s="9" t="s">
        <v>287</v>
      </c>
      <c r="J468" s="43">
        <v>2025.0</v>
      </c>
      <c r="K468" s="42" t="s">
        <v>74</v>
      </c>
    </row>
    <row r="469" ht="12.75" customHeight="1">
      <c r="A469" s="42" t="s">
        <v>718</v>
      </c>
      <c r="B469" s="21">
        <v>45759.0</v>
      </c>
      <c r="C469" s="20" t="s">
        <v>177</v>
      </c>
      <c r="D469" s="21">
        <v>45753.0</v>
      </c>
      <c r="E469" s="21">
        <v>45759.0</v>
      </c>
      <c r="F469" s="20" t="s">
        <v>712</v>
      </c>
      <c r="G469" s="42" t="s">
        <v>199</v>
      </c>
      <c r="H469" s="20" t="s">
        <v>64</v>
      </c>
      <c r="I469" s="9" t="s">
        <v>287</v>
      </c>
      <c r="J469" s="43">
        <v>2025.0</v>
      </c>
      <c r="K469" s="42" t="s">
        <v>74</v>
      </c>
    </row>
    <row r="470" ht="12.75" customHeight="1">
      <c r="A470" s="42" t="s">
        <v>719</v>
      </c>
      <c r="B470" s="21">
        <v>45760.0</v>
      </c>
      <c r="C470" s="20" t="s">
        <v>179</v>
      </c>
      <c r="D470" s="21">
        <v>45760.0</v>
      </c>
      <c r="E470" s="21">
        <v>45766.0</v>
      </c>
      <c r="F470" s="20" t="s">
        <v>720</v>
      </c>
      <c r="G470" s="42" t="s">
        <v>199</v>
      </c>
      <c r="H470" s="20" t="s">
        <v>64</v>
      </c>
      <c r="I470" s="9" t="s">
        <v>287</v>
      </c>
      <c r="J470" s="43">
        <v>2025.0</v>
      </c>
      <c r="K470" s="42" t="s">
        <v>75</v>
      </c>
    </row>
    <row r="471" ht="12.75" customHeight="1">
      <c r="A471" s="42" t="s">
        <v>721</v>
      </c>
      <c r="B471" s="21">
        <v>45761.0</v>
      </c>
      <c r="C471" s="20" t="s">
        <v>163</v>
      </c>
      <c r="D471" s="21">
        <v>45760.0</v>
      </c>
      <c r="E471" s="21">
        <v>45766.0</v>
      </c>
      <c r="F471" s="20" t="s">
        <v>720</v>
      </c>
      <c r="G471" s="42" t="s">
        <v>199</v>
      </c>
      <c r="H471" s="20" t="s">
        <v>64</v>
      </c>
      <c r="I471" s="9" t="s">
        <v>287</v>
      </c>
      <c r="J471" s="43">
        <v>2025.0</v>
      </c>
      <c r="K471" s="42" t="s">
        <v>75</v>
      </c>
    </row>
    <row r="472" ht="12.75" customHeight="1">
      <c r="A472" s="42" t="s">
        <v>722</v>
      </c>
      <c r="B472" s="21">
        <v>45762.0</v>
      </c>
      <c r="C472" s="20" t="s">
        <v>169</v>
      </c>
      <c r="D472" s="21">
        <v>45760.0</v>
      </c>
      <c r="E472" s="21">
        <v>45766.0</v>
      </c>
      <c r="F472" s="20" t="s">
        <v>720</v>
      </c>
      <c r="G472" s="42" t="s">
        <v>199</v>
      </c>
      <c r="H472" s="20" t="s">
        <v>64</v>
      </c>
      <c r="I472" s="9" t="s">
        <v>287</v>
      </c>
      <c r="J472" s="43">
        <v>2025.0</v>
      </c>
      <c r="K472" s="42" t="s">
        <v>75</v>
      </c>
    </row>
    <row r="473" ht="12.75" customHeight="1">
      <c r="A473" s="42" t="s">
        <v>723</v>
      </c>
      <c r="B473" s="21">
        <v>45763.0</v>
      </c>
      <c r="C473" s="20" t="s">
        <v>171</v>
      </c>
      <c r="D473" s="21">
        <v>45760.0</v>
      </c>
      <c r="E473" s="21">
        <v>45766.0</v>
      </c>
      <c r="F473" s="20" t="s">
        <v>720</v>
      </c>
      <c r="G473" s="42" t="s">
        <v>199</v>
      </c>
      <c r="H473" s="20" t="s">
        <v>64</v>
      </c>
      <c r="I473" s="9" t="s">
        <v>287</v>
      </c>
      <c r="J473" s="43">
        <v>2025.0</v>
      </c>
      <c r="K473" s="42" t="s">
        <v>75</v>
      </c>
    </row>
    <row r="474" ht="12.75" customHeight="1">
      <c r="A474" s="42" t="s">
        <v>724</v>
      </c>
      <c r="B474" s="21">
        <v>45764.0</v>
      </c>
      <c r="C474" s="20" t="s">
        <v>173</v>
      </c>
      <c r="D474" s="21">
        <v>45760.0</v>
      </c>
      <c r="E474" s="21">
        <v>45766.0</v>
      </c>
      <c r="F474" s="20" t="s">
        <v>720</v>
      </c>
      <c r="G474" s="42" t="s">
        <v>199</v>
      </c>
      <c r="H474" s="20" t="s">
        <v>64</v>
      </c>
      <c r="I474" s="9" t="s">
        <v>287</v>
      </c>
      <c r="J474" s="43">
        <v>2025.0</v>
      </c>
      <c r="K474" s="42" t="s">
        <v>75</v>
      </c>
    </row>
    <row r="475" ht="12.75" customHeight="1">
      <c r="A475" s="42" t="s">
        <v>725</v>
      </c>
      <c r="B475" s="21">
        <v>45765.0</v>
      </c>
      <c r="C475" s="20" t="s">
        <v>175</v>
      </c>
      <c r="D475" s="21">
        <v>45760.0</v>
      </c>
      <c r="E475" s="21">
        <v>45766.0</v>
      </c>
      <c r="F475" s="20" t="s">
        <v>720</v>
      </c>
      <c r="G475" s="42" t="s">
        <v>199</v>
      </c>
      <c r="H475" s="20" t="s">
        <v>64</v>
      </c>
      <c r="I475" s="9" t="s">
        <v>287</v>
      </c>
      <c r="J475" s="43">
        <v>2025.0</v>
      </c>
      <c r="K475" s="42" t="s">
        <v>75</v>
      </c>
    </row>
    <row r="476" ht="12.75" customHeight="1">
      <c r="A476" s="42" t="s">
        <v>726</v>
      </c>
      <c r="B476" s="21">
        <v>45766.0</v>
      </c>
      <c r="C476" s="20" t="s">
        <v>177</v>
      </c>
      <c r="D476" s="21">
        <v>45760.0</v>
      </c>
      <c r="E476" s="21">
        <v>45766.0</v>
      </c>
      <c r="F476" s="20" t="s">
        <v>720</v>
      </c>
      <c r="G476" s="42" t="s">
        <v>199</v>
      </c>
      <c r="H476" s="20" t="s">
        <v>64</v>
      </c>
      <c r="I476" s="9" t="s">
        <v>287</v>
      </c>
      <c r="J476" s="43">
        <v>2025.0</v>
      </c>
      <c r="K476" s="42" t="s">
        <v>75</v>
      </c>
    </row>
    <row r="477" ht="12.75" customHeight="1">
      <c r="A477" s="42" t="s">
        <v>727</v>
      </c>
      <c r="B477" s="21">
        <v>45767.0</v>
      </c>
      <c r="C477" s="20" t="s">
        <v>179</v>
      </c>
      <c r="D477" s="21">
        <v>45767.0</v>
      </c>
      <c r="E477" s="21">
        <v>45773.0</v>
      </c>
      <c r="F477" s="20" t="s">
        <v>728</v>
      </c>
      <c r="G477" s="42" t="s">
        <v>199</v>
      </c>
      <c r="H477" s="20" t="s">
        <v>64</v>
      </c>
      <c r="I477" s="9" t="s">
        <v>287</v>
      </c>
      <c r="J477" s="43">
        <v>2025.0</v>
      </c>
      <c r="K477" s="42" t="s">
        <v>76</v>
      </c>
    </row>
    <row r="478" ht="12.75" customHeight="1">
      <c r="A478" s="42" t="s">
        <v>729</v>
      </c>
      <c r="B478" s="21">
        <v>45768.0</v>
      </c>
      <c r="C478" s="20" t="s">
        <v>163</v>
      </c>
      <c r="D478" s="21">
        <v>45767.0</v>
      </c>
      <c r="E478" s="21">
        <v>45773.0</v>
      </c>
      <c r="F478" s="20" t="s">
        <v>728</v>
      </c>
      <c r="G478" s="42" t="s">
        <v>199</v>
      </c>
      <c r="H478" s="20" t="s">
        <v>64</v>
      </c>
      <c r="I478" s="9" t="s">
        <v>287</v>
      </c>
      <c r="J478" s="43">
        <v>2025.0</v>
      </c>
      <c r="K478" s="42" t="s">
        <v>76</v>
      </c>
    </row>
    <row r="479" ht="12.75" customHeight="1">
      <c r="A479" s="42" t="s">
        <v>730</v>
      </c>
      <c r="B479" s="21">
        <v>45769.0</v>
      </c>
      <c r="C479" s="20" t="s">
        <v>169</v>
      </c>
      <c r="D479" s="21">
        <v>45767.0</v>
      </c>
      <c r="E479" s="21">
        <v>45773.0</v>
      </c>
      <c r="F479" s="20" t="s">
        <v>728</v>
      </c>
      <c r="G479" s="42" t="s">
        <v>199</v>
      </c>
      <c r="H479" s="20" t="s">
        <v>64</v>
      </c>
      <c r="I479" s="9" t="s">
        <v>287</v>
      </c>
      <c r="J479" s="43">
        <v>2025.0</v>
      </c>
      <c r="K479" s="42" t="s">
        <v>76</v>
      </c>
    </row>
    <row r="480" ht="12.75" customHeight="1">
      <c r="A480" s="42" t="s">
        <v>731</v>
      </c>
      <c r="B480" s="21">
        <v>45770.0</v>
      </c>
      <c r="C480" s="20" t="s">
        <v>171</v>
      </c>
      <c r="D480" s="21">
        <v>45767.0</v>
      </c>
      <c r="E480" s="21">
        <v>45773.0</v>
      </c>
      <c r="F480" s="20" t="s">
        <v>728</v>
      </c>
      <c r="G480" s="42" t="s">
        <v>199</v>
      </c>
      <c r="H480" s="20" t="s">
        <v>64</v>
      </c>
      <c r="I480" s="9" t="s">
        <v>287</v>
      </c>
      <c r="J480" s="43">
        <v>2025.0</v>
      </c>
      <c r="K480" s="42" t="s">
        <v>76</v>
      </c>
    </row>
    <row r="481" ht="12.75" customHeight="1">
      <c r="A481" s="42" t="s">
        <v>732</v>
      </c>
      <c r="B481" s="21">
        <v>45771.0</v>
      </c>
      <c r="C481" s="20" t="s">
        <v>173</v>
      </c>
      <c r="D481" s="21">
        <v>45767.0</v>
      </c>
      <c r="E481" s="21">
        <v>45773.0</v>
      </c>
      <c r="F481" s="20" t="s">
        <v>728</v>
      </c>
      <c r="G481" s="42" t="s">
        <v>199</v>
      </c>
      <c r="H481" s="20" t="s">
        <v>64</v>
      </c>
      <c r="I481" s="9" t="s">
        <v>287</v>
      </c>
      <c r="J481" s="43">
        <v>2025.0</v>
      </c>
      <c r="K481" s="42" t="s">
        <v>76</v>
      </c>
    </row>
    <row r="482" ht="12.75" customHeight="1">
      <c r="A482" s="42" t="s">
        <v>733</v>
      </c>
      <c r="B482" s="21">
        <v>45772.0</v>
      </c>
      <c r="C482" s="20" t="s">
        <v>175</v>
      </c>
      <c r="D482" s="21">
        <v>45767.0</v>
      </c>
      <c r="E482" s="21">
        <v>45773.0</v>
      </c>
      <c r="F482" s="20" t="s">
        <v>728</v>
      </c>
      <c r="G482" s="42" t="s">
        <v>199</v>
      </c>
      <c r="H482" s="20" t="s">
        <v>64</v>
      </c>
      <c r="I482" s="9" t="s">
        <v>287</v>
      </c>
      <c r="J482" s="43">
        <v>2025.0</v>
      </c>
      <c r="K482" s="42" t="s">
        <v>76</v>
      </c>
    </row>
    <row r="483" ht="12.75" customHeight="1">
      <c r="A483" s="42" t="s">
        <v>734</v>
      </c>
      <c r="B483" s="21">
        <v>45773.0</v>
      </c>
      <c r="C483" s="20" t="s">
        <v>177</v>
      </c>
      <c r="D483" s="21">
        <v>45767.0</v>
      </c>
      <c r="E483" s="21">
        <v>45773.0</v>
      </c>
      <c r="F483" s="20" t="s">
        <v>728</v>
      </c>
      <c r="G483" s="42" t="s">
        <v>199</v>
      </c>
      <c r="H483" s="20" t="s">
        <v>64</v>
      </c>
      <c r="I483" s="9" t="s">
        <v>287</v>
      </c>
      <c r="J483" s="43">
        <v>2025.0</v>
      </c>
      <c r="K483" s="42" t="s">
        <v>76</v>
      </c>
    </row>
    <row r="484" ht="12.75" customHeight="1">
      <c r="A484" s="42" t="s">
        <v>735</v>
      </c>
      <c r="B484" s="21">
        <v>45774.0</v>
      </c>
      <c r="C484" s="20" t="s">
        <v>179</v>
      </c>
      <c r="D484" s="21">
        <v>45774.0</v>
      </c>
      <c r="E484" s="21">
        <v>45780.0</v>
      </c>
      <c r="F484" s="20" t="s">
        <v>736</v>
      </c>
      <c r="G484" s="42" t="s">
        <v>199</v>
      </c>
      <c r="H484" s="20" t="s">
        <v>64</v>
      </c>
      <c r="I484" s="9" t="s">
        <v>287</v>
      </c>
      <c r="J484" s="43">
        <v>2025.0</v>
      </c>
      <c r="K484" s="42" t="s">
        <v>77</v>
      </c>
    </row>
    <row r="485" ht="12.75" customHeight="1">
      <c r="A485" s="42" t="s">
        <v>737</v>
      </c>
      <c r="B485" s="21">
        <v>45775.0</v>
      </c>
      <c r="C485" s="20" t="s">
        <v>163</v>
      </c>
      <c r="D485" s="21">
        <v>45774.0</v>
      </c>
      <c r="E485" s="21">
        <v>45780.0</v>
      </c>
      <c r="F485" s="20" t="s">
        <v>736</v>
      </c>
      <c r="G485" s="42" t="s">
        <v>199</v>
      </c>
      <c r="H485" s="20" t="s">
        <v>64</v>
      </c>
      <c r="I485" s="9" t="s">
        <v>287</v>
      </c>
      <c r="J485" s="43">
        <v>2025.0</v>
      </c>
      <c r="K485" s="42" t="s">
        <v>77</v>
      </c>
    </row>
    <row r="486" ht="12.75" customHeight="1">
      <c r="A486" s="42" t="s">
        <v>738</v>
      </c>
      <c r="B486" s="21">
        <v>45776.0</v>
      </c>
      <c r="C486" s="20" t="s">
        <v>169</v>
      </c>
      <c r="D486" s="21">
        <v>45774.0</v>
      </c>
      <c r="E486" s="21">
        <v>45780.0</v>
      </c>
      <c r="F486" s="20" t="s">
        <v>736</v>
      </c>
      <c r="G486" s="42" t="s">
        <v>199</v>
      </c>
      <c r="H486" s="20" t="s">
        <v>64</v>
      </c>
      <c r="I486" s="9" t="s">
        <v>287</v>
      </c>
      <c r="J486" s="43">
        <v>2025.0</v>
      </c>
      <c r="K486" s="42" t="s">
        <v>77</v>
      </c>
    </row>
    <row r="487" ht="12.75" customHeight="1">
      <c r="A487" s="42" t="s">
        <v>739</v>
      </c>
      <c r="B487" s="21">
        <v>45777.0</v>
      </c>
      <c r="C487" s="20" t="s">
        <v>171</v>
      </c>
      <c r="D487" s="21">
        <v>45774.0</v>
      </c>
      <c r="E487" s="21">
        <v>45780.0</v>
      </c>
      <c r="F487" s="20" t="s">
        <v>736</v>
      </c>
      <c r="G487" s="42" t="s">
        <v>199</v>
      </c>
      <c r="H487" s="20" t="s">
        <v>64</v>
      </c>
      <c r="I487" s="9" t="s">
        <v>287</v>
      </c>
      <c r="J487" s="43">
        <v>2025.0</v>
      </c>
      <c r="K487" s="42" t="s">
        <v>77</v>
      </c>
    </row>
    <row r="488" ht="12.75" customHeight="1">
      <c r="A488" s="42" t="s">
        <v>740</v>
      </c>
      <c r="B488" s="21">
        <v>45778.0</v>
      </c>
      <c r="C488" s="20" t="s">
        <v>173</v>
      </c>
      <c r="D488" s="21">
        <v>45774.0</v>
      </c>
      <c r="E488" s="21">
        <v>45780.0</v>
      </c>
      <c r="F488" s="20" t="s">
        <v>736</v>
      </c>
      <c r="G488" s="42" t="s">
        <v>208</v>
      </c>
      <c r="H488" s="20" t="s">
        <v>70</v>
      </c>
      <c r="I488" s="9" t="s">
        <v>287</v>
      </c>
      <c r="J488" s="43">
        <v>2025.0</v>
      </c>
      <c r="K488" s="42" t="s">
        <v>77</v>
      </c>
    </row>
    <row r="489" ht="12.75" customHeight="1">
      <c r="A489" s="42" t="s">
        <v>741</v>
      </c>
      <c r="B489" s="21">
        <v>45779.0</v>
      </c>
      <c r="C489" s="20" t="s">
        <v>175</v>
      </c>
      <c r="D489" s="21">
        <v>45774.0</v>
      </c>
      <c r="E489" s="21">
        <v>45780.0</v>
      </c>
      <c r="F489" s="20" t="s">
        <v>736</v>
      </c>
      <c r="G489" s="42" t="s">
        <v>208</v>
      </c>
      <c r="H489" s="20" t="s">
        <v>70</v>
      </c>
      <c r="I489" s="9" t="s">
        <v>287</v>
      </c>
      <c r="J489" s="43">
        <v>2025.0</v>
      </c>
      <c r="K489" s="42" t="s">
        <v>77</v>
      </c>
    </row>
    <row r="490" ht="12.75" customHeight="1">
      <c r="A490" s="42" t="s">
        <v>742</v>
      </c>
      <c r="B490" s="21">
        <v>45780.0</v>
      </c>
      <c r="C490" s="20" t="s">
        <v>177</v>
      </c>
      <c r="D490" s="21">
        <v>45774.0</v>
      </c>
      <c r="E490" s="21">
        <v>45780.0</v>
      </c>
      <c r="F490" s="20" t="s">
        <v>736</v>
      </c>
      <c r="G490" s="42" t="s">
        <v>208</v>
      </c>
      <c r="H490" s="20" t="s">
        <v>70</v>
      </c>
      <c r="I490" s="9" t="s">
        <v>287</v>
      </c>
      <c r="J490" s="43">
        <v>2025.0</v>
      </c>
      <c r="K490" s="42" t="s">
        <v>77</v>
      </c>
    </row>
    <row r="491" ht="12.75" customHeight="1">
      <c r="A491" s="42" t="s">
        <v>743</v>
      </c>
      <c r="B491" s="21">
        <v>45781.0</v>
      </c>
      <c r="C491" s="20" t="s">
        <v>179</v>
      </c>
      <c r="D491" s="21">
        <v>45781.0</v>
      </c>
      <c r="E491" s="21">
        <v>45787.0</v>
      </c>
      <c r="F491" s="20" t="s">
        <v>744</v>
      </c>
      <c r="G491" s="42" t="s">
        <v>208</v>
      </c>
      <c r="H491" s="20" t="s">
        <v>70</v>
      </c>
      <c r="I491" s="9" t="s">
        <v>287</v>
      </c>
      <c r="J491" s="43">
        <v>2025.0</v>
      </c>
      <c r="K491" s="42" t="s">
        <v>101</v>
      </c>
    </row>
    <row r="492" ht="12.75" customHeight="1">
      <c r="A492" s="42" t="s">
        <v>745</v>
      </c>
      <c r="B492" s="21">
        <v>45782.0</v>
      </c>
      <c r="C492" s="20" t="s">
        <v>163</v>
      </c>
      <c r="D492" s="21">
        <v>45781.0</v>
      </c>
      <c r="E492" s="21">
        <v>45787.0</v>
      </c>
      <c r="F492" s="20" t="s">
        <v>744</v>
      </c>
      <c r="G492" s="42" t="s">
        <v>208</v>
      </c>
      <c r="H492" s="20" t="s">
        <v>70</v>
      </c>
      <c r="I492" s="9" t="s">
        <v>287</v>
      </c>
      <c r="J492" s="43">
        <v>2025.0</v>
      </c>
      <c r="K492" s="42" t="s">
        <v>101</v>
      </c>
    </row>
    <row r="493" ht="12.75" customHeight="1">
      <c r="A493" s="42" t="s">
        <v>746</v>
      </c>
      <c r="B493" s="21">
        <v>45783.0</v>
      </c>
      <c r="C493" s="20" t="s">
        <v>169</v>
      </c>
      <c r="D493" s="21">
        <v>45781.0</v>
      </c>
      <c r="E493" s="21">
        <v>45787.0</v>
      </c>
      <c r="F493" s="20" t="s">
        <v>744</v>
      </c>
      <c r="G493" s="42" t="s">
        <v>208</v>
      </c>
      <c r="H493" s="20" t="s">
        <v>70</v>
      </c>
      <c r="I493" s="9" t="s">
        <v>287</v>
      </c>
      <c r="J493" s="43">
        <v>2025.0</v>
      </c>
      <c r="K493" s="42" t="s">
        <v>101</v>
      </c>
    </row>
    <row r="494" ht="12.75" customHeight="1">
      <c r="A494" s="42" t="s">
        <v>747</v>
      </c>
      <c r="B494" s="21">
        <v>45784.0</v>
      </c>
      <c r="C494" s="20" t="s">
        <v>171</v>
      </c>
      <c r="D494" s="21">
        <v>45781.0</v>
      </c>
      <c r="E494" s="21">
        <v>45787.0</v>
      </c>
      <c r="F494" s="20" t="s">
        <v>744</v>
      </c>
      <c r="G494" s="42" t="s">
        <v>208</v>
      </c>
      <c r="H494" s="20" t="s">
        <v>70</v>
      </c>
      <c r="I494" s="9" t="s">
        <v>287</v>
      </c>
      <c r="J494" s="43">
        <v>2025.0</v>
      </c>
      <c r="K494" s="42" t="s">
        <v>101</v>
      </c>
    </row>
    <row r="495" ht="12.75" customHeight="1">
      <c r="A495" s="42" t="s">
        <v>748</v>
      </c>
      <c r="B495" s="21">
        <v>45785.0</v>
      </c>
      <c r="C495" s="20" t="s">
        <v>173</v>
      </c>
      <c r="D495" s="21">
        <v>45781.0</v>
      </c>
      <c r="E495" s="21">
        <v>45787.0</v>
      </c>
      <c r="F495" s="20" t="s">
        <v>744</v>
      </c>
      <c r="G495" s="42" t="s">
        <v>208</v>
      </c>
      <c r="H495" s="20" t="s">
        <v>70</v>
      </c>
      <c r="I495" s="9" t="s">
        <v>287</v>
      </c>
      <c r="J495" s="43">
        <v>2025.0</v>
      </c>
      <c r="K495" s="42" t="s">
        <v>101</v>
      </c>
    </row>
    <row r="496" ht="12.75" customHeight="1">
      <c r="A496" s="42" t="s">
        <v>749</v>
      </c>
      <c r="B496" s="21">
        <v>45786.0</v>
      </c>
      <c r="C496" s="20" t="s">
        <v>175</v>
      </c>
      <c r="D496" s="21">
        <v>45781.0</v>
      </c>
      <c r="E496" s="21">
        <v>45787.0</v>
      </c>
      <c r="F496" s="20" t="s">
        <v>744</v>
      </c>
      <c r="G496" s="42" t="s">
        <v>208</v>
      </c>
      <c r="H496" s="20" t="s">
        <v>70</v>
      </c>
      <c r="I496" s="9" t="s">
        <v>287</v>
      </c>
      <c r="J496" s="43">
        <v>2025.0</v>
      </c>
      <c r="K496" s="42" t="s">
        <v>101</v>
      </c>
    </row>
    <row r="497" ht="12.75" customHeight="1">
      <c r="A497" s="42" t="s">
        <v>750</v>
      </c>
      <c r="B497" s="21">
        <v>45787.0</v>
      </c>
      <c r="C497" s="20" t="s">
        <v>177</v>
      </c>
      <c r="D497" s="21">
        <v>45781.0</v>
      </c>
      <c r="E497" s="21">
        <v>45787.0</v>
      </c>
      <c r="F497" s="20" t="s">
        <v>744</v>
      </c>
      <c r="G497" s="42" t="s">
        <v>208</v>
      </c>
      <c r="H497" s="20" t="s">
        <v>70</v>
      </c>
      <c r="I497" s="9" t="s">
        <v>287</v>
      </c>
      <c r="J497" s="43">
        <v>2025.0</v>
      </c>
      <c r="K497" s="42" t="s">
        <v>101</v>
      </c>
    </row>
    <row r="498" ht="12.75" customHeight="1">
      <c r="A498" s="42" t="s">
        <v>751</v>
      </c>
      <c r="B498" s="21">
        <v>45788.0</v>
      </c>
      <c r="C498" s="20" t="s">
        <v>179</v>
      </c>
      <c r="D498" s="21">
        <v>45788.0</v>
      </c>
      <c r="E498" s="21">
        <v>45794.0</v>
      </c>
      <c r="F498" s="20" t="s">
        <v>752</v>
      </c>
      <c r="G498" s="42" t="s">
        <v>208</v>
      </c>
      <c r="H498" s="20" t="s">
        <v>70</v>
      </c>
      <c r="I498" s="9" t="s">
        <v>287</v>
      </c>
      <c r="J498" s="43">
        <v>2025.0</v>
      </c>
      <c r="K498" s="42" t="s">
        <v>102</v>
      </c>
    </row>
    <row r="499" ht="12.75" customHeight="1">
      <c r="A499" s="42" t="s">
        <v>753</v>
      </c>
      <c r="B499" s="21">
        <v>45789.0</v>
      </c>
      <c r="C499" s="20" t="s">
        <v>163</v>
      </c>
      <c r="D499" s="21">
        <v>45788.0</v>
      </c>
      <c r="E499" s="21">
        <v>45794.0</v>
      </c>
      <c r="F499" s="20" t="s">
        <v>752</v>
      </c>
      <c r="G499" s="42" t="s">
        <v>208</v>
      </c>
      <c r="H499" s="20" t="s">
        <v>70</v>
      </c>
      <c r="I499" s="9" t="s">
        <v>287</v>
      </c>
      <c r="J499" s="43">
        <v>2025.0</v>
      </c>
      <c r="K499" s="42" t="s">
        <v>102</v>
      </c>
    </row>
    <row r="500" ht="12.75" customHeight="1">
      <c r="A500" s="42" t="s">
        <v>754</v>
      </c>
      <c r="B500" s="21">
        <v>45790.0</v>
      </c>
      <c r="C500" s="20" t="s">
        <v>169</v>
      </c>
      <c r="D500" s="21">
        <v>45788.0</v>
      </c>
      <c r="E500" s="21">
        <v>45794.0</v>
      </c>
      <c r="F500" s="20" t="s">
        <v>752</v>
      </c>
      <c r="G500" s="42" t="s">
        <v>208</v>
      </c>
      <c r="H500" s="20" t="s">
        <v>70</v>
      </c>
      <c r="I500" s="9" t="s">
        <v>287</v>
      </c>
      <c r="J500" s="43">
        <v>2025.0</v>
      </c>
      <c r="K500" s="42" t="s">
        <v>102</v>
      </c>
    </row>
    <row r="501" ht="12.75" customHeight="1">
      <c r="A501" s="42" t="s">
        <v>755</v>
      </c>
      <c r="B501" s="21">
        <v>45791.0</v>
      </c>
      <c r="C501" s="20" t="s">
        <v>171</v>
      </c>
      <c r="D501" s="21">
        <v>45788.0</v>
      </c>
      <c r="E501" s="21">
        <v>45794.0</v>
      </c>
      <c r="F501" s="20" t="s">
        <v>752</v>
      </c>
      <c r="G501" s="42" t="s">
        <v>208</v>
      </c>
      <c r="H501" s="20" t="s">
        <v>70</v>
      </c>
      <c r="I501" s="9" t="s">
        <v>287</v>
      </c>
      <c r="J501" s="43">
        <v>2025.0</v>
      </c>
      <c r="K501" s="42" t="s">
        <v>102</v>
      </c>
    </row>
    <row r="502" ht="12.75" customHeight="1">
      <c r="A502" s="42" t="s">
        <v>756</v>
      </c>
      <c r="B502" s="21">
        <v>45792.0</v>
      </c>
      <c r="C502" s="20" t="s">
        <v>173</v>
      </c>
      <c r="D502" s="21">
        <v>45788.0</v>
      </c>
      <c r="E502" s="21">
        <v>45794.0</v>
      </c>
      <c r="F502" s="20" t="s">
        <v>752</v>
      </c>
      <c r="G502" s="42" t="s">
        <v>208</v>
      </c>
      <c r="H502" s="20" t="s">
        <v>70</v>
      </c>
      <c r="I502" s="9" t="s">
        <v>287</v>
      </c>
      <c r="J502" s="43">
        <v>2025.0</v>
      </c>
      <c r="K502" s="42" t="s">
        <v>102</v>
      </c>
    </row>
    <row r="503" ht="12.75" customHeight="1">
      <c r="A503" s="42" t="s">
        <v>757</v>
      </c>
      <c r="B503" s="21">
        <v>45793.0</v>
      </c>
      <c r="C503" s="20" t="s">
        <v>175</v>
      </c>
      <c r="D503" s="21">
        <v>45788.0</v>
      </c>
      <c r="E503" s="21">
        <v>45794.0</v>
      </c>
      <c r="F503" s="20" t="s">
        <v>752</v>
      </c>
      <c r="G503" s="42" t="s">
        <v>208</v>
      </c>
      <c r="H503" s="20" t="s">
        <v>70</v>
      </c>
      <c r="I503" s="9" t="s">
        <v>287</v>
      </c>
      <c r="J503" s="43">
        <v>2025.0</v>
      </c>
      <c r="K503" s="42" t="s">
        <v>102</v>
      </c>
    </row>
    <row r="504" ht="12.75" customHeight="1">
      <c r="A504" s="42" t="s">
        <v>758</v>
      </c>
      <c r="B504" s="21">
        <v>45794.0</v>
      </c>
      <c r="C504" s="20" t="s">
        <v>177</v>
      </c>
      <c r="D504" s="21">
        <v>45788.0</v>
      </c>
      <c r="E504" s="21">
        <v>45794.0</v>
      </c>
      <c r="F504" s="20" t="s">
        <v>752</v>
      </c>
      <c r="G504" s="42" t="s">
        <v>208</v>
      </c>
      <c r="H504" s="20" t="s">
        <v>70</v>
      </c>
      <c r="I504" s="9" t="s">
        <v>287</v>
      </c>
      <c r="J504" s="43">
        <v>2025.0</v>
      </c>
      <c r="K504" s="42" t="s">
        <v>102</v>
      </c>
    </row>
    <row r="505" ht="12.75" customHeight="1">
      <c r="A505" s="42" t="s">
        <v>759</v>
      </c>
      <c r="B505" s="21">
        <v>45795.0</v>
      </c>
      <c r="C505" s="20" t="s">
        <v>179</v>
      </c>
      <c r="D505" s="21">
        <v>45795.0</v>
      </c>
      <c r="E505" s="21">
        <v>45801.0</v>
      </c>
      <c r="F505" s="20" t="s">
        <v>760</v>
      </c>
      <c r="G505" s="42" t="s">
        <v>208</v>
      </c>
      <c r="H505" s="20" t="s">
        <v>70</v>
      </c>
      <c r="I505" s="9" t="s">
        <v>287</v>
      </c>
      <c r="J505" s="43">
        <v>2025.0</v>
      </c>
      <c r="K505" s="42" t="s">
        <v>103</v>
      </c>
    </row>
    <row r="506" ht="12.75" customHeight="1">
      <c r="A506" s="42" t="s">
        <v>761</v>
      </c>
      <c r="B506" s="21">
        <v>45796.0</v>
      </c>
      <c r="C506" s="20" t="s">
        <v>163</v>
      </c>
      <c r="D506" s="21">
        <v>45795.0</v>
      </c>
      <c r="E506" s="21">
        <v>45801.0</v>
      </c>
      <c r="F506" s="20" t="s">
        <v>760</v>
      </c>
      <c r="G506" s="42" t="s">
        <v>208</v>
      </c>
      <c r="H506" s="20" t="s">
        <v>70</v>
      </c>
      <c r="I506" s="9" t="s">
        <v>287</v>
      </c>
      <c r="J506" s="43">
        <v>2025.0</v>
      </c>
      <c r="K506" s="42" t="s">
        <v>103</v>
      </c>
    </row>
    <row r="507" ht="12.75" customHeight="1">
      <c r="A507" s="42" t="s">
        <v>762</v>
      </c>
      <c r="B507" s="21">
        <v>45797.0</v>
      </c>
      <c r="C507" s="20" t="s">
        <v>169</v>
      </c>
      <c r="D507" s="21">
        <v>45795.0</v>
      </c>
      <c r="E507" s="21">
        <v>45801.0</v>
      </c>
      <c r="F507" s="20" t="s">
        <v>760</v>
      </c>
      <c r="G507" s="42" t="s">
        <v>208</v>
      </c>
      <c r="H507" s="20" t="s">
        <v>70</v>
      </c>
      <c r="I507" s="9" t="s">
        <v>287</v>
      </c>
      <c r="J507" s="43">
        <v>2025.0</v>
      </c>
      <c r="K507" s="42" t="s">
        <v>103</v>
      </c>
    </row>
    <row r="508" ht="12.75" customHeight="1">
      <c r="A508" s="42" t="s">
        <v>763</v>
      </c>
      <c r="B508" s="21">
        <v>45798.0</v>
      </c>
      <c r="C508" s="20" t="s">
        <v>171</v>
      </c>
      <c r="D508" s="21">
        <v>45795.0</v>
      </c>
      <c r="E508" s="21">
        <v>45801.0</v>
      </c>
      <c r="F508" s="20" t="s">
        <v>760</v>
      </c>
      <c r="G508" s="42" t="s">
        <v>208</v>
      </c>
      <c r="H508" s="20" t="s">
        <v>70</v>
      </c>
      <c r="I508" s="9" t="s">
        <v>287</v>
      </c>
      <c r="J508" s="43">
        <v>2025.0</v>
      </c>
      <c r="K508" s="42" t="s">
        <v>103</v>
      </c>
    </row>
    <row r="509" ht="12.75" customHeight="1">
      <c r="A509" s="42" t="s">
        <v>764</v>
      </c>
      <c r="B509" s="21">
        <v>45799.0</v>
      </c>
      <c r="C509" s="20" t="s">
        <v>173</v>
      </c>
      <c r="D509" s="21">
        <v>45795.0</v>
      </c>
      <c r="E509" s="21">
        <v>45801.0</v>
      </c>
      <c r="F509" s="20" t="s">
        <v>760</v>
      </c>
      <c r="G509" s="42" t="s">
        <v>208</v>
      </c>
      <c r="H509" s="20" t="s">
        <v>70</v>
      </c>
      <c r="I509" s="9" t="s">
        <v>287</v>
      </c>
      <c r="J509" s="43">
        <v>2025.0</v>
      </c>
      <c r="K509" s="42" t="s">
        <v>103</v>
      </c>
    </row>
    <row r="510" ht="12.75" customHeight="1">
      <c r="A510" s="42" t="s">
        <v>765</v>
      </c>
      <c r="B510" s="21">
        <v>45800.0</v>
      </c>
      <c r="C510" s="20" t="s">
        <v>175</v>
      </c>
      <c r="D510" s="21">
        <v>45795.0</v>
      </c>
      <c r="E510" s="21">
        <v>45801.0</v>
      </c>
      <c r="F510" s="20" t="s">
        <v>760</v>
      </c>
      <c r="G510" s="42" t="s">
        <v>208</v>
      </c>
      <c r="H510" s="20" t="s">
        <v>70</v>
      </c>
      <c r="I510" s="9" t="s">
        <v>287</v>
      </c>
      <c r="J510" s="43">
        <v>2025.0</v>
      </c>
      <c r="K510" s="42" t="s">
        <v>103</v>
      </c>
    </row>
    <row r="511" ht="12.75" customHeight="1">
      <c r="A511" s="42" t="s">
        <v>766</v>
      </c>
      <c r="B511" s="21">
        <v>45801.0</v>
      </c>
      <c r="C511" s="20" t="s">
        <v>177</v>
      </c>
      <c r="D511" s="21">
        <v>45795.0</v>
      </c>
      <c r="E511" s="21">
        <v>45801.0</v>
      </c>
      <c r="F511" s="20" t="s">
        <v>760</v>
      </c>
      <c r="G511" s="42" t="s">
        <v>208</v>
      </c>
      <c r="H511" s="20" t="s">
        <v>70</v>
      </c>
      <c r="I511" s="9" t="s">
        <v>287</v>
      </c>
      <c r="J511" s="43">
        <v>2025.0</v>
      </c>
      <c r="K511" s="42" t="s">
        <v>103</v>
      </c>
    </row>
    <row r="512" ht="12.75" customHeight="1">
      <c r="A512" s="42" t="s">
        <v>767</v>
      </c>
      <c r="B512" s="21">
        <v>45802.0</v>
      </c>
      <c r="C512" s="20" t="s">
        <v>179</v>
      </c>
      <c r="D512" s="21">
        <v>45802.0</v>
      </c>
      <c r="E512" s="21">
        <v>45808.0</v>
      </c>
      <c r="F512" s="20" t="s">
        <v>768</v>
      </c>
      <c r="G512" s="42" t="s">
        <v>208</v>
      </c>
      <c r="H512" s="20" t="s">
        <v>70</v>
      </c>
      <c r="I512" s="9" t="s">
        <v>287</v>
      </c>
      <c r="J512" s="43">
        <v>2025.0</v>
      </c>
      <c r="K512" s="42" t="s">
        <v>104</v>
      </c>
    </row>
    <row r="513" ht="12.75" customHeight="1">
      <c r="A513" s="42" t="s">
        <v>769</v>
      </c>
      <c r="B513" s="21">
        <v>45803.0</v>
      </c>
      <c r="C513" s="20" t="s">
        <v>163</v>
      </c>
      <c r="D513" s="21">
        <v>45802.0</v>
      </c>
      <c r="E513" s="21">
        <v>45808.0</v>
      </c>
      <c r="F513" s="20" t="s">
        <v>768</v>
      </c>
      <c r="G513" s="42" t="s">
        <v>208</v>
      </c>
      <c r="H513" s="20" t="s">
        <v>70</v>
      </c>
      <c r="I513" s="9" t="s">
        <v>287</v>
      </c>
      <c r="J513" s="43">
        <v>2025.0</v>
      </c>
      <c r="K513" s="42" t="s">
        <v>104</v>
      </c>
    </row>
    <row r="514" ht="12.75" customHeight="1">
      <c r="A514" s="42" t="s">
        <v>770</v>
      </c>
      <c r="B514" s="21">
        <v>45804.0</v>
      </c>
      <c r="C514" s="20" t="s">
        <v>169</v>
      </c>
      <c r="D514" s="21">
        <v>45802.0</v>
      </c>
      <c r="E514" s="21">
        <v>45808.0</v>
      </c>
      <c r="F514" s="20" t="s">
        <v>768</v>
      </c>
      <c r="G514" s="42" t="s">
        <v>208</v>
      </c>
      <c r="H514" s="20" t="s">
        <v>70</v>
      </c>
      <c r="I514" s="9" t="s">
        <v>287</v>
      </c>
      <c r="J514" s="43">
        <v>2025.0</v>
      </c>
      <c r="K514" s="42" t="s">
        <v>104</v>
      </c>
    </row>
    <row r="515" ht="12.75" customHeight="1">
      <c r="A515" s="42" t="s">
        <v>771</v>
      </c>
      <c r="B515" s="21">
        <v>45805.0</v>
      </c>
      <c r="C515" s="20" t="s">
        <v>171</v>
      </c>
      <c r="D515" s="21">
        <v>45802.0</v>
      </c>
      <c r="E515" s="21">
        <v>45808.0</v>
      </c>
      <c r="F515" s="20" t="s">
        <v>768</v>
      </c>
      <c r="G515" s="42" t="s">
        <v>208</v>
      </c>
      <c r="H515" s="20" t="s">
        <v>70</v>
      </c>
      <c r="I515" s="9" t="s">
        <v>287</v>
      </c>
      <c r="J515" s="43">
        <v>2025.0</v>
      </c>
      <c r="K515" s="42" t="s">
        <v>104</v>
      </c>
    </row>
    <row r="516" ht="12.75" customHeight="1">
      <c r="A516" s="42" t="s">
        <v>772</v>
      </c>
      <c r="B516" s="21">
        <v>45806.0</v>
      </c>
      <c r="C516" s="20" t="s">
        <v>173</v>
      </c>
      <c r="D516" s="21">
        <v>45802.0</v>
      </c>
      <c r="E516" s="21">
        <v>45808.0</v>
      </c>
      <c r="F516" s="20" t="s">
        <v>768</v>
      </c>
      <c r="G516" s="42" t="s">
        <v>208</v>
      </c>
      <c r="H516" s="20" t="s">
        <v>70</v>
      </c>
      <c r="I516" s="9" t="s">
        <v>287</v>
      </c>
      <c r="J516" s="43">
        <v>2025.0</v>
      </c>
      <c r="K516" s="42" t="s">
        <v>104</v>
      </c>
    </row>
    <row r="517" ht="12.75" customHeight="1">
      <c r="A517" s="42" t="s">
        <v>773</v>
      </c>
      <c r="B517" s="21">
        <v>45807.0</v>
      </c>
      <c r="C517" s="20" t="s">
        <v>175</v>
      </c>
      <c r="D517" s="21">
        <v>45802.0</v>
      </c>
      <c r="E517" s="21">
        <v>45808.0</v>
      </c>
      <c r="F517" s="20" t="s">
        <v>768</v>
      </c>
      <c r="G517" s="42" t="s">
        <v>208</v>
      </c>
      <c r="H517" s="20" t="s">
        <v>70</v>
      </c>
      <c r="I517" s="9" t="s">
        <v>287</v>
      </c>
      <c r="J517" s="43">
        <v>2025.0</v>
      </c>
      <c r="K517" s="42" t="s">
        <v>104</v>
      </c>
    </row>
    <row r="518" ht="12.75" customHeight="1">
      <c r="A518" s="42" t="s">
        <v>774</v>
      </c>
      <c r="B518" s="21">
        <v>45808.0</v>
      </c>
      <c r="C518" s="20" t="s">
        <v>177</v>
      </c>
      <c r="D518" s="21">
        <v>45802.0</v>
      </c>
      <c r="E518" s="21">
        <v>45808.0</v>
      </c>
      <c r="F518" s="20" t="s">
        <v>768</v>
      </c>
      <c r="G518" s="42" t="s">
        <v>208</v>
      </c>
      <c r="H518" s="20" t="s">
        <v>70</v>
      </c>
      <c r="I518" s="9" t="s">
        <v>287</v>
      </c>
      <c r="J518" s="43">
        <v>2025.0</v>
      </c>
      <c r="K518" s="42" t="s">
        <v>104</v>
      </c>
    </row>
    <row r="519" ht="12.75" customHeight="1">
      <c r="A519" s="42" t="s">
        <v>775</v>
      </c>
      <c r="B519" s="21">
        <v>45809.0</v>
      </c>
      <c r="C519" s="20" t="s">
        <v>179</v>
      </c>
      <c r="D519" s="21">
        <v>45809.0</v>
      </c>
      <c r="E519" s="21">
        <v>45815.0</v>
      </c>
      <c r="F519" s="20" t="s">
        <v>776</v>
      </c>
      <c r="G519" s="42" t="s">
        <v>218</v>
      </c>
      <c r="H519" s="20" t="s">
        <v>68</v>
      </c>
      <c r="I519" s="9" t="s">
        <v>287</v>
      </c>
      <c r="J519" s="43">
        <v>2025.0</v>
      </c>
      <c r="K519" s="42" t="s">
        <v>91</v>
      </c>
    </row>
    <row r="520" ht="12.75" customHeight="1">
      <c r="A520" s="42" t="s">
        <v>777</v>
      </c>
      <c r="B520" s="21">
        <v>45810.0</v>
      </c>
      <c r="C520" s="20" t="s">
        <v>163</v>
      </c>
      <c r="D520" s="21">
        <v>45809.0</v>
      </c>
      <c r="E520" s="21">
        <v>45815.0</v>
      </c>
      <c r="F520" s="20" t="s">
        <v>776</v>
      </c>
      <c r="G520" s="42" t="s">
        <v>218</v>
      </c>
      <c r="H520" s="20" t="s">
        <v>68</v>
      </c>
      <c r="I520" s="9" t="s">
        <v>287</v>
      </c>
      <c r="J520" s="43">
        <v>2025.0</v>
      </c>
      <c r="K520" s="42" t="s">
        <v>91</v>
      </c>
    </row>
    <row r="521" ht="12.75" customHeight="1">
      <c r="A521" s="42" t="s">
        <v>778</v>
      </c>
      <c r="B521" s="21">
        <v>45811.0</v>
      </c>
      <c r="C521" s="20" t="s">
        <v>169</v>
      </c>
      <c r="D521" s="21">
        <v>45809.0</v>
      </c>
      <c r="E521" s="21">
        <v>45815.0</v>
      </c>
      <c r="F521" s="20" t="s">
        <v>776</v>
      </c>
      <c r="G521" s="42" t="s">
        <v>218</v>
      </c>
      <c r="H521" s="20" t="s">
        <v>68</v>
      </c>
      <c r="I521" s="9" t="s">
        <v>287</v>
      </c>
      <c r="J521" s="43">
        <v>2025.0</v>
      </c>
      <c r="K521" s="42" t="s">
        <v>91</v>
      </c>
    </row>
    <row r="522" ht="12.75" customHeight="1">
      <c r="A522" s="42" t="s">
        <v>779</v>
      </c>
      <c r="B522" s="21">
        <v>45812.0</v>
      </c>
      <c r="C522" s="20" t="s">
        <v>171</v>
      </c>
      <c r="D522" s="21">
        <v>45809.0</v>
      </c>
      <c r="E522" s="21">
        <v>45815.0</v>
      </c>
      <c r="F522" s="20" t="s">
        <v>776</v>
      </c>
      <c r="G522" s="42" t="s">
        <v>218</v>
      </c>
      <c r="H522" s="20" t="s">
        <v>68</v>
      </c>
      <c r="I522" s="9" t="s">
        <v>287</v>
      </c>
      <c r="J522" s="43">
        <v>2025.0</v>
      </c>
      <c r="K522" s="42" t="s">
        <v>91</v>
      </c>
    </row>
    <row r="523" ht="12.75" customHeight="1">
      <c r="A523" s="42" t="s">
        <v>780</v>
      </c>
      <c r="B523" s="21">
        <v>45813.0</v>
      </c>
      <c r="C523" s="20" t="s">
        <v>173</v>
      </c>
      <c r="D523" s="21">
        <v>45809.0</v>
      </c>
      <c r="E523" s="21">
        <v>45815.0</v>
      </c>
      <c r="F523" s="20" t="s">
        <v>776</v>
      </c>
      <c r="G523" s="42" t="s">
        <v>218</v>
      </c>
      <c r="H523" s="20" t="s">
        <v>68</v>
      </c>
      <c r="I523" s="9" t="s">
        <v>287</v>
      </c>
      <c r="J523" s="43">
        <v>2025.0</v>
      </c>
      <c r="K523" s="42" t="s">
        <v>91</v>
      </c>
    </row>
    <row r="524" ht="12.75" customHeight="1">
      <c r="A524" s="42" t="s">
        <v>781</v>
      </c>
      <c r="B524" s="21">
        <v>45814.0</v>
      </c>
      <c r="C524" s="20" t="s">
        <v>175</v>
      </c>
      <c r="D524" s="21">
        <v>45809.0</v>
      </c>
      <c r="E524" s="21">
        <v>45815.0</v>
      </c>
      <c r="F524" s="20" t="s">
        <v>776</v>
      </c>
      <c r="G524" s="42" t="s">
        <v>218</v>
      </c>
      <c r="H524" s="20" t="s">
        <v>68</v>
      </c>
      <c r="I524" s="9" t="s">
        <v>287</v>
      </c>
      <c r="J524" s="43">
        <v>2025.0</v>
      </c>
      <c r="K524" s="42" t="s">
        <v>91</v>
      </c>
    </row>
    <row r="525" ht="12.75" customHeight="1">
      <c r="A525" s="42" t="s">
        <v>782</v>
      </c>
      <c r="B525" s="21">
        <v>45815.0</v>
      </c>
      <c r="C525" s="20" t="s">
        <v>177</v>
      </c>
      <c r="D525" s="21">
        <v>45809.0</v>
      </c>
      <c r="E525" s="21">
        <v>45815.0</v>
      </c>
      <c r="F525" s="20" t="s">
        <v>776</v>
      </c>
      <c r="G525" s="42" t="s">
        <v>218</v>
      </c>
      <c r="H525" s="20" t="s">
        <v>68</v>
      </c>
      <c r="I525" s="9" t="s">
        <v>287</v>
      </c>
      <c r="J525" s="43">
        <v>2025.0</v>
      </c>
      <c r="K525" s="42" t="s">
        <v>91</v>
      </c>
    </row>
    <row r="526" ht="12.75" customHeight="1">
      <c r="A526" s="42" t="s">
        <v>783</v>
      </c>
      <c r="B526" s="21">
        <v>45816.0</v>
      </c>
      <c r="C526" s="20" t="s">
        <v>179</v>
      </c>
      <c r="D526" s="21">
        <v>45816.0</v>
      </c>
      <c r="E526" s="21">
        <v>45822.0</v>
      </c>
      <c r="F526" s="20" t="s">
        <v>784</v>
      </c>
      <c r="G526" s="42" t="s">
        <v>218</v>
      </c>
      <c r="H526" s="20" t="s">
        <v>68</v>
      </c>
      <c r="I526" s="9" t="s">
        <v>287</v>
      </c>
      <c r="J526" s="43">
        <v>2025.0</v>
      </c>
      <c r="K526" s="42" t="s">
        <v>92</v>
      </c>
    </row>
    <row r="527" ht="12.75" customHeight="1">
      <c r="A527" s="42" t="s">
        <v>785</v>
      </c>
      <c r="B527" s="21">
        <v>45817.0</v>
      </c>
      <c r="C527" s="20" t="s">
        <v>163</v>
      </c>
      <c r="D527" s="21">
        <v>45816.0</v>
      </c>
      <c r="E527" s="21">
        <v>45822.0</v>
      </c>
      <c r="F527" s="20" t="s">
        <v>784</v>
      </c>
      <c r="G527" s="42" t="s">
        <v>218</v>
      </c>
      <c r="H527" s="20" t="s">
        <v>68</v>
      </c>
      <c r="I527" s="9" t="s">
        <v>287</v>
      </c>
      <c r="J527" s="43">
        <v>2025.0</v>
      </c>
      <c r="K527" s="42" t="s">
        <v>92</v>
      </c>
    </row>
    <row r="528" ht="12.75" customHeight="1">
      <c r="A528" s="42" t="s">
        <v>786</v>
      </c>
      <c r="B528" s="21">
        <v>45818.0</v>
      </c>
      <c r="C528" s="20" t="s">
        <v>169</v>
      </c>
      <c r="D528" s="21">
        <v>45816.0</v>
      </c>
      <c r="E528" s="21">
        <v>45822.0</v>
      </c>
      <c r="F528" s="20" t="s">
        <v>784</v>
      </c>
      <c r="G528" s="42" t="s">
        <v>218</v>
      </c>
      <c r="H528" s="20" t="s">
        <v>68</v>
      </c>
      <c r="I528" s="9" t="s">
        <v>287</v>
      </c>
      <c r="J528" s="43">
        <v>2025.0</v>
      </c>
      <c r="K528" s="42" t="s">
        <v>92</v>
      </c>
    </row>
    <row r="529" ht="12.75" customHeight="1">
      <c r="A529" s="42" t="s">
        <v>787</v>
      </c>
      <c r="B529" s="21">
        <v>45819.0</v>
      </c>
      <c r="C529" s="20" t="s">
        <v>171</v>
      </c>
      <c r="D529" s="21">
        <v>45816.0</v>
      </c>
      <c r="E529" s="21">
        <v>45822.0</v>
      </c>
      <c r="F529" s="20" t="s">
        <v>784</v>
      </c>
      <c r="G529" s="42" t="s">
        <v>218</v>
      </c>
      <c r="H529" s="20" t="s">
        <v>68</v>
      </c>
      <c r="I529" s="9" t="s">
        <v>287</v>
      </c>
      <c r="J529" s="43">
        <v>2025.0</v>
      </c>
      <c r="K529" s="42" t="s">
        <v>92</v>
      </c>
    </row>
    <row r="530" ht="12.75" customHeight="1">
      <c r="A530" s="42" t="s">
        <v>788</v>
      </c>
      <c r="B530" s="21">
        <v>45820.0</v>
      </c>
      <c r="C530" s="20" t="s">
        <v>173</v>
      </c>
      <c r="D530" s="21">
        <v>45816.0</v>
      </c>
      <c r="E530" s="21">
        <v>45822.0</v>
      </c>
      <c r="F530" s="20" t="s">
        <v>784</v>
      </c>
      <c r="G530" s="42" t="s">
        <v>218</v>
      </c>
      <c r="H530" s="20" t="s">
        <v>68</v>
      </c>
      <c r="I530" s="9" t="s">
        <v>287</v>
      </c>
      <c r="J530" s="43">
        <v>2025.0</v>
      </c>
      <c r="K530" s="42" t="s">
        <v>92</v>
      </c>
    </row>
    <row r="531" ht="12.75" customHeight="1">
      <c r="A531" s="42" t="s">
        <v>789</v>
      </c>
      <c r="B531" s="21">
        <v>45821.0</v>
      </c>
      <c r="C531" s="20" t="s">
        <v>175</v>
      </c>
      <c r="D531" s="21">
        <v>45816.0</v>
      </c>
      <c r="E531" s="21">
        <v>45822.0</v>
      </c>
      <c r="F531" s="20" t="s">
        <v>784</v>
      </c>
      <c r="G531" s="42" t="s">
        <v>218</v>
      </c>
      <c r="H531" s="20" t="s">
        <v>68</v>
      </c>
      <c r="I531" s="9" t="s">
        <v>287</v>
      </c>
      <c r="J531" s="43">
        <v>2025.0</v>
      </c>
      <c r="K531" s="42" t="s">
        <v>92</v>
      </c>
    </row>
    <row r="532" ht="12.75" customHeight="1">
      <c r="A532" s="42" t="s">
        <v>790</v>
      </c>
      <c r="B532" s="21">
        <v>45822.0</v>
      </c>
      <c r="C532" s="20" t="s">
        <v>177</v>
      </c>
      <c r="D532" s="21">
        <v>45816.0</v>
      </c>
      <c r="E532" s="21">
        <v>45822.0</v>
      </c>
      <c r="F532" s="20" t="s">
        <v>784</v>
      </c>
      <c r="G532" s="42" t="s">
        <v>218</v>
      </c>
      <c r="H532" s="20" t="s">
        <v>68</v>
      </c>
      <c r="I532" s="9" t="s">
        <v>287</v>
      </c>
      <c r="J532" s="43">
        <v>2025.0</v>
      </c>
      <c r="K532" s="42" t="s">
        <v>92</v>
      </c>
    </row>
    <row r="533" ht="12.75" customHeight="1">
      <c r="A533" s="42" t="s">
        <v>791</v>
      </c>
      <c r="B533" s="21">
        <v>45823.0</v>
      </c>
      <c r="C533" s="20" t="s">
        <v>179</v>
      </c>
      <c r="D533" s="21">
        <v>45823.0</v>
      </c>
      <c r="E533" s="21">
        <v>45829.0</v>
      </c>
      <c r="F533" s="20" t="s">
        <v>792</v>
      </c>
      <c r="G533" s="42" t="s">
        <v>218</v>
      </c>
      <c r="H533" s="20" t="s">
        <v>68</v>
      </c>
      <c r="I533" s="9" t="s">
        <v>287</v>
      </c>
      <c r="J533" s="43">
        <v>2025.0</v>
      </c>
      <c r="K533" s="42" t="s">
        <v>93</v>
      </c>
    </row>
    <row r="534" ht="12.75" customHeight="1">
      <c r="A534" s="42" t="s">
        <v>793</v>
      </c>
      <c r="B534" s="21">
        <v>45824.0</v>
      </c>
      <c r="C534" s="20" t="s">
        <v>163</v>
      </c>
      <c r="D534" s="21">
        <v>45823.0</v>
      </c>
      <c r="E534" s="21">
        <v>45829.0</v>
      </c>
      <c r="F534" s="20" t="s">
        <v>792</v>
      </c>
      <c r="G534" s="42" t="s">
        <v>218</v>
      </c>
      <c r="H534" s="20" t="s">
        <v>68</v>
      </c>
      <c r="I534" s="9" t="s">
        <v>287</v>
      </c>
      <c r="J534" s="43">
        <v>2025.0</v>
      </c>
      <c r="K534" s="42" t="s">
        <v>93</v>
      </c>
    </row>
    <row r="535" ht="12.75" customHeight="1">
      <c r="A535" s="42" t="s">
        <v>794</v>
      </c>
      <c r="B535" s="21">
        <v>45825.0</v>
      </c>
      <c r="C535" s="20" t="s">
        <v>169</v>
      </c>
      <c r="D535" s="21">
        <v>45823.0</v>
      </c>
      <c r="E535" s="21">
        <v>45829.0</v>
      </c>
      <c r="F535" s="20" t="s">
        <v>792</v>
      </c>
      <c r="G535" s="42" t="s">
        <v>218</v>
      </c>
      <c r="H535" s="20" t="s">
        <v>68</v>
      </c>
      <c r="I535" s="9" t="s">
        <v>287</v>
      </c>
      <c r="J535" s="43">
        <v>2025.0</v>
      </c>
      <c r="K535" s="42" t="s">
        <v>93</v>
      </c>
    </row>
    <row r="536" ht="12.75" customHeight="1">
      <c r="A536" s="42" t="s">
        <v>795</v>
      </c>
      <c r="B536" s="21">
        <v>45826.0</v>
      </c>
      <c r="C536" s="20" t="s">
        <v>171</v>
      </c>
      <c r="D536" s="21">
        <v>45823.0</v>
      </c>
      <c r="E536" s="21">
        <v>45829.0</v>
      </c>
      <c r="F536" s="20" t="s">
        <v>792</v>
      </c>
      <c r="G536" s="42" t="s">
        <v>218</v>
      </c>
      <c r="H536" s="20" t="s">
        <v>68</v>
      </c>
      <c r="I536" s="9" t="s">
        <v>287</v>
      </c>
      <c r="J536" s="43">
        <v>2025.0</v>
      </c>
      <c r="K536" s="42" t="s">
        <v>93</v>
      </c>
    </row>
    <row r="537" ht="12.75" customHeight="1">
      <c r="A537" s="42" t="s">
        <v>796</v>
      </c>
      <c r="B537" s="21">
        <v>45827.0</v>
      </c>
      <c r="C537" s="20" t="s">
        <v>173</v>
      </c>
      <c r="D537" s="21">
        <v>45823.0</v>
      </c>
      <c r="E537" s="21">
        <v>45829.0</v>
      </c>
      <c r="F537" s="20" t="s">
        <v>792</v>
      </c>
      <c r="G537" s="42" t="s">
        <v>218</v>
      </c>
      <c r="H537" s="20" t="s">
        <v>68</v>
      </c>
      <c r="I537" s="9" t="s">
        <v>287</v>
      </c>
      <c r="J537" s="43">
        <v>2025.0</v>
      </c>
      <c r="K537" s="42" t="s">
        <v>93</v>
      </c>
    </row>
    <row r="538" ht="12.75" customHeight="1">
      <c r="A538" s="42" t="s">
        <v>797</v>
      </c>
      <c r="B538" s="21">
        <v>45828.0</v>
      </c>
      <c r="C538" s="20" t="s">
        <v>175</v>
      </c>
      <c r="D538" s="21">
        <v>45823.0</v>
      </c>
      <c r="E538" s="21">
        <v>45829.0</v>
      </c>
      <c r="F538" s="20" t="s">
        <v>792</v>
      </c>
      <c r="G538" s="42" t="s">
        <v>218</v>
      </c>
      <c r="H538" s="20" t="s">
        <v>68</v>
      </c>
      <c r="I538" s="9" t="s">
        <v>287</v>
      </c>
      <c r="J538" s="43">
        <v>2025.0</v>
      </c>
      <c r="K538" s="42" t="s">
        <v>93</v>
      </c>
    </row>
    <row r="539" ht="12.75" customHeight="1">
      <c r="A539" s="42" t="s">
        <v>798</v>
      </c>
      <c r="B539" s="21">
        <v>45829.0</v>
      </c>
      <c r="C539" s="20" t="s">
        <v>177</v>
      </c>
      <c r="D539" s="21">
        <v>45823.0</v>
      </c>
      <c r="E539" s="21">
        <v>45829.0</v>
      </c>
      <c r="F539" s="20" t="s">
        <v>792</v>
      </c>
      <c r="G539" s="42" t="s">
        <v>218</v>
      </c>
      <c r="H539" s="20" t="s">
        <v>68</v>
      </c>
      <c r="I539" s="9" t="s">
        <v>287</v>
      </c>
      <c r="J539" s="43">
        <v>2025.0</v>
      </c>
      <c r="K539" s="42" t="s">
        <v>93</v>
      </c>
    </row>
    <row r="540" ht="12.75" customHeight="1">
      <c r="A540" s="42" t="s">
        <v>799</v>
      </c>
      <c r="B540" s="21">
        <v>45830.0</v>
      </c>
      <c r="C540" s="20" t="s">
        <v>179</v>
      </c>
      <c r="D540" s="21">
        <v>45830.0</v>
      </c>
      <c r="E540" s="21">
        <v>45836.0</v>
      </c>
      <c r="F540" s="20" t="s">
        <v>800</v>
      </c>
      <c r="G540" s="42" t="s">
        <v>218</v>
      </c>
      <c r="H540" s="20" t="s">
        <v>68</v>
      </c>
      <c r="I540" s="9" t="s">
        <v>287</v>
      </c>
      <c r="J540" s="43">
        <v>2025.0</v>
      </c>
      <c r="K540" s="42" t="s">
        <v>94</v>
      </c>
    </row>
    <row r="541" ht="12.75" customHeight="1">
      <c r="A541" s="42" t="s">
        <v>801</v>
      </c>
      <c r="B541" s="21">
        <v>45831.0</v>
      </c>
      <c r="C541" s="20" t="s">
        <v>163</v>
      </c>
      <c r="D541" s="21">
        <v>45830.0</v>
      </c>
      <c r="E541" s="21">
        <v>45836.0</v>
      </c>
      <c r="F541" s="20" t="s">
        <v>800</v>
      </c>
      <c r="G541" s="42" t="s">
        <v>218</v>
      </c>
      <c r="H541" s="20" t="s">
        <v>68</v>
      </c>
      <c r="I541" s="9" t="s">
        <v>287</v>
      </c>
      <c r="J541" s="43">
        <v>2025.0</v>
      </c>
      <c r="K541" s="42" t="s">
        <v>94</v>
      </c>
    </row>
    <row r="542" ht="12.75" customHeight="1">
      <c r="A542" s="42" t="s">
        <v>802</v>
      </c>
      <c r="B542" s="21">
        <v>45832.0</v>
      </c>
      <c r="C542" s="20" t="s">
        <v>169</v>
      </c>
      <c r="D542" s="21">
        <v>45830.0</v>
      </c>
      <c r="E542" s="21">
        <v>45836.0</v>
      </c>
      <c r="F542" s="20" t="s">
        <v>800</v>
      </c>
      <c r="G542" s="42" t="s">
        <v>218</v>
      </c>
      <c r="H542" s="20" t="s">
        <v>68</v>
      </c>
      <c r="I542" s="9" t="s">
        <v>287</v>
      </c>
      <c r="J542" s="43">
        <v>2025.0</v>
      </c>
      <c r="K542" s="42" t="s">
        <v>94</v>
      </c>
    </row>
    <row r="543" ht="12.75" customHeight="1">
      <c r="A543" s="42" t="s">
        <v>803</v>
      </c>
      <c r="B543" s="21">
        <v>45833.0</v>
      </c>
      <c r="C543" s="20" t="s">
        <v>171</v>
      </c>
      <c r="D543" s="21">
        <v>45830.0</v>
      </c>
      <c r="E543" s="21">
        <v>45836.0</v>
      </c>
      <c r="F543" s="20" t="s">
        <v>800</v>
      </c>
      <c r="G543" s="42" t="s">
        <v>218</v>
      </c>
      <c r="H543" s="20" t="s">
        <v>68</v>
      </c>
      <c r="I543" s="9" t="s">
        <v>287</v>
      </c>
      <c r="J543" s="43">
        <v>2025.0</v>
      </c>
      <c r="K543" s="42" t="s">
        <v>94</v>
      </c>
    </row>
    <row r="544" ht="12.75" customHeight="1">
      <c r="A544" s="42" t="s">
        <v>804</v>
      </c>
      <c r="B544" s="21">
        <v>45834.0</v>
      </c>
      <c r="C544" s="20" t="s">
        <v>173</v>
      </c>
      <c r="D544" s="21">
        <v>45830.0</v>
      </c>
      <c r="E544" s="21">
        <v>45836.0</v>
      </c>
      <c r="F544" s="20" t="s">
        <v>800</v>
      </c>
      <c r="G544" s="42" t="s">
        <v>218</v>
      </c>
      <c r="H544" s="20" t="s">
        <v>68</v>
      </c>
      <c r="I544" s="9" t="s">
        <v>287</v>
      </c>
      <c r="J544" s="43">
        <v>2025.0</v>
      </c>
      <c r="K544" s="42" t="s">
        <v>94</v>
      </c>
    </row>
    <row r="545" ht="12.75" customHeight="1">
      <c r="A545" s="42" t="s">
        <v>805</v>
      </c>
      <c r="B545" s="21">
        <v>45835.0</v>
      </c>
      <c r="C545" s="20" t="s">
        <v>175</v>
      </c>
      <c r="D545" s="21">
        <v>45830.0</v>
      </c>
      <c r="E545" s="21">
        <v>45836.0</v>
      </c>
      <c r="F545" s="20" t="s">
        <v>800</v>
      </c>
      <c r="G545" s="42" t="s">
        <v>218</v>
      </c>
      <c r="H545" s="20" t="s">
        <v>68</v>
      </c>
      <c r="I545" s="9" t="s">
        <v>287</v>
      </c>
      <c r="J545" s="43">
        <v>2025.0</v>
      </c>
      <c r="K545" s="42" t="s">
        <v>94</v>
      </c>
    </row>
    <row r="546" ht="12.75" customHeight="1">
      <c r="A546" s="42" t="s">
        <v>806</v>
      </c>
      <c r="B546" s="21">
        <v>45836.0</v>
      </c>
      <c r="C546" s="20" t="s">
        <v>177</v>
      </c>
      <c r="D546" s="21">
        <v>45830.0</v>
      </c>
      <c r="E546" s="21">
        <v>45836.0</v>
      </c>
      <c r="F546" s="20" t="s">
        <v>800</v>
      </c>
      <c r="G546" s="42" t="s">
        <v>218</v>
      </c>
      <c r="H546" s="20" t="s">
        <v>68</v>
      </c>
      <c r="I546" s="9" t="s">
        <v>287</v>
      </c>
      <c r="J546" s="43">
        <v>2025.0</v>
      </c>
      <c r="K546" s="42" t="s">
        <v>94</v>
      </c>
    </row>
    <row r="547" ht="12.75" customHeight="1">
      <c r="A547" s="42" t="s">
        <v>807</v>
      </c>
      <c r="B547" s="21">
        <v>45837.0</v>
      </c>
      <c r="C547" s="20" t="s">
        <v>179</v>
      </c>
      <c r="D547" s="21">
        <v>45837.0</v>
      </c>
      <c r="E547" s="21">
        <v>45843.0</v>
      </c>
      <c r="F547" s="20" t="s">
        <v>808</v>
      </c>
      <c r="G547" s="42" t="s">
        <v>218</v>
      </c>
      <c r="H547" s="20" t="s">
        <v>68</v>
      </c>
      <c r="I547" s="9" t="s">
        <v>287</v>
      </c>
      <c r="J547" s="43">
        <v>2025.0</v>
      </c>
      <c r="K547" s="42" t="s">
        <v>95</v>
      </c>
    </row>
    <row r="548" ht="12.75" customHeight="1">
      <c r="A548" s="42" t="s">
        <v>809</v>
      </c>
      <c r="B548" s="21">
        <v>45838.0</v>
      </c>
      <c r="C548" s="20" t="s">
        <v>163</v>
      </c>
      <c r="D548" s="21">
        <v>45837.0</v>
      </c>
      <c r="E548" s="21">
        <v>45843.0</v>
      </c>
      <c r="F548" s="20" t="s">
        <v>808</v>
      </c>
      <c r="G548" s="42" t="s">
        <v>218</v>
      </c>
      <c r="H548" s="20" t="s">
        <v>68</v>
      </c>
      <c r="I548" s="9" t="s">
        <v>287</v>
      </c>
      <c r="J548" s="43">
        <v>2025.0</v>
      </c>
      <c r="K548" s="42" t="s">
        <v>95</v>
      </c>
    </row>
    <row r="549" ht="12.75" customHeight="1">
      <c r="A549" s="42" t="s">
        <v>810</v>
      </c>
      <c r="B549" s="21">
        <v>45839.0</v>
      </c>
      <c r="C549" s="20" t="s">
        <v>169</v>
      </c>
      <c r="D549" s="21">
        <v>45837.0</v>
      </c>
      <c r="E549" s="21">
        <v>45843.0</v>
      </c>
      <c r="F549" s="20" t="s">
        <v>808</v>
      </c>
      <c r="G549" s="42" t="s">
        <v>227</v>
      </c>
      <c r="H549" s="20" t="s">
        <v>67</v>
      </c>
      <c r="I549" s="9" t="s">
        <v>392</v>
      </c>
      <c r="J549" s="43">
        <v>2025.0</v>
      </c>
      <c r="K549" s="42" t="s">
        <v>95</v>
      </c>
    </row>
    <row r="550" ht="12.75" customHeight="1">
      <c r="A550" s="42" t="s">
        <v>811</v>
      </c>
      <c r="B550" s="21">
        <v>45840.0</v>
      </c>
      <c r="C550" s="20" t="s">
        <v>171</v>
      </c>
      <c r="D550" s="21">
        <v>45837.0</v>
      </c>
      <c r="E550" s="21">
        <v>45843.0</v>
      </c>
      <c r="F550" s="20" t="s">
        <v>808</v>
      </c>
      <c r="G550" s="42" t="s">
        <v>227</v>
      </c>
      <c r="H550" s="20" t="s">
        <v>67</v>
      </c>
      <c r="I550" s="9" t="s">
        <v>392</v>
      </c>
      <c r="J550" s="43">
        <v>2025.0</v>
      </c>
      <c r="K550" s="42" t="s">
        <v>95</v>
      </c>
    </row>
    <row r="551" ht="12.75" customHeight="1">
      <c r="A551" s="42" t="s">
        <v>812</v>
      </c>
      <c r="B551" s="21">
        <v>45841.0</v>
      </c>
      <c r="C551" s="20" t="s">
        <v>173</v>
      </c>
      <c r="D551" s="21">
        <v>45837.0</v>
      </c>
      <c r="E551" s="21">
        <v>45843.0</v>
      </c>
      <c r="F551" s="20" t="s">
        <v>808</v>
      </c>
      <c r="G551" s="42" t="s">
        <v>227</v>
      </c>
      <c r="H551" s="20" t="s">
        <v>67</v>
      </c>
      <c r="I551" s="9" t="s">
        <v>392</v>
      </c>
      <c r="J551" s="43">
        <v>2025.0</v>
      </c>
      <c r="K551" s="42" t="s">
        <v>95</v>
      </c>
    </row>
    <row r="552" ht="12.75" customHeight="1">
      <c r="A552" s="42" t="s">
        <v>813</v>
      </c>
      <c r="B552" s="21">
        <v>45842.0</v>
      </c>
      <c r="C552" s="20" t="s">
        <v>175</v>
      </c>
      <c r="D552" s="21">
        <v>45837.0</v>
      </c>
      <c r="E552" s="21">
        <v>45843.0</v>
      </c>
      <c r="F552" s="20" t="s">
        <v>808</v>
      </c>
      <c r="G552" s="42" t="s">
        <v>227</v>
      </c>
      <c r="H552" s="20" t="s">
        <v>67</v>
      </c>
      <c r="I552" s="9" t="s">
        <v>392</v>
      </c>
      <c r="J552" s="43">
        <v>2025.0</v>
      </c>
      <c r="K552" s="42" t="s">
        <v>95</v>
      </c>
    </row>
    <row r="553" ht="12.75" customHeight="1">
      <c r="A553" s="42" t="s">
        <v>814</v>
      </c>
      <c r="B553" s="21">
        <v>45843.0</v>
      </c>
      <c r="C553" s="20" t="s">
        <v>177</v>
      </c>
      <c r="D553" s="21">
        <v>45837.0</v>
      </c>
      <c r="E553" s="21">
        <v>45843.0</v>
      </c>
      <c r="F553" s="20" t="s">
        <v>808</v>
      </c>
      <c r="G553" s="42" t="s">
        <v>227</v>
      </c>
      <c r="H553" s="20" t="s">
        <v>67</v>
      </c>
      <c r="I553" s="9" t="s">
        <v>392</v>
      </c>
      <c r="J553" s="43">
        <v>2025.0</v>
      </c>
      <c r="K553" s="42" t="s">
        <v>95</v>
      </c>
    </row>
    <row r="554" ht="12.75" customHeight="1">
      <c r="A554" s="42" t="s">
        <v>815</v>
      </c>
      <c r="B554" s="21">
        <v>45844.0</v>
      </c>
      <c r="C554" s="20" t="s">
        <v>179</v>
      </c>
      <c r="D554" s="21">
        <v>45844.0</v>
      </c>
      <c r="E554" s="21">
        <v>45850.0</v>
      </c>
      <c r="F554" s="20" t="s">
        <v>816</v>
      </c>
      <c r="G554" s="42" t="s">
        <v>227</v>
      </c>
      <c r="H554" s="20" t="s">
        <v>67</v>
      </c>
      <c r="I554" s="9" t="s">
        <v>392</v>
      </c>
      <c r="J554" s="43">
        <v>2025.0</v>
      </c>
      <c r="K554" s="42" t="s">
        <v>87</v>
      </c>
    </row>
    <row r="555" ht="12.75" customHeight="1">
      <c r="A555" s="42" t="s">
        <v>817</v>
      </c>
      <c r="B555" s="21">
        <v>45845.0</v>
      </c>
      <c r="C555" s="20" t="s">
        <v>163</v>
      </c>
      <c r="D555" s="21">
        <v>45844.0</v>
      </c>
      <c r="E555" s="21">
        <v>45850.0</v>
      </c>
      <c r="F555" s="20" t="s">
        <v>816</v>
      </c>
      <c r="G555" s="42" t="s">
        <v>227</v>
      </c>
      <c r="H555" s="20" t="s">
        <v>67</v>
      </c>
      <c r="I555" s="9" t="s">
        <v>392</v>
      </c>
      <c r="J555" s="43">
        <v>2025.0</v>
      </c>
      <c r="K555" s="42" t="s">
        <v>87</v>
      </c>
    </row>
    <row r="556" ht="12.75" customHeight="1">
      <c r="A556" s="42" t="s">
        <v>818</v>
      </c>
      <c r="B556" s="21">
        <v>45846.0</v>
      </c>
      <c r="C556" s="20" t="s">
        <v>169</v>
      </c>
      <c r="D556" s="21">
        <v>45844.0</v>
      </c>
      <c r="E556" s="21">
        <v>45850.0</v>
      </c>
      <c r="F556" s="20" t="s">
        <v>816</v>
      </c>
      <c r="G556" s="42" t="s">
        <v>227</v>
      </c>
      <c r="H556" s="20" t="s">
        <v>67</v>
      </c>
      <c r="I556" s="9" t="s">
        <v>392</v>
      </c>
      <c r="J556" s="43">
        <v>2025.0</v>
      </c>
      <c r="K556" s="42" t="s">
        <v>87</v>
      </c>
    </row>
    <row r="557" ht="12.75" customHeight="1">
      <c r="A557" s="42" t="s">
        <v>819</v>
      </c>
      <c r="B557" s="21">
        <v>45847.0</v>
      </c>
      <c r="C557" s="20" t="s">
        <v>171</v>
      </c>
      <c r="D557" s="21">
        <v>45844.0</v>
      </c>
      <c r="E557" s="21">
        <v>45850.0</v>
      </c>
      <c r="F557" s="20" t="s">
        <v>816</v>
      </c>
      <c r="G557" s="42" t="s">
        <v>227</v>
      </c>
      <c r="H557" s="20" t="s">
        <v>67</v>
      </c>
      <c r="I557" s="9" t="s">
        <v>392</v>
      </c>
      <c r="J557" s="43">
        <v>2025.0</v>
      </c>
      <c r="K557" s="42" t="s">
        <v>87</v>
      </c>
    </row>
    <row r="558" ht="12.75" customHeight="1">
      <c r="A558" s="42" t="s">
        <v>820</v>
      </c>
      <c r="B558" s="21">
        <v>45848.0</v>
      </c>
      <c r="C558" s="20" t="s">
        <v>173</v>
      </c>
      <c r="D558" s="21">
        <v>45844.0</v>
      </c>
      <c r="E558" s="21">
        <v>45850.0</v>
      </c>
      <c r="F558" s="20" t="s">
        <v>816</v>
      </c>
      <c r="G558" s="42" t="s">
        <v>227</v>
      </c>
      <c r="H558" s="20" t="s">
        <v>67</v>
      </c>
      <c r="I558" s="9" t="s">
        <v>392</v>
      </c>
      <c r="J558" s="43">
        <v>2025.0</v>
      </c>
      <c r="K558" s="42" t="s">
        <v>87</v>
      </c>
    </row>
    <row r="559" ht="12.75" customHeight="1">
      <c r="A559" s="42" t="s">
        <v>821</v>
      </c>
      <c r="B559" s="21">
        <v>45849.0</v>
      </c>
      <c r="C559" s="20" t="s">
        <v>175</v>
      </c>
      <c r="D559" s="21">
        <v>45844.0</v>
      </c>
      <c r="E559" s="21">
        <v>45850.0</v>
      </c>
      <c r="F559" s="20" t="s">
        <v>816</v>
      </c>
      <c r="G559" s="42" t="s">
        <v>227</v>
      </c>
      <c r="H559" s="20" t="s">
        <v>67</v>
      </c>
      <c r="I559" s="9" t="s">
        <v>392</v>
      </c>
      <c r="J559" s="43">
        <v>2025.0</v>
      </c>
      <c r="K559" s="42" t="s">
        <v>87</v>
      </c>
    </row>
    <row r="560" ht="12.75" customHeight="1">
      <c r="A560" s="42" t="s">
        <v>822</v>
      </c>
      <c r="B560" s="21">
        <v>45850.0</v>
      </c>
      <c r="C560" s="20" t="s">
        <v>177</v>
      </c>
      <c r="D560" s="21">
        <v>45844.0</v>
      </c>
      <c r="E560" s="21">
        <v>45850.0</v>
      </c>
      <c r="F560" s="20" t="s">
        <v>816</v>
      </c>
      <c r="G560" s="42" t="s">
        <v>227</v>
      </c>
      <c r="H560" s="20" t="s">
        <v>67</v>
      </c>
      <c r="I560" s="9" t="s">
        <v>392</v>
      </c>
      <c r="J560" s="43">
        <v>2025.0</v>
      </c>
      <c r="K560" s="42" t="s">
        <v>87</v>
      </c>
    </row>
    <row r="561" ht="12.75" customHeight="1">
      <c r="A561" s="42" t="s">
        <v>823</v>
      </c>
      <c r="B561" s="21">
        <v>45851.0</v>
      </c>
      <c r="C561" s="20" t="s">
        <v>179</v>
      </c>
      <c r="D561" s="21">
        <v>45851.0</v>
      </c>
      <c r="E561" s="21">
        <v>45857.0</v>
      </c>
      <c r="F561" s="20" t="s">
        <v>824</v>
      </c>
      <c r="G561" s="42" t="s">
        <v>227</v>
      </c>
      <c r="H561" s="20" t="s">
        <v>67</v>
      </c>
      <c r="I561" s="9" t="s">
        <v>392</v>
      </c>
      <c r="J561" s="43">
        <v>2025.0</v>
      </c>
      <c r="K561" s="42" t="s">
        <v>88</v>
      </c>
    </row>
    <row r="562" ht="12.75" customHeight="1">
      <c r="A562" s="42" t="s">
        <v>825</v>
      </c>
      <c r="B562" s="21">
        <v>45852.0</v>
      </c>
      <c r="C562" s="20" t="s">
        <v>163</v>
      </c>
      <c r="D562" s="21">
        <v>45851.0</v>
      </c>
      <c r="E562" s="21">
        <v>45857.0</v>
      </c>
      <c r="F562" s="20" t="s">
        <v>824</v>
      </c>
      <c r="G562" s="42" t="s">
        <v>227</v>
      </c>
      <c r="H562" s="20" t="s">
        <v>67</v>
      </c>
      <c r="I562" s="9" t="s">
        <v>392</v>
      </c>
      <c r="J562" s="43">
        <v>2025.0</v>
      </c>
      <c r="K562" s="42" t="s">
        <v>88</v>
      </c>
    </row>
    <row r="563" ht="12.75" customHeight="1">
      <c r="A563" s="42" t="s">
        <v>826</v>
      </c>
      <c r="B563" s="21">
        <v>45853.0</v>
      </c>
      <c r="C563" s="20" t="s">
        <v>169</v>
      </c>
      <c r="D563" s="21">
        <v>45851.0</v>
      </c>
      <c r="E563" s="21">
        <v>45857.0</v>
      </c>
      <c r="F563" s="20" t="s">
        <v>824</v>
      </c>
      <c r="G563" s="42" t="s">
        <v>227</v>
      </c>
      <c r="H563" s="20" t="s">
        <v>67</v>
      </c>
      <c r="I563" s="9" t="s">
        <v>392</v>
      </c>
      <c r="J563" s="43">
        <v>2025.0</v>
      </c>
      <c r="K563" s="42" t="s">
        <v>88</v>
      </c>
    </row>
    <row r="564" ht="12.75" customHeight="1">
      <c r="A564" s="42" t="s">
        <v>827</v>
      </c>
      <c r="B564" s="21">
        <v>45854.0</v>
      </c>
      <c r="C564" s="20" t="s">
        <v>171</v>
      </c>
      <c r="D564" s="21">
        <v>45851.0</v>
      </c>
      <c r="E564" s="21">
        <v>45857.0</v>
      </c>
      <c r="F564" s="20" t="s">
        <v>824</v>
      </c>
      <c r="G564" s="42" t="s">
        <v>227</v>
      </c>
      <c r="H564" s="20" t="s">
        <v>67</v>
      </c>
      <c r="I564" s="9" t="s">
        <v>392</v>
      </c>
      <c r="J564" s="43">
        <v>2025.0</v>
      </c>
      <c r="K564" s="42" t="s">
        <v>88</v>
      </c>
    </row>
    <row r="565" ht="12.75" customHeight="1">
      <c r="A565" s="42" t="s">
        <v>828</v>
      </c>
      <c r="B565" s="21">
        <v>45855.0</v>
      </c>
      <c r="C565" s="20" t="s">
        <v>173</v>
      </c>
      <c r="D565" s="21">
        <v>45851.0</v>
      </c>
      <c r="E565" s="21">
        <v>45857.0</v>
      </c>
      <c r="F565" s="20" t="s">
        <v>824</v>
      </c>
      <c r="G565" s="42" t="s">
        <v>227</v>
      </c>
      <c r="H565" s="20" t="s">
        <v>67</v>
      </c>
      <c r="I565" s="9" t="s">
        <v>392</v>
      </c>
      <c r="J565" s="43">
        <v>2025.0</v>
      </c>
      <c r="K565" s="42" t="s">
        <v>88</v>
      </c>
    </row>
    <row r="566" ht="12.75" customHeight="1">
      <c r="A566" s="42" t="s">
        <v>829</v>
      </c>
      <c r="B566" s="21">
        <v>45856.0</v>
      </c>
      <c r="C566" s="20" t="s">
        <v>175</v>
      </c>
      <c r="D566" s="21">
        <v>45851.0</v>
      </c>
      <c r="E566" s="21">
        <v>45857.0</v>
      </c>
      <c r="F566" s="20" t="s">
        <v>824</v>
      </c>
      <c r="G566" s="42" t="s">
        <v>227</v>
      </c>
      <c r="H566" s="20" t="s">
        <v>67</v>
      </c>
      <c r="I566" s="9" t="s">
        <v>392</v>
      </c>
      <c r="J566" s="43">
        <v>2025.0</v>
      </c>
      <c r="K566" s="42" t="s">
        <v>88</v>
      </c>
    </row>
    <row r="567" ht="12.75" customHeight="1">
      <c r="A567" s="42" t="s">
        <v>830</v>
      </c>
      <c r="B567" s="21">
        <v>45857.0</v>
      </c>
      <c r="C567" s="20" t="s">
        <v>177</v>
      </c>
      <c r="D567" s="21">
        <v>45851.0</v>
      </c>
      <c r="E567" s="21">
        <v>45857.0</v>
      </c>
      <c r="F567" s="20" t="s">
        <v>824</v>
      </c>
      <c r="G567" s="42" t="s">
        <v>227</v>
      </c>
      <c r="H567" s="20" t="s">
        <v>67</v>
      </c>
      <c r="I567" s="9" t="s">
        <v>392</v>
      </c>
      <c r="J567" s="43">
        <v>2025.0</v>
      </c>
      <c r="K567" s="42" t="s">
        <v>88</v>
      </c>
    </row>
    <row r="568" ht="12.75" customHeight="1">
      <c r="A568" s="42" t="s">
        <v>831</v>
      </c>
      <c r="B568" s="21">
        <v>45858.0</v>
      </c>
      <c r="C568" s="20" t="s">
        <v>179</v>
      </c>
      <c r="D568" s="21">
        <v>45858.0</v>
      </c>
      <c r="E568" s="21">
        <v>45864.0</v>
      </c>
      <c r="F568" s="20" t="s">
        <v>832</v>
      </c>
      <c r="G568" s="42" t="s">
        <v>227</v>
      </c>
      <c r="H568" s="20" t="s">
        <v>67</v>
      </c>
      <c r="I568" s="9" t="s">
        <v>392</v>
      </c>
      <c r="J568" s="43">
        <v>2025.0</v>
      </c>
      <c r="K568" s="42" t="s">
        <v>89</v>
      </c>
    </row>
    <row r="569" ht="12.75" customHeight="1">
      <c r="A569" s="42" t="s">
        <v>833</v>
      </c>
      <c r="B569" s="21">
        <v>45859.0</v>
      </c>
      <c r="C569" s="20" t="s">
        <v>163</v>
      </c>
      <c r="D569" s="21">
        <v>45858.0</v>
      </c>
      <c r="E569" s="21">
        <v>45864.0</v>
      </c>
      <c r="F569" s="20" t="s">
        <v>832</v>
      </c>
      <c r="G569" s="42" t="s">
        <v>227</v>
      </c>
      <c r="H569" s="20" t="s">
        <v>67</v>
      </c>
      <c r="I569" s="9" t="s">
        <v>392</v>
      </c>
      <c r="J569" s="43">
        <v>2025.0</v>
      </c>
      <c r="K569" s="42" t="s">
        <v>89</v>
      </c>
    </row>
    <row r="570" ht="12.75" customHeight="1">
      <c r="A570" s="42" t="s">
        <v>834</v>
      </c>
      <c r="B570" s="21">
        <v>45860.0</v>
      </c>
      <c r="C570" s="20" t="s">
        <v>169</v>
      </c>
      <c r="D570" s="21">
        <v>45858.0</v>
      </c>
      <c r="E570" s="21">
        <v>45864.0</v>
      </c>
      <c r="F570" s="20" t="s">
        <v>832</v>
      </c>
      <c r="G570" s="42" t="s">
        <v>227</v>
      </c>
      <c r="H570" s="20" t="s">
        <v>67</v>
      </c>
      <c r="I570" s="9" t="s">
        <v>392</v>
      </c>
      <c r="J570" s="43">
        <v>2025.0</v>
      </c>
      <c r="K570" s="42" t="s">
        <v>89</v>
      </c>
    </row>
    <row r="571" ht="12.75" customHeight="1">
      <c r="A571" s="42" t="s">
        <v>835</v>
      </c>
      <c r="B571" s="21">
        <v>45861.0</v>
      </c>
      <c r="C571" s="20" t="s">
        <v>171</v>
      </c>
      <c r="D571" s="21">
        <v>45858.0</v>
      </c>
      <c r="E571" s="21">
        <v>45864.0</v>
      </c>
      <c r="F571" s="20" t="s">
        <v>832</v>
      </c>
      <c r="G571" s="42" t="s">
        <v>227</v>
      </c>
      <c r="H571" s="20" t="s">
        <v>67</v>
      </c>
      <c r="I571" s="9" t="s">
        <v>392</v>
      </c>
      <c r="J571" s="43">
        <v>2025.0</v>
      </c>
      <c r="K571" s="42" t="s">
        <v>89</v>
      </c>
    </row>
    <row r="572" ht="12.75" customHeight="1">
      <c r="A572" s="42" t="s">
        <v>836</v>
      </c>
      <c r="B572" s="21">
        <v>45862.0</v>
      </c>
      <c r="C572" s="20" t="s">
        <v>173</v>
      </c>
      <c r="D572" s="21">
        <v>45858.0</v>
      </c>
      <c r="E572" s="21">
        <v>45864.0</v>
      </c>
      <c r="F572" s="20" t="s">
        <v>832</v>
      </c>
      <c r="G572" s="42" t="s">
        <v>227</v>
      </c>
      <c r="H572" s="20" t="s">
        <v>67</v>
      </c>
      <c r="I572" s="9" t="s">
        <v>392</v>
      </c>
      <c r="J572" s="43">
        <v>2025.0</v>
      </c>
      <c r="K572" s="42" t="s">
        <v>89</v>
      </c>
    </row>
    <row r="573" ht="12.75" customHeight="1">
      <c r="A573" s="42" t="s">
        <v>837</v>
      </c>
      <c r="B573" s="21">
        <v>45863.0</v>
      </c>
      <c r="C573" s="20" t="s">
        <v>175</v>
      </c>
      <c r="D573" s="21">
        <v>45858.0</v>
      </c>
      <c r="E573" s="21">
        <v>45864.0</v>
      </c>
      <c r="F573" s="20" t="s">
        <v>832</v>
      </c>
      <c r="G573" s="42" t="s">
        <v>227</v>
      </c>
      <c r="H573" s="20" t="s">
        <v>67</v>
      </c>
      <c r="I573" s="9" t="s">
        <v>392</v>
      </c>
      <c r="J573" s="43">
        <v>2025.0</v>
      </c>
      <c r="K573" s="42" t="s">
        <v>89</v>
      </c>
    </row>
    <row r="574" ht="12.75" customHeight="1">
      <c r="A574" s="42" t="s">
        <v>838</v>
      </c>
      <c r="B574" s="21">
        <v>45864.0</v>
      </c>
      <c r="C574" s="20" t="s">
        <v>177</v>
      </c>
      <c r="D574" s="21">
        <v>45858.0</v>
      </c>
      <c r="E574" s="21">
        <v>45864.0</v>
      </c>
      <c r="F574" s="20" t="s">
        <v>832</v>
      </c>
      <c r="G574" s="42" t="s">
        <v>227</v>
      </c>
      <c r="H574" s="20" t="s">
        <v>67</v>
      </c>
      <c r="I574" s="9" t="s">
        <v>392</v>
      </c>
      <c r="J574" s="43">
        <v>2025.0</v>
      </c>
      <c r="K574" s="42" t="s">
        <v>89</v>
      </c>
    </row>
    <row r="575" ht="12.75" customHeight="1">
      <c r="A575" s="42" t="s">
        <v>839</v>
      </c>
      <c r="B575" s="21">
        <v>45865.0</v>
      </c>
      <c r="C575" s="20" t="s">
        <v>179</v>
      </c>
      <c r="D575" s="21">
        <v>45865.0</v>
      </c>
      <c r="E575" s="21">
        <v>45871.0</v>
      </c>
      <c r="F575" s="20" t="s">
        <v>840</v>
      </c>
      <c r="G575" s="42" t="s">
        <v>227</v>
      </c>
      <c r="H575" s="20" t="s">
        <v>67</v>
      </c>
      <c r="I575" s="9" t="s">
        <v>392</v>
      </c>
      <c r="J575" s="43">
        <v>2025.0</v>
      </c>
      <c r="K575" s="42" t="s">
        <v>90</v>
      </c>
    </row>
    <row r="576" ht="12.75" customHeight="1">
      <c r="A576" s="42" t="s">
        <v>841</v>
      </c>
      <c r="B576" s="21">
        <v>45866.0</v>
      </c>
      <c r="C576" s="20" t="s">
        <v>163</v>
      </c>
      <c r="D576" s="21">
        <v>45865.0</v>
      </c>
      <c r="E576" s="21">
        <v>45871.0</v>
      </c>
      <c r="F576" s="20" t="s">
        <v>840</v>
      </c>
      <c r="G576" s="42" t="s">
        <v>227</v>
      </c>
      <c r="H576" s="20" t="s">
        <v>67</v>
      </c>
      <c r="I576" s="9" t="s">
        <v>392</v>
      </c>
      <c r="J576" s="43">
        <v>2025.0</v>
      </c>
      <c r="K576" s="42" t="s">
        <v>90</v>
      </c>
    </row>
    <row r="577" ht="12.75" customHeight="1">
      <c r="A577" s="42" t="s">
        <v>842</v>
      </c>
      <c r="B577" s="21">
        <v>45867.0</v>
      </c>
      <c r="C577" s="20" t="s">
        <v>169</v>
      </c>
      <c r="D577" s="21">
        <v>45865.0</v>
      </c>
      <c r="E577" s="21">
        <v>45871.0</v>
      </c>
      <c r="F577" s="20" t="s">
        <v>840</v>
      </c>
      <c r="G577" s="42" t="s">
        <v>227</v>
      </c>
      <c r="H577" s="20" t="s">
        <v>67</v>
      </c>
      <c r="I577" s="9" t="s">
        <v>392</v>
      </c>
      <c r="J577" s="43">
        <v>2025.0</v>
      </c>
      <c r="K577" s="42" t="s">
        <v>90</v>
      </c>
    </row>
    <row r="578" ht="12.75" customHeight="1">
      <c r="A578" s="42" t="s">
        <v>843</v>
      </c>
      <c r="B578" s="21">
        <v>45868.0</v>
      </c>
      <c r="C578" s="20" t="s">
        <v>171</v>
      </c>
      <c r="D578" s="21">
        <v>45865.0</v>
      </c>
      <c r="E578" s="21">
        <v>45871.0</v>
      </c>
      <c r="F578" s="20" t="s">
        <v>840</v>
      </c>
      <c r="G578" s="42" t="s">
        <v>227</v>
      </c>
      <c r="H578" s="20" t="s">
        <v>67</v>
      </c>
      <c r="I578" s="9" t="s">
        <v>392</v>
      </c>
      <c r="J578" s="43">
        <v>2025.0</v>
      </c>
      <c r="K578" s="42" t="s">
        <v>90</v>
      </c>
    </row>
    <row r="579" ht="12.75" customHeight="1">
      <c r="A579" s="42" t="s">
        <v>844</v>
      </c>
      <c r="B579" s="21">
        <v>45869.0</v>
      </c>
      <c r="C579" s="20" t="s">
        <v>173</v>
      </c>
      <c r="D579" s="21">
        <v>45865.0</v>
      </c>
      <c r="E579" s="21">
        <v>45871.0</v>
      </c>
      <c r="F579" s="20" t="s">
        <v>840</v>
      </c>
      <c r="G579" s="42" t="s">
        <v>227</v>
      </c>
      <c r="H579" s="20" t="s">
        <v>67</v>
      </c>
      <c r="I579" s="9" t="s">
        <v>392</v>
      </c>
      <c r="J579" s="43">
        <v>2025.0</v>
      </c>
      <c r="K579" s="42" t="s">
        <v>90</v>
      </c>
    </row>
    <row r="580" ht="12.75" customHeight="1">
      <c r="A580" s="42" t="s">
        <v>845</v>
      </c>
      <c r="B580" s="21">
        <v>45870.0</v>
      </c>
      <c r="C580" s="20" t="s">
        <v>175</v>
      </c>
      <c r="D580" s="21">
        <v>45865.0</v>
      </c>
      <c r="E580" s="21">
        <v>45871.0</v>
      </c>
      <c r="F580" s="20" t="s">
        <v>840</v>
      </c>
      <c r="G580" s="42" t="s">
        <v>236</v>
      </c>
      <c r="H580" s="20" t="s">
        <v>65</v>
      </c>
      <c r="I580" s="9" t="s">
        <v>392</v>
      </c>
      <c r="J580" s="43">
        <v>2025.0</v>
      </c>
      <c r="K580" s="42" t="s">
        <v>90</v>
      </c>
    </row>
    <row r="581" ht="12.75" customHeight="1">
      <c r="A581" s="42" t="s">
        <v>846</v>
      </c>
      <c r="B581" s="21">
        <v>45871.0</v>
      </c>
      <c r="C581" s="20" t="s">
        <v>177</v>
      </c>
      <c r="D581" s="21">
        <v>45865.0</v>
      </c>
      <c r="E581" s="21">
        <v>45871.0</v>
      </c>
      <c r="F581" s="20" t="s">
        <v>840</v>
      </c>
      <c r="G581" s="42" t="s">
        <v>236</v>
      </c>
      <c r="H581" s="20" t="s">
        <v>65</v>
      </c>
      <c r="I581" s="9" t="s">
        <v>392</v>
      </c>
      <c r="J581" s="43">
        <v>2025.0</v>
      </c>
      <c r="K581" s="42" t="s">
        <v>90</v>
      </c>
    </row>
    <row r="582" ht="12.75" customHeight="1">
      <c r="A582" s="42" t="s">
        <v>847</v>
      </c>
      <c r="B582" s="21">
        <v>45872.0</v>
      </c>
      <c r="C582" s="20" t="s">
        <v>179</v>
      </c>
      <c r="D582" s="21">
        <v>45872.0</v>
      </c>
      <c r="E582" s="21">
        <v>45878.0</v>
      </c>
      <c r="F582" s="20" t="s">
        <v>848</v>
      </c>
      <c r="G582" s="42" t="s">
        <v>236</v>
      </c>
      <c r="H582" s="20" t="s">
        <v>65</v>
      </c>
      <c r="I582" s="9" t="s">
        <v>392</v>
      </c>
      <c r="J582" s="43">
        <v>2025.0</v>
      </c>
      <c r="K582" s="42" t="s">
        <v>78</v>
      </c>
    </row>
    <row r="583" ht="12.75" customHeight="1">
      <c r="A583" s="42" t="s">
        <v>849</v>
      </c>
      <c r="B583" s="21">
        <v>45873.0</v>
      </c>
      <c r="C583" s="20" t="s">
        <v>163</v>
      </c>
      <c r="D583" s="21">
        <v>45872.0</v>
      </c>
      <c r="E583" s="21">
        <v>45878.0</v>
      </c>
      <c r="F583" s="20" t="s">
        <v>848</v>
      </c>
      <c r="G583" s="42" t="s">
        <v>236</v>
      </c>
      <c r="H583" s="20" t="s">
        <v>65</v>
      </c>
      <c r="I583" s="9" t="s">
        <v>392</v>
      </c>
      <c r="J583" s="43">
        <v>2025.0</v>
      </c>
      <c r="K583" s="42" t="s">
        <v>78</v>
      </c>
    </row>
    <row r="584" ht="12.75" customHeight="1">
      <c r="A584" s="42" t="s">
        <v>850</v>
      </c>
      <c r="B584" s="21">
        <v>45874.0</v>
      </c>
      <c r="C584" s="20" t="s">
        <v>169</v>
      </c>
      <c r="D584" s="21">
        <v>45872.0</v>
      </c>
      <c r="E584" s="21">
        <v>45878.0</v>
      </c>
      <c r="F584" s="20" t="s">
        <v>848</v>
      </c>
      <c r="G584" s="42" t="s">
        <v>236</v>
      </c>
      <c r="H584" s="20" t="s">
        <v>65</v>
      </c>
      <c r="I584" s="9" t="s">
        <v>392</v>
      </c>
      <c r="J584" s="43">
        <v>2025.0</v>
      </c>
      <c r="K584" s="42" t="s">
        <v>78</v>
      </c>
    </row>
    <row r="585" ht="12.75" customHeight="1">
      <c r="A585" s="42" t="s">
        <v>851</v>
      </c>
      <c r="B585" s="21">
        <v>45875.0</v>
      </c>
      <c r="C585" s="20" t="s">
        <v>171</v>
      </c>
      <c r="D585" s="21">
        <v>45872.0</v>
      </c>
      <c r="E585" s="21">
        <v>45878.0</v>
      </c>
      <c r="F585" s="20" t="s">
        <v>848</v>
      </c>
      <c r="G585" s="42" t="s">
        <v>236</v>
      </c>
      <c r="H585" s="20" t="s">
        <v>65</v>
      </c>
      <c r="I585" s="9" t="s">
        <v>392</v>
      </c>
      <c r="J585" s="43">
        <v>2025.0</v>
      </c>
      <c r="K585" s="42" t="s">
        <v>78</v>
      </c>
    </row>
    <row r="586" ht="12.75" customHeight="1">
      <c r="A586" s="42" t="s">
        <v>852</v>
      </c>
      <c r="B586" s="21">
        <v>45876.0</v>
      </c>
      <c r="C586" s="20" t="s">
        <v>173</v>
      </c>
      <c r="D586" s="21">
        <v>45872.0</v>
      </c>
      <c r="E586" s="21">
        <v>45878.0</v>
      </c>
      <c r="F586" s="20" t="s">
        <v>848</v>
      </c>
      <c r="G586" s="42" t="s">
        <v>236</v>
      </c>
      <c r="H586" s="20" t="s">
        <v>65</v>
      </c>
      <c r="I586" s="9" t="s">
        <v>392</v>
      </c>
      <c r="J586" s="43">
        <v>2025.0</v>
      </c>
      <c r="K586" s="42" t="s">
        <v>78</v>
      </c>
    </row>
    <row r="587" ht="12.75" customHeight="1">
      <c r="A587" s="42" t="s">
        <v>853</v>
      </c>
      <c r="B587" s="21">
        <v>45877.0</v>
      </c>
      <c r="C587" s="20" t="s">
        <v>175</v>
      </c>
      <c r="D587" s="21">
        <v>45872.0</v>
      </c>
      <c r="E587" s="21">
        <v>45878.0</v>
      </c>
      <c r="F587" s="20" t="s">
        <v>848</v>
      </c>
      <c r="G587" s="42" t="s">
        <v>236</v>
      </c>
      <c r="H587" s="20" t="s">
        <v>65</v>
      </c>
      <c r="I587" s="9" t="s">
        <v>392</v>
      </c>
      <c r="J587" s="43">
        <v>2025.0</v>
      </c>
      <c r="K587" s="42" t="s">
        <v>78</v>
      </c>
    </row>
    <row r="588" ht="12.75" customHeight="1">
      <c r="A588" s="42" t="s">
        <v>854</v>
      </c>
      <c r="B588" s="21">
        <v>45878.0</v>
      </c>
      <c r="C588" s="20" t="s">
        <v>177</v>
      </c>
      <c r="D588" s="21">
        <v>45872.0</v>
      </c>
      <c r="E588" s="21">
        <v>45878.0</v>
      </c>
      <c r="F588" s="20" t="s">
        <v>848</v>
      </c>
      <c r="G588" s="42" t="s">
        <v>236</v>
      </c>
      <c r="H588" s="20" t="s">
        <v>65</v>
      </c>
      <c r="I588" s="9" t="s">
        <v>392</v>
      </c>
      <c r="J588" s="43">
        <v>2025.0</v>
      </c>
      <c r="K588" s="42" t="s">
        <v>78</v>
      </c>
    </row>
    <row r="589" ht="12.75" customHeight="1">
      <c r="A589" s="42" t="s">
        <v>855</v>
      </c>
      <c r="B589" s="21">
        <v>45879.0</v>
      </c>
      <c r="C589" s="20" t="s">
        <v>179</v>
      </c>
      <c r="D589" s="21">
        <v>45879.0</v>
      </c>
      <c r="E589" s="21">
        <v>45885.0</v>
      </c>
      <c r="F589" s="20" t="s">
        <v>856</v>
      </c>
      <c r="G589" s="42" t="s">
        <v>236</v>
      </c>
      <c r="H589" s="20" t="s">
        <v>65</v>
      </c>
      <c r="I589" s="9" t="s">
        <v>392</v>
      </c>
      <c r="J589" s="43">
        <v>2025.0</v>
      </c>
      <c r="K589" s="42" t="s">
        <v>79</v>
      </c>
    </row>
    <row r="590" ht="12.75" customHeight="1">
      <c r="A590" s="42" t="s">
        <v>857</v>
      </c>
      <c r="B590" s="21">
        <v>45880.0</v>
      </c>
      <c r="C590" s="20" t="s">
        <v>163</v>
      </c>
      <c r="D590" s="21">
        <v>45879.0</v>
      </c>
      <c r="E590" s="21">
        <v>45885.0</v>
      </c>
      <c r="F590" s="20" t="s">
        <v>856</v>
      </c>
      <c r="G590" s="42" t="s">
        <v>236</v>
      </c>
      <c r="H590" s="20" t="s">
        <v>65</v>
      </c>
      <c r="I590" s="9" t="s">
        <v>392</v>
      </c>
      <c r="J590" s="43">
        <v>2025.0</v>
      </c>
      <c r="K590" s="42" t="s">
        <v>79</v>
      </c>
    </row>
    <row r="591" ht="12.75" customHeight="1">
      <c r="A591" s="42" t="s">
        <v>858</v>
      </c>
      <c r="B591" s="21">
        <v>45881.0</v>
      </c>
      <c r="C591" s="20" t="s">
        <v>169</v>
      </c>
      <c r="D591" s="21">
        <v>45879.0</v>
      </c>
      <c r="E591" s="21">
        <v>45885.0</v>
      </c>
      <c r="F591" s="20" t="s">
        <v>856</v>
      </c>
      <c r="G591" s="42" t="s">
        <v>236</v>
      </c>
      <c r="H591" s="20" t="s">
        <v>65</v>
      </c>
      <c r="I591" s="9" t="s">
        <v>392</v>
      </c>
      <c r="J591" s="43">
        <v>2025.0</v>
      </c>
      <c r="K591" s="42" t="s">
        <v>79</v>
      </c>
    </row>
    <row r="592" ht="12.75" customHeight="1">
      <c r="A592" s="42" t="s">
        <v>859</v>
      </c>
      <c r="B592" s="21">
        <v>45882.0</v>
      </c>
      <c r="C592" s="20" t="s">
        <v>171</v>
      </c>
      <c r="D592" s="21">
        <v>45879.0</v>
      </c>
      <c r="E592" s="21">
        <v>45885.0</v>
      </c>
      <c r="F592" s="20" t="s">
        <v>856</v>
      </c>
      <c r="G592" s="42" t="s">
        <v>236</v>
      </c>
      <c r="H592" s="20" t="s">
        <v>65</v>
      </c>
      <c r="I592" s="9" t="s">
        <v>392</v>
      </c>
      <c r="J592" s="43">
        <v>2025.0</v>
      </c>
      <c r="K592" s="42" t="s">
        <v>79</v>
      </c>
    </row>
    <row r="593" ht="12.75" customHeight="1">
      <c r="A593" s="42" t="s">
        <v>860</v>
      </c>
      <c r="B593" s="21">
        <v>45883.0</v>
      </c>
      <c r="C593" s="20" t="s">
        <v>173</v>
      </c>
      <c r="D593" s="21">
        <v>45879.0</v>
      </c>
      <c r="E593" s="21">
        <v>45885.0</v>
      </c>
      <c r="F593" s="20" t="s">
        <v>856</v>
      </c>
      <c r="G593" s="42" t="s">
        <v>236</v>
      </c>
      <c r="H593" s="20" t="s">
        <v>65</v>
      </c>
      <c r="I593" s="9" t="s">
        <v>392</v>
      </c>
      <c r="J593" s="43">
        <v>2025.0</v>
      </c>
      <c r="K593" s="42" t="s">
        <v>79</v>
      </c>
    </row>
    <row r="594" ht="12.75" customHeight="1">
      <c r="A594" s="42" t="s">
        <v>861</v>
      </c>
      <c r="B594" s="21">
        <v>45884.0</v>
      </c>
      <c r="C594" s="20" t="s">
        <v>175</v>
      </c>
      <c r="D594" s="21">
        <v>45879.0</v>
      </c>
      <c r="E594" s="21">
        <v>45885.0</v>
      </c>
      <c r="F594" s="20" t="s">
        <v>856</v>
      </c>
      <c r="G594" s="42" t="s">
        <v>236</v>
      </c>
      <c r="H594" s="20" t="s">
        <v>65</v>
      </c>
      <c r="I594" s="9" t="s">
        <v>392</v>
      </c>
      <c r="J594" s="43">
        <v>2025.0</v>
      </c>
      <c r="K594" s="42" t="s">
        <v>79</v>
      </c>
    </row>
    <row r="595" ht="12.75" customHeight="1">
      <c r="A595" s="42" t="s">
        <v>862</v>
      </c>
      <c r="B595" s="21">
        <v>45885.0</v>
      </c>
      <c r="C595" s="20" t="s">
        <v>177</v>
      </c>
      <c r="D595" s="21">
        <v>45879.0</v>
      </c>
      <c r="E595" s="21">
        <v>45885.0</v>
      </c>
      <c r="F595" s="20" t="s">
        <v>856</v>
      </c>
      <c r="G595" s="42" t="s">
        <v>236</v>
      </c>
      <c r="H595" s="20" t="s">
        <v>65</v>
      </c>
      <c r="I595" s="9" t="s">
        <v>392</v>
      </c>
      <c r="J595" s="43">
        <v>2025.0</v>
      </c>
      <c r="K595" s="42" t="s">
        <v>79</v>
      </c>
    </row>
    <row r="596" ht="12.75" customHeight="1">
      <c r="A596" s="42" t="s">
        <v>863</v>
      </c>
      <c r="B596" s="21">
        <v>45886.0</v>
      </c>
      <c r="C596" s="20" t="s">
        <v>179</v>
      </c>
      <c r="D596" s="21">
        <v>45886.0</v>
      </c>
      <c r="E596" s="21">
        <v>45892.0</v>
      </c>
      <c r="F596" s="20" t="s">
        <v>864</v>
      </c>
      <c r="G596" s="42" t="s">
        <v>236</v>
      </c>
      <c r="H596" s="20" t="s">
        <v>65</v>
      </c>
      <c r="I596" s="9" t="s">
        <v>392</v>
      </c>
      <c r="J596" s="43">
        <v>2025.0</v>
      </c>
      <c r="K596" s="42" t="s">
        <v>80</v>
      </c>
    </row>
    <row r="597" ht="12.75" customHeight="1">
      <c r="A597" s="42" t="s">
        <v>865</v>
      </c>
      <c r="B597" s="21">
        <v>45887.0</v>
      </c>
      <c r="C597" s="20" t="s">
        <v>163</v>
      </c>
      <c r="D597" s="21">
        <v>45886.0</v>
      </c>
      <c r="E597" s="21">
        <v>45892.0</v>
      </c>
      <c r="F597" s="20" t="s">
        <v>864</v>
      </c>
      <c r="G597" s="42" t="s">
        <v>236</v>
      </c>
      <c r="H597" s="20" t="s">
        <v>65</v>
      </c>
      <c r="I597" s="9" t="s">
        <v>392</v>
      </c>
      <c r="J597" s="43">
        <v>2025.0</v>
      </c>
      <c r="K597" s="42" t="s">
        <v>80</v>
      </c>
    </row>
    <row r="598" ht="12.75" customHeight="1">
      <c r="A598" s="42" t="s">
        <v>866</v>
      </c>
      <c r="B598" s="21">
        <v>45888.0</v>
      </c>
      <c r="C598" s="20" t="s">
        <v>169</v>
      </c>
      <c r="D598" s="21">
        <v>45886.0</v>
      </c>
      <c r="E598" s="21">
        <v>45892.0</v>
      </c>
      <c r="F598" s="20" t="s">
        <v>864</v>
      </c>
      <c r="G598" s="42" t="s">
        <v>236</v>
      </c>
      <c r="H598" s="20" t="s">
        <v>65</v>
      </c>
      <c r="I598" s="9" t="s">
        <v>392</v>
      </c>
      <c r="J598" s="43">
        <v>2025.0</v>
      </c>
      <c r="K598" s="42" t="s">
        <v>80</v>
      </c>
    </row>
    <row r="599" ht="12.75" customHeight="1">
      <c r="A599" s="42" t="s">
        <v>867</v>
      </c>
      <c r="B599" s="21">
        <v>45889.0</v>
      </c>
      <c r="C599" s="20" t="s">
        <v>171</v>
      </c>
      <c r="D599" s="21">
        <v>45886.0</v>
      </c>
      <c r="E599" s="21">
        <v>45892.0</v>
      </c>
      <c r="F599" s="20" t="s">
        <v>864</v>
      </c>
      <c r="G599" s="42" t="s">
        <v>236</v>
      </c>
      <c r="H599" s="20" t="s">
        <v>65</v>
      </c>
      <c r="I599" s="9" t="s">
        <v>392</v>
      </c>
      <c r="J599" s="43">
        <v>2025.0</v>
      </c>
      <c r="K599" s="42" t="s">
        <v>80</v>
      </c>
    </row>
    <row r="600" ht="12.75" customHeight="1">
      <c r="A600" s="42" t="s">
        <v>868</v>
      </c>
      <c r="B600" s="21">
        <v>45890.0</v>
      </c>
      <c r="C600" s="20" t="s">
        <v>173</v>
      </c>
      <c r="D600" s="21">
        <v>45886.0</v>
      </c>
      <c r="E600" s="21">
        <v>45892.0</v>
      </c>
      <c r="F600" s="20" t="s">
        <v>864</v>
      </c>
      <c r="G600" s="42" t="s">
        <v>236</v>
      </c>
      <c r="H600" s="20" t="s">
        <v>65</v>
      </c>
      <c r="I600" s="9" t="s">
        <v>392</v>
      </c>
      <c r="J600" s="43">
        <v>2025.0</v>
      </c>
      <c r="K600" s="42" t="s">
        <v>80</v>
      </c>
    </row>
    <row r="601" ht="12.75" customHeight="1">
      <c r="A601" s="42" t="s">
        <v>869</v>
      </c>
      <c r="B601" s="21">
        <v>45891.0</v>
      </c>
      <c r="C601" s="20" t="s">
        <v>175</v>
      </c>
      <c r="D601" s="21">
        <v>45886.0</v>
      </c>
      <c r="E601" s="21">
        <v>45892.0</v>
      </c>
      <c r="F601" s="20" t="s">
        <v>864</v>
      </c>
      <c r="G601" s="42" t="s">
        <v>236</v>
      </c>
      <c r="H601" s="20" t="s">
        <v>65</v>
      </c>
      <c r="I601" s="9" t="s">
        <v>392</v>
      </c>
      <c r="J601" s="43">
        <v>2025.0</v>
      </c>
      <c r="K601" s="42" t="s">
        <v>80</v>
      </c>
    </row>
    <row r="602" ht="12.75" customHeight="1">
      <c r="A602" s="42" t="s">
        <v>870</v>
      </c>
      <c r="B602" s="21">
        <v>45892.0</v>
      </c>
      <c r="C602" s="20" t="s">
        <v>177</v>
      </c>
      <c r="D602" s="21">
        <v>45886.0</v>
      </c>
      <c r="E602" s="21">
        <v>45892.0</v>
      </c>
      <c r="F602" s="20" t="s">
        <v>864</v>
      </c>
      <c r="G602" s="42" t="s">
        <v>236</v>
      </c>
      <c r="H602" s="20" t="s">
        <v>65</v>
      </c>
      <c r="I602" s="9" t="s">
        <v>392</v>
      </c>
      <c r="J602" s="43">
        <v>2025.0</v>
      </c>
      <c r="K602" s="42" t="s">
        <v>80</v>
      </c>
    </row>
    <row r="603" ht="12.75" customHeight="1">
      <c r="A603" s="42" t="s">
        <v>871</v>
      </c>
      <c r="B603" s="21">
        <v>45893.0</v>
      </c>
      <c r="C603" s="20" t="s">
        <v>179</v>
      </c>
      <c r="D603" s="21">
        <v>45893.0</v>
      </c>
      <c r="E603" s="21">
        <v>45899.0</v>
      </c>
      <c r="F603" s="20" t="s">
        <v>872</v>
      </c>
      <c r="G603" s="42" t="s">
        <v>236</v>
      </c>
      <c r="H603" s="20" t="s">
        <v>65</v>
      </c>
      <c r="I603" s="9" t="s">
        <v>392</v>
      </c>
      <c r="J603" s="43">
        <v>2025.0</v>
      </c>
      <c r="K603" s="42" t="s">
        <v>81</v>
      </c>
    </row>
    <row r="604" ht="12.75" customHeight="1">
      <c r="A604" s="42" t="s">
        <v>873</v>
      </c>
      <c r="B604" s="21">
        <v>45894.0</v>
      </c>
      <c r="C604" s="20" t="s">
        <v>163</v>
      </c>
      <c r="D604" s="21">
        <v>45893.0</v>
      </c>
      <c r="E604" s="21">
        <v>45899.0</v>
      </c>
      <c r="F604" s="20" t="s">
        <v>872</v>
      </c>
      <c r="G604" s="42" t="s">
        <v>236</v>
      </c>
      <c r="H604" s="20" t="s">
        <v>65</v>
      </c>
      <c r="I604" s="9" t="s">
        <v>392</v>
      </c>
      <c r="J604" s="43">
        <v>2025.0</v>
      </c>
      <c r="K604" s="42" t="s">
        <v>81</v>
      </c>
    </row>
    <row r="605" ht="12.75" customHeight="1">
      <c r="A605" s="42" t="s">
        <v>874</v>
      </c>
      <c r="B605" s="21">
        <v>45895.0</v>
      </c>
      <c r="C605" s="20" t="s">
        <v>169</v>
      </c>
      <c r="D605" s="21">
        <v>45893.0</v>
      </c>
      <c r="E605" s="21">
        <v>45899.0</v>
      </c>
      <c r="F605" s="20" t="s">
        <v>872</v>
      </c>
      <c r="G605" s="42" t="s">
        <v>236</v>
      </c>
      <c r="H605" s="20" t="s">
        <v>65</v>
      </c>
      <c r="I605" s="9" t="s">
        <v>392</v>
      </c>
      <c r="J605" s="43">
        <v>2025.0</v>
      </c>
      <c r="K605" s="42" t="s">
        <v>81</v>
      </c>
    </row>
    <row r="606" ht="12.75" customHeight="1">
      <c r="A606" s="42" t="s">
        <v>875</v>
      </c>
      <c r="B606" s="21">
        <v>45896.0</v>
      </c>
      <c r="C606" s="20" t="s">
        <v>171</v>
      </c>
      <c r="D606" s="21">
        <v>45893.0</v>
      </c>
      <c r="E606" s="21">
        <v>45899.0</v>
      </c>
      <c r="F606" s="20" t="s">
        <v>872</v>
      </c>
      <c r="G606" s="42" t="s">
        <v>236</v>
      </c>
      <c r="H606" s="20" t="s">
        <v>65</v>
      </c>
      <c r="I606" s="9" t="s">
        <v>392</v>
      </c>
      <c r="J606" s="43">
        <v>2025.0</v>
      </c>
      <c r="K606" s="42" t="s">
        <v>81</v>
      </c>
    </row>
    <row r="607" ht="12.75" customHeight="1">
      <c r="A607" s="42" t="s">
        <v>876</v>
      </c>
      <c r="B607" s="21">
        <v>45897.0</v>
      </c>
      <c r="C607" s="20" t="s">
        <v>173</v>
      </c>
      <c r="D607" s="21">
        <v>45893.0</v>
      </c>
      <c r="E607" s="21">
        <v>45899.0</v>
      </c>
      <c r="F607" s="20" t="s">
        <v>872</v>
      </c>
      <c r="G607" s="42" t="s">
        <v>236</v>
      </c>
      <c r="H607" s="20" t="s">
        <v>65</v>
      </c>
      <c r="I607" s="9" t="s">
        <v>392</v>
      </c>
      <c r="J607" s="43">
        <v>2025.0</v>
      </c>
      <c r="K607" s="42" t="s">
        <v>81</v>
      </c>
    </row>
    <row r="608" ht="12.75" customHeight="1">
      <c r="A608" s="42" t="s">
        <v>877</v>
      </c>
      <c r="B608" s="21">
        <v>45898.0</v>
      </c>
      <c r="C608" s="20" t="s">
        <v>175</v>
      </c>
      <c r="D608" s="21">
        <v>45893.0</v>
      </c>
      <c r="E608" s="21">
        <v>45899.0</v>
      </c>
      <c r="F608" s="20" t="s">
        <v>872</v>
      </c>
      <c r="G608" s="42" t="s">
        <v>236</v>
      </c>
      <c r="H608" s="20" t="s">
        <v>65</v>
      </c>
      <c r="I608" s="9" t="s">
        <v>392</v>
      </c>
      <c r="J608" s="43">
        <v>2025.0</v>
      </c>
      <c r="K608" s="42" t="s">
        <v>81</v>
      </c>
    </row>
    <row r="609" ht="12.75" customHeight="1">
      <c r="A609" s="42" t="s">
        <v>878</v>
      </c>
      <c r="B609" s="21">
        <v>45899.0</v>
      </c>
      <c r="C609" s="20" t="s">
        <v>177</v>
      </c>
      <c r="D609" s="21">
        <v>45893.0</v>
      </c>
      <c r="E609" s="21">
        <v>45899.0</v>
      </c>
      <c r="F609" s="20" t="s">
        <v>872</v>
      </c>
      <c r="G609" s="42" t="s">
        <v>236</v>
      </c>
      <c r="H609" s="20" t="s">
        <v>65</v>
      </c>
      <c r="I609" s="9" t="s">
        <v>392</v>
      </c>
      <c r="J609" s="43">
        <v>2025.0</v>
      </c>
      <c r="K609" s="42" t="s">
        <v>81</v>
      </c>
    </row>
    <row r="610" ht="12.75" customHeight="1">
      <c r="A610" s="42" t="s">
        <v>879</v>
      </c>
      <c r="B610" s="21">
        <v>45900.0</v>
      </c>
      <c r="C610" s="20" t="s">
        <v>179</v>
      </c>
      <c r="D610" s="21">
        <v>45900.0</v>
      </c>
      <c r="E610" s="21">
        <v>45906.0</v>
      </c>
      <c r="F610" s="20" t="s">
        <v>880</v>
      </c>
      <c r="G610" s="42" t="s">
        <v>236</v>
      </c>
      <c r="H610" s="20" t="s">
        <v>65</v>
      </c>
      <c r="I610" s="9" t="s">
        <v>392</v>
      </c>
      <c r="J610" s="43">
        <v>2025.0</v>
      </c>
      <c r="K610" s="42" t="s">
        <v>82</v>
      </c>
    </row>
    <row r="611" ht="12.75" customHeight="1">
      <c r="A611" s="42" t="s">
        <v>881</v>
      </c>
      <c r="B611" s="21">
        <v>45901.0</v>
      </c>
      <c r="C611" s="20" t="s">
        <v>163</v>
      </c>
      <c r="D611" s="21">
        <v>45900.0</v>
      </c>
      <c r="E611" s="21">
        <v>45906.0</v>
      </c>
      <c r="F611" s="20" t="s">
        <v>880</v>
      </c>
      <c r="G611" s="42" t="s">
        <v>245</v>
      </c>
      <c r="H611" s="20" t="s">
        <v>73</v>
      </c>
      <c r="I611" s="9" t="s">
        <v>392</v>
      </c>
      <c r="J611" s="43">
        <v>2025.0</v>
      </c>
      <c r="K611" s="42" t="s">
        <v>82</v>
      </c>
    </row>
    <row r="612" ht="12.75" customHeight="1">
      <c r="A612" s="42" t="s">
        <v>882</v>
      </c>
      <c r="B612" s="21">
        <v>45902.0</v>
      </c>
      <c r="C612" s="20" t="s">
        <v>169</v>
      </c>
      <c r="D612" s="21">
        <v>45900.0</v>
      </c>
      <c r="E612" s="21">
        <v>45906.0</v>
      </c>
      <c r="F612" s="20" t="s">
        <v>880</v>
      </c>
      <c r="G612" s="42" t="s">
        <v>245</v>
      </c>
      <c r="H612" s="20" t="s">
        <v>73</v>
      </c>
      <c r="I612" s="9" t="s">
        <v>392</v>
      </c>
      <c r="J612" s="43">
        <v>2025.0</v>
      </c>
      <c r="K612" s="42" t="s">
        <v>82</v>
      </c>
    </row>
    <row r="613" ht="12.75" customHeight="1">
      <c r="A613" s="42" t="s">
        <v>883</v>
      </c>
      <c r="B613" s="21">
        <v>45903.0</v>
      </c>
      <c r="C613" s="20" t="s">
        <v>171</v>
      </c>
      <c r="D613" s="21">
        <v>45900.0</v>
      </c>
      <c r="E613" s="21">
        <v>45906.0</v>
      </c>
      <c r="F613" s="20" t="s">
        <v>880</v>
      </c>
      <c r="G613" s="42" t="s">
        <v>245</v>
      </c>
      <c r="H613" s="20" t="s">
        <v>73</v>
      </c>
      <c r="I613" s="9" t="s">
        <v>392</v>
      </c>
      <c r="J613" s="43">
        <v>2025.0</v>
      </c>
      <c r="K613" s="42" t="s">
        <v>82</v>
      </c>
    </row>
    <row r="614" ht="12.75" customHeight="1">
      <c r="A614" s="42" t="s">
        <v>884</v>
      </c>
      <c r="B614" s="21">
        <v>45904.0</v>
      </c>
      <c r="C614" s="20" t="s">
        <v>173</v>
      </c>
      <c r="D614" s="21">
        <v>45900.0</v>
      </c>
      <c r="E614" s="21">
        <v>45906.0</v>
      </c>
      <c r="F614" s="20" t="s">
        <v>880</v>
      </c>
      <c r="G614" s="42" t="s">
        <v>245</v>
      </c>
      <c r="H614" s="20" t="s">
        <v>73</v>
      </c>
      <c r="I614" s="9" t="s">
        <v>392</v>
      </c>
      <c r="J614" s="43">
        <v>2025.0</v>
      </c>
      <c r="K614" s="42" t="s">
        <v>82</v>
      </c>
    </row>
    <row r="615" ht="12.75" customHeight="1">
      <c r="A615" s="42" t="s">
        <v>885</v>
      </c>
      <c r="B615" s="21">
        <v>45905.0</v>
      </c>
      <c r="C615" s="20" t="s">
        <v>175</v>
      </c>
      <c r="D615" s="21">
        <v>45900.0</v>
      </c>
      <c r="E615" s="21">
        <v>45906.0</v>
      </c>
      <c r="F615" s="20" t="s">
        <v>880</v>
      </c>
      <c r="G615" s="42" t="s">
        <v>245</v>
      </c>
      <c r="H615" s="20" t="s">
        <v>73</v>
      </c>
      <c r="I615" s="9" t="s">
        <v>392</v>
      </c>
      <c r="J615" s="43">
        <v>2025.0</v>
      </c>
      <c r="K615" s="42" t="s">
        <v>82</v>
      </c>
    </row>
    <row r="616" ht="12.75" customHeight="1">
      <c r="A616" s="42" t="s">
        <v>886</v>
      </c>
      <c r="B616" s="21">
        <v>45906.0</v>
      </c>
      <c r="C616" s="20" t="s">
        <v>177</v>
      </c>
      <c r="D616" s="21">
        <v>45900.0</v>
      </c>
      <c r="E616" s="21">
        <v>45906.0</v>
      </c>
      <c r="F616" s="20" t="s">
        <v>880</v>
      </c>
      <c r="G616" s="42" t="s">
        <v>245</v>
      </c>
      <c r="H616" s="20" t="s">
        <v>73</v>
      </c>
      <c r="I616" s="9" t="s">
        <v>392</v>
      </c>
      <c r="J616" s="43">
        <v>2025.0</v>
      </c>
      <c r="K616" s="42" t="s">
        <v>82</v>
      </c>
    </row>
    <row r="617" ht="12.75" customHeight="1">
      <c r="A617" s="42" t="s">
        <v>887</v>
      </c>
      <c r="B617" s="21">
        <v>45907.0</v>
      </c>
      <c r="C617" s="20" t="s">
        <v>179</v>
      </c>
      <c r="D617" s="21">
        <v>45907.0</v>
      </c>
      <c r="E617" s="21">
        <v>45913.0</v>
      </c>
      <c r="F617" s="20" t="s">
        <v>888</v>
      </c>
      <c r="G617" s="42" t="s">
        <v>245</v>
      </c>
      <c r="H617" s="20" t="s">
        <v>73</v>
      </c>
      <c r="I617" s="9" t="s">
        <v>392</v>
      </c>
      <c r="J617" s="43">
        <v>2025.0</v>
      </c>
      <c r="K617" s="42" t="s">
        <v>114</v>
      </c>
    </row>
    <row r="618" ht="12.75" customHeight="1">
      <c r="A618" s="42" t="s">
        <v>889</v>
      </c>
      <c r="B618" s="21">
        <v>45908.0</v>
      </c>
      <c r="C618" s="20" t="s">
        <v>163</v>
      </c>
      <c r="D618" s="21">
        <v>45907.0</v>
      </c>
      <c r="E618" s="21">
        <v>45913.0</v>
      </c>
      <c r="F618" s="20" t="s">
        <v>888</v>
      </c>
      <c r="G618" s="42" t="s">
        <v>245</v>
      </c>
      <c r="H618" s="20" t="s">
        <v>73</v>
      </c>
      <c r="I618" s="9" t="s">
        <v>392</v>
      </c>
      <c r="J618" s="43">
        <v>2025.0</v>
      </c>
      <c r="K618" s="42" t="s">
        <v>114</v>
      </c>
    </row>
    <row r="619" ht="12.75" customHeight="1">
      <c r="A619" s="42" t="s">
        <v>890</v>
      </c>
      <c r="B619" s="21">
        <v>45909.0</v>
      </c>
      <c r="C619" s="20" t="s">
        <v>169</v>
      </c>
      <c r="D619" s="21">
        <v>45907.0</v>
      </c>
      <c r="E619" s="21">
        <v>45913.0</v>
      </c>
      <c r="F619" s="20" t="s">
        <v>888</v>
      </c>
      <c r="G619" s="42" t="s">
        <v>245</v>
      </c>
      <c r="H619" s="20" t="s">
        <v>73</v>
      </c>
      <c r="I619" s="9" t="s">
        <v>392</v>
      </c>
      <c r="J619" s="43">
        <v>2025.0</v>
      </c>
      <c r="K619" s="42" t="s">
        <v>114</v>
      </c>
    </row>
    <row r="620" ht="12.75" customHeight="1">
      <c r="A620" s="42" t="s">
        <v>891</v>
      </c>
      <c r="B620" s="21">
        <v>45910.0</v>
      </c>
      <c r="C620" s="20" t="s">
        <v>171</v>
      </c>
      <c r="D620" s="21">
        <v>45907.0</v>
      </c>
      <c r="E620" s="21">
        <v>45913.0</v>
      </c>
      <c r="F620" s="20" t="s">
        <v>888</v>
      </c>
      <c r="G620" s="42" t="s">
        <v>245</v>
      </c>
      <c r="H620" s="20" t="s">
        <v>73</v>
      </c>
      <c r="I620" s="9" t="s">
        <v>392</v>
      </c>
      <c r="J620" s="43">
        <v>2025.0</v>
      </c>
      <c r="K620" s="42" t="s">
        <v>114</v>
      </c>
    </row>
    <row r="621" ht="12.75" customHeight="1">
      <c r="A621" s="42" t="s">
        <v>892</v>
      </c>
      <c r="B621" s="21">
        <v>45911.0</v>
      </c>
      <c r="C621" s="20" t="s">
        <v>173</v>
      </c>
      <c r="D621" s="21">
        <v>45907.0</v>
      </c>
      <c r="E621" s="21">
        <v>45913.0</v>
      </c>
      <c r="F621" s="20" t="s">
        <v>888</v>
      </c>
      <c r="G621" s="42" t="s">
        <v>245</v>
      </c>
      <c r="H621" s="20" t="s">
        <v>73</v>
      </c>
      <c r="I621" s="9" t="s">
        <v>392</v>
      </c>
      <c r="J621" s="43">
        <v>2025.0</v>
      </c>
      <c r="K621" s="42" t="s">
        <v>114</v>
      </c>
    </row>
    <row r="622" ht="12.75" customHeight="1">
      <c r="A622" s="42" t="s">
        <v>893</v>
      </c>
      <c r="B622" s="21">
        <v>45912.0</v>
      </c>
      <c r="C622" s="20" t="s">
        <v>175</v>
      </c>
      <c r="D622" s="21">
        <v>45907.0</v>
      </c>
      <c r="E622" s="21">
        <v>45913.0</v>
      </c>
      <c r="F622" s="20" t="s">
        <v>888</v>
      </c>
      <c r="G622" s="42" t="s">
        <v>245</v>
      </c>
      <c r="H622" s="20" t="s">
        <v>73</v>
      </c>
      <c r="I622" s="9" t="s">
        <v>392</v>
      </c>
      <c r="J622" s="43">
        <v>2025.0</v>
      </c>
      <c r="K622" s="42" t="s">
        <v>114</v>
      </c>
    </row>
    <row r="623" ht="12.75" customHeight="1">
      <c r="A623" s="42" t="s">
        <v>894</v>
      </c>
      <c r="B623" s="21">
        <v>45913.0</v>
      </c>
      <c r="C623" s="20" t="s">
        <v>177</v>
      </c>
      <c r="D623" s="21">
        <v>45907.0</v>
      </c>
      <c r="E623" s="21">
        <v>45913.0</v>
      </c>
      <c r="F623" s="20" t="s">
        <v>888</v>
      </c>
      <c r="G623" s="42" t="s">
        <v>245</v>
      </c>
      <c r="H623" s="20" t="s">
        <v>73</v>
      </c>
      <c r="I623" s="9" t="s">
        <v>392</v>
      </c>
      <c r="J623" s="43">
        <v>2025.0</v>
      </c>
      <c r="K623" s="42" t="s">
        <v>114</v>
      </c>
    </row>
    <row r="624" ht="12.75" customHeight="1">
      <c r="A624" s="42" t="s">
        <v>895</v>
      </c>
      <c r="B624" s="21">
        <v>45914.0</v>
      </c>
      <c r="C624" s="20" t="s">
        <v>179</v>
      </c>
      <c r="D624" s="21">
        <v>45914.0</v>
      </c>
      <c r="E624" s="21">
        <v>45920.0</v>
      </c>
      <c r="F624" s="20" t="s">
        <v>896</v>
      </c>
      <c r="G624" s="42" t="s">
        <v>245</v>
      </c>
      <c r="H624" s="20" t="s">
        <v>73</v>
      </c>
      <c r="I624" s="9" t="s">
        <v>392</v>
      </c>
      <c r="J624" s="43">
        <v>2025.0</v>
      </c>
      <c r="K624" s="42" t="s">
        <v>115</v>
      </c>
    </row>
    <row r="625" ht="12.75" customHeight="1">
      <c r="A625" s="42" t="s">
        <v>897</v>
      </c>
      <c r="B625" s="21">
        <v>45915.0</v>
      </c>
      <c r="C625" s="20" t="s">
        <v>163</v>
      </c>
      <c r="D625" s="21">
        <v>45914.0</v>
      </c>
      <c r="E625" s="21">
        <v>45920.0</v>
      </c>
      <c r="F625" s="20" t="s">
        <v>896</v>
      </c>
      <c r="G625" s="42" t="s">
        <v>245</v>
      </c>
      <c r="H625" s="20" t="s">
        <v>73</v>
      </c>
      <c r="I625" s="9" t="s">
        <v>392</v>
      </c>
      <c r="J625" s="43">
        <v>2025.0</v>
      </c>
      <c r="K625" s="42" t="s">
        <v>115</v>
      </c>
    </row>
    <row r="626" ht="12.75" customHeight="1">
      <c r="A626" s="42" t="s">
        <v>898</v>
      </c>
      <c r="B626" s="21">
        <v>45916.0</v>
      </c>
      <c r="C626" s="20" t="s">
        <v>169</v>
      </c>
      <c r="D626" s="21">
        <v>45914.0</v>
      </c>
      <c r="E626" s="21">
        <v>45920.0</v>
      </c>
      <c r="F626" s="20" t="s">
        <v>896</v>
      </c>
      <c r="G626" s="42" t="s">
        <v>245</v>
      </c>
      <c r="H626" s="20" t="s">
        <v>73</v>
      </c>
      <c r="I626" s="9" t="s">
        <v>392</v>
      </c>
      <c r="J626" s="43">
        <v>2025.0</v>
      </c>
      <c r="K626" s="42" t="s">
        <v>115</v>
      </c>
    </row>
    <row r="627" ht="12.75" customHeight="1">
      <c r="A627" s="42" t="s">
        <v>899</v>
      </c>
      <c r="B627" s="21">
        <v>45917.0</v>
      </c>
      <c r="C627" s="20" t="s">
        <v>171</v>
      </c>
      <c r="D627" s="21">
        <v>45914.0</v>
      </c>
      <c r="E627" s="21">
        <v>45920.0</v>
      </c>
      <c r="F627" s="20" t="s">
        <v>896</v>
      </c>
      <c r="G627" s="42" t="s">
        <v>245</v>
      </c>
      <c r="H627" s="20" t="s">
        <v>73</v>
      </c>
      <c r="I627" s="9" t="s">
        <v>392</v>
      </c>
      <c r="J627" s="43">
        <v>2025.0</v>
      </c>
      <c r="K627" s="42" t="s">
        <v>115</v>
      </c>
    </row>
    <row r="628" ht="12.75" customHeight="1">
      <c r="A628" s="42" t="s">
        <v>900</v>
      </c>
      <c r="B628" s="21">
        <v>45918.0</v>
      </c>
      <c r="C628" s="20" t="s">
        <v>173</v>
      </c>
      <c r="D628" s="21">
        <v>45914.0</v>
      </c>
      <c r="E628" s="21">
        <v>45920.0</v>
      </c>
      <c r="F628" s="20" t="s">
        <v>896</v>
      </c>
      <c r="G628" s="42" t="s">
        <v>245</v>
      </c>
      <c r="H628" s="20" t="s">
        <v>73</v>
      </c>
      <c r="I628" s="9" t="s">
        <v>392</v>
      </c>
      <c r="J628" s="43">
        <v>2025.0</v>
      </c>
      <c r="K628" s="42" t="s">
        <v>115</v>
      </c>
    </row>
    <row r="629" ht="12.75" customHeight="1">
      <c r="A629" s="42" t="s">
        <v>901</v>
      </c>
      <c r="B629" s="21">
        <v>45919.0</v>
      </c>
      <c r="C629" s="20" t="s">
        <v>175</v>
      </c>
      <c r="D629" s="21">
        <v>45914.0</v>
      </c>
      <c r="E629" s="21">
        <v>45920.0</v>
      </c>
      <c r="F629" s="20" t="s">
        <v>896</v>
      </c>
      <c r="G629" s="42" t="s">
        <v>245</v>
      </c>
      <c r="H629" s="20" t="s">
        <v>73</v>
      </c>
      <c r="I629" s="9" t="s">
        <v>392</v>
      </c>
      <c r="J629" s="43">
        <v>2025.0</v>
      </c>
      <c r="K629" s="42" t="s">
        <v>115</v>
      </c>
    </row>
    <row r="630" ht="12.75" customHeight="1">
      <c r="A630" s="42" t="s">
        <v>902</v>
      </c>
      <c r="B630" s="21">
        <v>45920.0</v>
      </c>
      <c r="C630" s="20" t="s">
        <v>177</v>
      </c>
      <c r="D630" s="21">
        <v>45914.0</v>
      </c>
      <c r="E630" s="21">
        <v>45920.0</v>
      </c>
      <c r="F630" s="20" t="s">
        <v>896</v>
      </c>
      <c r="G630" s="42" t="s">
        <v>245</v>
      </c>
      <c r="H630" s="20" t="s">
        <v>73</v>
      </c>
      <c r="I630" s="9" t="s">
        <v>392</v>
      </c>
      <c r="J630" s="43">
        <v>2025.0</v>
      </c>
      <c r="K630" s="42" t="s">
        <v>115</v>
      </c>
    </row>
    <row r="631" ht="12.75" customHeight="1">
      <c r="A631" s="42" t="s">
        <v>903</v>
      </c>
      <c r="B631" s="21">
        <v>45921.0</v>
      </c>
      <c r="C631" s="20" t="s">
        <v>179</v>
      </c>
      <c r="D631" s="21">
        <v>45921.0</v>
      </c>
      <c r="E631" s="21">
        <v>45927.0</v>
      </c>
      <c r="F631" s="20" t="s">
        <v>904</v>
      </c>
      <c r="G631" s="42" t="s">
        <v>245</v>
      </c>
      <c r="H631" s="20" t="s">
        <v>73</v>
      </c>
      <c r="I631" s="9" t="s">
        <v>392</v>
      </c>
      <c r="J631" s="43">
        <v>2025.0</v>
      </c>
      <c r="K631" s="42" t="s">
        <v>116</v>
      </c>
    </row>
    <row r="632" ht="12.75" customHeight="1">
      <c r="A632" s="42" t="s">
        <v>905</v>
      </c>
      <c r="B632" s="21">
        <v>45922.0</v>
      </c>
      <c r="C632" s="20" t="s">
        <v>163</v>
      </c>
      <c r="D632" s="21">
        <v>45921.0</v>
      </c>
      <c r="E632" s="21">
        <v>45927.0</v>
      </c>
      <c r="F632" s="20" t="s">
        <v>904</v>
      </c>
      <c r="G632" s="42" t="s">
        <v>245</v>
      </c>
      <c r="H632" s="20" t="s">
        <v>73</v>
      </c>
      <c r="I632" s="9" t="s">
        <v>392</v>
      </c>
      <c r="J632" s="43">
        <v>2025.0</v>
      </c>
      <c r="K632" s="42" t="s">
        <v>116</v>
      </c>
    </row>
    <row r="633" ht="12.75" customHeight="1">
      <c r="A633" s="42" t="s">
        <v>906</v>
      </c>
      <c r="B633" s="21">
        <v>45923.0</v>
      </c>
      <c r="C633" s="20" t="s">
        <v>169</v>
      </c>
      <c r="D633" s="21">
        <v>45921.0</v>
      </c>
      <c r="E633" s="21">
        <v>45927.0</v>
      </c>
      <c r="F633" s="20" t="s">
        <v>904</v>
      </c>
      <c r="G633" s="42" t="s">
        <v>245</v>
      </c>
      <c r="H633" s="20" t="s">
        <v>73</v>
      </c>
      <c r="I633" s="9" t="s">
        <v>392</v>
      </c>
      <c r="J633" s="43">
        <v>2025.0</v>
      </c>
      <c r="K633" s="42" t="s">
        <v>116</v>
      </c>
    </row>
    <row r="634" ht="12.75" customHeight="1">
      <c r="A634" s="42" t="s">
        <v>907</v>
      </c>
      <c r="B634" s="21">
        <v>45924.0</v>
      </c>
      <c r="C634" s="20" t="s">
        <v>171</v>
      </c>
      <c r="D634" s="21">
        <v>45921.0</v>
      </c>
      <c r="E634" s="21">
        <v>45927.0</v>
      </c>
      <c r="F634" s="20" t="s">
        <v>904</v>
      </c>
      <c r="G634" s="42" t="s">
        <v>245</v>
      </c>
      <c r="H634" s="20" t="s">
        <v>73</v>
      </c>
      <c r="I634" s="9" t="s">
        <v>392</v>
      </c>
      <c r="J634" s="43">
        <v>2025.0</v>
      </c>
      <c r="K634" s="42" t="s">
        <v>116</v>
      </c>
    </row>
    <row r="635" ht="12.75" customHeight="1">
      <c r="A635" s="42" t="s">
        <v>908</v>
      </c>
      <c r="B635" s="21">
        <v>45925.0</v>
      </c>
      <c r="C635" s="20" t="s">
        <v>173</v>
      </c>
      <c r="D635" s="21">
        <v>45921.0</v>
      </c>
      <c r="E635" s="21">
        <v>45927.0</v>
      </c>
      <c r="F635" s="20" t="s">
        <v>904</v>
      </c>
      <c r="G635" s="42" t="s">
        <v>245</v>
      </c>
      <c r="H635" s="20" t="s">
        <v>73</v>
      </c>
      <c r="I635" s="9" t="s">
        <v>392</v>
      </c>
      <c r="J635" s="43">
        <v>2025.0</v>
      </c>
      <c r="K635" s="42" t="s">
        <v>116</v>
      </c>
    </row>
    <row r="636" ht="12.75" customHeight="1">
      <c r="A636" s="42" t="s">
        <v>909</v>
      </c>
      <c r="B636" s="21">
        <v>45926.0</v>
      </c>
      <c r="C636" s="20" t="s">
        <v>175</v>
      </c>
      <c r="D636" s="21">
        <v>45921.0</v>
      </c>
      <c r="E636" s="21">
        <v>45927.0</v>
      </c>
      <c r="F636" s="20" t="s">
        <v>904</v>
      </c>
      <c r="G636" s="42" t="s">
        <v>245</v>
      </c>
      <c r="H636" s="20" t="s">
        <v>73</v>
      </c>
      <c r="I636" s="9" t="s">
        <v>392</v>
      </c>
      <c r="J636" s="43">
        <v>2025.0</v>
      </c>
      <c r="K636" s="42" t="s">
        <v>116</v>
      </c>
    </row>
    <row r="637" ht="12.75" customHeight="1">
      <c r="A637" s="42" t="s">
        <v>910</v>
      </c>
      <c r="B637" s="21">
        <v>45927.0</v>
      </c>
      <c r="C637" s="20" t="s">
        <v>177</v>
      </c>
      <c r="D637" s="21">
        <v>45921.0</v>
      </c>
      <c r="E637" s="21">
        <v>45927.0</v>
      </c>
      <c r="F637" s="20" t="s">
        <v>904</v>
      </c>
      <c r="G637" s="42" t="s">
        <v>245</v>
      </c>
      <c r="H637" s="20" t="s">
        <v>73</v>
      </c>
      <c r="I637" s="9" t="s">
        <v>392</v>
      </c>
      <c r="J637" s="43">
        <v>2025.0</v>
      </c>
      <c r="K637" s="42" t="s">
        <v>116</v>
      </c>
    </row>
    <row r="638" ht="12.75" customHeight="1">
      <c r="A638" s="42" t="s">
        <v>911</v>
      </c>
      <c r="B638" s="21">
        <v>45928.0</v>
      </c>
      <c r="C638" s="20" t="s">
        <v>179</v>
      </c>
      <c r="D638" s="21">
        <v>45928.0</v>
      </c>
      <c r="E638" s="21">
        <v>45934.0</v>
      </c>
      <c r="F638" s="20" t="s">
        <v>912</v>
      </c>
      <c r="G638" s="42" t="s">
        <v>245</v>
      </c>
      <c r="H638" s="20" t="s">
        <v>73</v>
      </c>
      <c r="I638" s="9" t="s">
        <v>392</v>
      </c>
      <c r="J638" s="43">
        <v>2025.0</v>
      </c>
      <c r="K638" s="42" t="s">
        <v>117</v>
      </c>
    </row>
    <row r="639" ht="12.75" customHeight="1">
      <c r="A639" s="42" t="s">
        <v>913</v>
      </c>
      <c r="B639" s="21">
        <v>45929.0</v>
      </c>
      <c r="C639" s="20" t="s">
        <v>163</v>
      </c>
      <c r="D639" s="21">
        <v>45928.0</v>
      </c>
      <c r="E639" s="21">
        <v>45934.0</v>
      </c>
      <c r="F639" s="20" t="s">
        <v>912</v>
      </c>
      <c r="G639" s="42" t="s">
        <v>245</v>
      </c>
      <c r="H639" s="20" t="s">
        <v>73</v>
      </c>
      <c r="I639" s="9" t="s">
        <v>392</v>
      </c>
      <c r="J639" s="43">
        <v>2025.0</v>
      </c>
      <c r="K639" s="42" t="s">
        <v>117</v>
      </c>
    </row>
    <row r="640" ht="12.75" customHeight="1">
      <c r="A640" s="42" t="s">
        <v>914</v>
      </c>
      <c r="B640" s="21">
        <v>45930.0</v>
      </c>
      <c r="C640" s="20" t="s">
        <v>169</v>
      </c>
      <c r="D640" s="21">
        <v>45928.0</v>
      </c>
      <c r="E640" s="21">
        <v>45934.0</v>
      </c>
      <c r="F640" s="20" t="s">
        <v>912</v>
      </c>
      <c r="G640" s="42" t="s">
        <v>245</v>
      </c>
      <c r="H640" s="20" t="s">
        <v>73</v>
      </c>
      <c r="I640" s="9" t="s">
        <v>392</v>
      </c>
      <c r="J640" s="43">
        <v>2025.0</v>
      </c>
      <c r="K640" s="42" t="s">
        <v>117</v>
      </c>
    </row>
    <row r="641" ht="12.75" customHeight="1">
      <c r="A641" s="42" t="s">
        <v>915</v>
      </c>
      <c r="B641" s="21">
        <v>45931.0</v>
      </c>
      <c r="C641" s="20" t="s">
        <v>171</v>
      </c>
      <c r="D641" s="21">
        <v>45928.0</v>
      </c>
      <c r="E641" s="21">
        <v>45934.0</v>
      </c>
      <c r="F641" s="20" t="s">
        <v>912</v>
      </c>
      <c r="G641" s="42" t="s">
        <v>96</v>
      </c>
      <c r="H641" s="20" t="s">
        <v>72</v>
      </c>
      <c r="I641" s="9" t="s">
        <v>498</v>
      </c>
      <c r="J641" s="43">
        <v>2025.0</v>
      </c>
      <c r="K641" s="42" t="s">
        <v>117</v>
      </c>
    </row>
    <row r="642" ht="12.75" customHeight="1">
      <c r="A642" s="42" t="s">
        <v>916</v>
      </c>
      <c r="B642" s="21">
        <v>45932.0</v>
      </c>
      <c r="C642" s="20" t="s">
        <v>173</v>
      </c>
      <c r="D642" s="21">
        <v>45928.0</v>
      </c>
      <c r="E642" s="21">
        <v>45934.0</v>
      </c>
      <c r="F642" s="20" t="s">
        <v>912</v>
      </c>
      <c r="G642" s="42" t="s">
        <v>96</v>
      </c>
      <c r="H642" s="20" t="s">
        <v>72</v>
      </c>
      <c r="I642" s="9" t="s">
        <v>498</v>
      </c>
      <c r="J642" s="43">
        <v>2025.0</v>
      </c>
      <c r="K642" s="42" t="s">
        <v>117</v>
      </c>
    </row>
    <row r="643" ht="12.75" customHeight="1">
      <c r="A643" s="42" t="s">
        <v>917</v>
      </c>
      <c r="B643" s="21">
        <v>45933.0</v>
      </c>
      <c r="C643" s="20" t="s">
        <v>175</v>
      </c>
      <c r="D643" s="21">
        <v>45928.0</v>
      </c>
      <c r="E643" s="21">
        <v>45934.0</v>
      </c>
      <c r="F643" s="20" t="s">
        <v>912</v>
      </c>
      <c r="G643" s="42" t="s">
        <v>96</v>
      </c>
      <c r="H643" s="20" t="s">
        <v>72</v>
      </c>
      <c r="I643" s="9" t="s">
        <v>498</v>
      </c>
      <c r="J643" s="43">
        <v>2025.0</v>
      </c>
      <c r="K643" s="42" t="s">
        <v>117</v>
      </c>
    </row>
    <row r="644" ht="12.75" customHeight="1">
      <c r="A644" s="42" t="s">
        <v>918</v>
      </c>
      <c r="B644" s="21">
        <v>45934.0</v>
      </c>
      <c r="C644" s="20" t="s">
        <v>177</v>
      </c>
      <c r="D644" s="21">
        <v>45928.0</v>
      </c>
      <c r="E644" s="21">
        <v>45934.0</v>
      </c>
      <c r="F644" s="20" t="s">
        <v>912</v>
      </c>
      <c r="G644" s="42" t="s">
        <v>96</v>
      </c>
      <c r="H644" s="20" t="s">
        <v>72</v>
      </c>
      <c r="I644" s="9" t="s">
        <v>498</v>
      </c>
      <c r="J644" s="43">
        <v>2025.0</v>
      </c>
      <c r="K644" s="42" t="s">
        <v>117</v>
      </c>
    </row>
    <row r="645" ht="12.75" customHeight="1">
      <c r="A645" s="42" t="s">
        <v>919</v>
      </c>
      <c r="B645" s="21">
        <v>45935.0</v>
      </c>
      <c r="C645" s="20" t="s">
        <v>179</v>
      </c>
      <c r="D645" s="21">
        <v>45935.0</v>
      </c>
      <c r="E645" s="21">
        <v>45941.0</v>
      </c>
      <c r="F645" s="20" t="s">
        <v>920</v>
      </c>
      <c r="G645" s="42" t="s">
        <v>96</v>
      </c>
      <c r="H645" s="20" t="s">
        <v>72</v>
      </c>
      <c r="I645" s="9" t="s">
        <v>498</v>
      </c>
      <c r="J645" s="43">
        <v>2025.0</v>
      </c>
      <c r="K645" s="42" t="s">
        <v>110</v>
      </c>
    </row>
    <row r="646" ht="12.75" customHeight="1">
      <c r="A646" s="42" t="s">
        <v>921</v>
      </c>
      <c r="B646" s="21">
        <v>45936.0</v>
      </c>
      <c r="C646" s="20" t="s">
        <v>163</v>
      </c>
      <c r="D646" s="21">
        <v>45935.0</v>
      </c>
      <c r="E646" s="21">
        <v>45941.0</v>
      </c>
      <c r="F646" s="20" t="s">
        <v>920</v>
      </c>
      <c r="G646" s="42" t="s">
        <v>96</v>
      </c>
      <c r="H646" s="20" t="s">
        <v>72</v>
      </c>
      <c r="I646" s="9" t="s">
        <v>498</v>
      </c>
      <c r="J646" s="43">
        <v>2025.0</v>
      </c>
      <c r="K646" s="42" t="s">
        <v>110</v>
      </c>
    </row>
    <row r="647" ht="12.75" customHeight="1">
      <c r="A647" s="42" t="s">
        <v>922</v>
      </c>
      <c r="B647" s="21">
        <v>45937.0</v>
      </c>
      <c r="C647" s="20" t="s">
        <v>169</v>
      </c>
      <c r="D647" s="21">
        <v>45935.0</v>
      </c>
      <c r="E647" s="21">
        <v>45941.0</v>
      </c>
      <c r="F647" s="20" t="s">
        <v>920</v>
      </c>
      <c r="G647" s="42" t="s">
        <v>96</v>
      </c>
      <c r="H647" s="20" t="s">
        <v>72</v>
      </c>
      <c r="I647" s="9" t="s">
        <v>498</v>
      </c>
      <c r="J647" s="43">
        <v>2025.0</v>
      </c>
      <c r="K647" s="42" t="s">
        <v>110</v>
      </c>
    </row>
    <row r="648" ht="12.75" customHeight="1">
      <c r="A648" s="42" t="s">
        <v>923</v>
      </c>
      <c r="B648" s="21">
        <v>45938.0</v>
      </c>
      <c r="C648" s="20" t="s">
        <v>171</v>
      </c>
      <c r="D648" s="21">
        <v>45935.0</v>
      </c>
      <c r="E648" s="21">
        <v>45941.0</v>
      </c>
      <c r="F648" s="20" t="s">
        <v>920</v>
      </c>
      <c r="G648" s="42" t="s">
        <v>96</v>
      </c>
      <c r="H648" s="20" t="s">
        <v>72</v>
      </c>
      <c r="I648" s="9" t="s">
        <v>498</v>
      </c>
      <c r="J648" s="43">
        <v>2025.0</v>
      </c>
      <c r="K648" s="42" t="s">
        <v>110</v>
      </c>
    </row>
    <row r="649" ht="12.75" customHeight="1">
      <c r="A649" s="42" t="s">
        <v>924</v>
      </c>
      <c r="B649" s="21">
        <v>45939.0</v>
      </c>
      <c r="C649" s="20" t="s">
        <v>173</v>
      </c>
      <c r="D649" s="21">
        <v>45935.0</v>
      </c>
      <c r="E649" s="21">
        <v>45941.0</v>
      </c>
      <c r="F649" s="20" t="s">
        <v>920</v>
      </c>
      <c r="G649" s="42" t="s">
        <v>96</v>
      </c>
      <c r="H649" s="20" t="s">
        <v>72</v>
      </c>
      <c r="I649" s="9" t="s">
        <v>498</v>
      </c>
      <c r="J649" s="43">
        <v>2025.0</v>
      </c>
      <c r="K649" s="42" t="s">
        <v>110</v>
      </c>
    </row>
    <row r="650" ht="12.75" customHeight="1">
      <c r="A650" s="42" t="s">
        <v>925</v>
      </c>
      <c r="B650" s="21">
        <v>45940.0</v>
      </c>
      <c r="C650" s="20" t="s">
        <v>175</v>
      </c>
      <c r="D650" s="21">
        <v>45935.0</v>
      </c>
      <c r="E650" s="21">
        <v>45941.0</v>
      </c>
      <c r="F650" s="20" t="s">
        <v>920</v>
      </c>
      <c r="G650" s="42" t="s">
        <v>96</v>
      </c>
      <c r="H650" s="20" t="s">
        <v>72</v>
      </c>
      <c r="I650" s="9" t="s">
        <v>498</v>
      </c>
      <c r="J650" s="43">
        <v>2025.0</v>
      </c>
      <c r="K650" s="42" t="s">
        <v>110</v>
      </c>
    </row>
    <row r="651" ht="12.75" customHeight="1">
      <c r="A651" s="42" t="s">
        <v>926</v>
      </c>
      <c r="B651" s="21">
        <v>45941.0</v>
      </c>
      <c r="C651" s="20" t="s">
        <v>177</v>
      </c>
      <c r="D651" s="21">
        <v>45935.0</v>
      </c>
      <c r="E651" s="21">
        <v>45941.0</v>
      </c>
      <c r="F651" s="20" t="s">
        <v>920</v>
      </c>
      <c r="G651" s="42" t="s">
        <v>96</v>
      </c>
      <c r="H651" s="20" t="s">
        <v>72</v>
      </c>
      <c r="I651" s="9" t="s">
        <v>498</v>
      </c>
      <c r="J651" s="43">
        <v>2025.0</v>
      </c>
      <c r="K651" s="42" t="s">
        <v>110</v>
      </c>
    </row>
    <row r="652" ht="12.75" customHeight="1">
      <c r="A652" s="42" t="s">
        <v>927</v>
      </c>
      <c r="B652" s="21">
        <v>45942.0</v>
      </c>
      <c r="C652" s="20" t="s">
        <v>179</v>
      </c>
      <c r="D652" s="21">
        <v>45942.0</v>
      </c>
      <c r="E652" s="21">
        <v>45948.0</v>
      </c>
      <c r="F652" s="20" t="s">
        <v>928</v>
      </c>
      <c r="G652" s="42" t="s">
        <v>96</v>
      </c>
      <c r="H652" s="20" t="s">
        <v>72</v>
      </c>
      <c r="I652" s="9" t="s">
        <v>498</v>
      </c>
      <c r="J652" s="43">
        <v>2025.0</v>
      </c>
      <c r="K652" s="42" t="s">
        <v>111</v>
      </c>
    </row>
    <row r="653" ht="12.75" customHeight="1">
      <c r="A653" s="42" t="s">
        <v>929</v>
      </c>
      <c r="B653" s="21">
        <v>45943.0</v>
      </c>
      <c r="C653" s="20" t="s">
        <v>163</v>
      </c>
      <c r="D653" s="21">
        <v>45942.0</v>
      </c>
      <c r="E653" s="21">
        <v>45948.0</v>
      </c>
      <c r="F653" s="20" t="s">
        <v>928</v>
      </c>
      <c r="G653" s="42" t="s">
        <v>96</v>
      </c>
      <c r="H653" s="20" t="s">
        <v>72</v>
      </c>
      <c r="I653" s="9" t="s">
        <v>498</v>
      </c>
      <c r="J653" s="43">
        <v>2025.0</v>
      </c>
      <c r="K653" s="42" t="s">
        <v>111</v>
      </c>
    </row>
    <row r="654" ht="12.75" customHeight="1">
      <c r="A654" s="42" t="s">
        <v>930</v>
      </c>
      <c r="B654" s="21">
        <v>45944.0</v>
      </c>
      <c r="C654" s="20" t="s">
        <v>169</v>
      </c>
      <c r="D654" s="21">
        <v>45942.0</v>
      </c>
      <c r="E654" s="21">
        <v>45948.0</v>
      </c>
      <c r="F654" s="20" t="s">
        <v>928</v>
      </c>
      <c r="G654" s="42" t="s">
        <v>96</v>
      </c>
      <c r="H654" s="20" t="s">
        <v>72</v>
      </c>
      <c r="I654" s="9" t="s">
        <v>498</v>
      </c>
      <c r="J654" s="43">
        <v>2025.0</v>
      </c>
      <c r="K654" s="42" t="s">
        <v>111</v>
      </c>
    </row>
    <row r="655" ht="12.75" customHeight="1">
      <c r="A655" s="42" t="s">
        <v>931</v>
      </c>
      <c r="B655" s="21">
        <v>45945.0</v>
      </c>
      <c r="C655" s="20" t="s">
        <v>171</v>
      </c>
      <c r="D655" s="21">
        <v>45942.0</v>
      </c>
      <c r="E655" s="21">
        <v>45948.0</v>
      </c>
      <c r="F655" s="20" t="s">
        <v>928</v>
      </c>
      <c r="G655" s="42" t="s">
        <v>96</v>
      </c>
      <c r="H655" s="20" t="s">
        <v>72</v>
      </c>
      <c r="I655" s="9" t="s">
        <v>498</v>
      </c>
      <c r="J655" s="43">
        <v>2025.0</v>
      </c>
      <c r="K655" s="42" t="s">
        <v>111</v>
      </c>
    </row>
    <row r="656" ht="12.75" customHeight="1">
      <c r="A656" s="42" t="s">
        <v>932</v>
      </c>
      <c r="B656" s="21">
        <v>45946.0</v>
      </c>
      <c r="C656" s="20" t="s">
        <v>173</v>
      </c>
      <c r="D656" s="21">
        <v>45942.0</v>
      </c>
      <c r="E656" s="21">
        <v>45948.0</v>
      </c>
      <c r="F656" s="20" t="s">
        <v>928</v>
      </c>
      <c r="G656" s="42" t="s">
        <v>96</v>
      </c>
      <c r="H656" s="20" t="s">
        <v>72</v>
      </c>
      <c r="I656" s="9" t="s">
        <v>498</v>
      </c>
      <c r="J656" s="43">
        <v>2025.0</v>
      </c>
      <c r="K656" s="42" t="s">
        <v>111</v>
      </c>
    </row>
    <row r="657" ht="12.75" customHeight="1">
      <c r="A657" s="42" t="s">
        <v>933</v>
      </c>
      <c r="B657" s="21">
        <v>45947.0</v>
      </c>
      <c r="C657" s="20" t="s">
        <v>175</v>
      </c>
      <c r="D657" s="21">
        <v>45942.0</v>
      </c>
      <c r="E657" s="21">
        <v>45948.0</v>
      </c>
      <c r="F657" s="20" t="s">
        <v>928</v>
      </c>
      <c r="G657" s="42" t="s">
        <v>96</v>
      </c>
      <c r="H657" s="20" t="s">
        <v>72</v>
      </c>
      <c r="I657" s="9" t="s">
        <v>498</v>
      </c>
      <c r="J657" s="43">
        <v>2025.0</v>
      </c>
      <c r="K657" s="42" t="s">
        <v>111</v>
      </c>
    </row>
    <row r="658" ht="12.75" customHeight="1">
      <c r="A658" s="42" t="s">
        <v>934</v>
      </c>
      <c r="B658" s="21">
        <v>45948.0</v>
      </c>
      <c r="C658" s="20" t="s">
        <v>177</v>
      </c>
      <c r="D658" s="21">
        <v>45942.0</v>
      </c>
      <c r="E658" s="21">
        <v>45948.0</v>
      </c>
      <c r="F658" s="20" t="s">
        <v>928</v>
      </c>
      <c r="G658" s="42" t="s">
        <v>96</v>
      </c>
      <c r="H658" s="20" t="s">
        <v>72</v>
      </c>
      <c r="I658" s="9" t="s">
        <v>498</v>
      </c>
      <c r="J658" s="43">
        <v>2025.0</v>
      </c>
      <c r="K658" s="42" t="s">
        <v>111</v>
      </c>
    </row>
    <row r="659" ht="12.75" customHeight="1">
      <c r="A659" s="42" t="s">
        <v>935</v>
      </c>
      <c r="B659" s="21">
        <v>45949.0</v>
      </c>
      <c r="C659" s="20" t="s">
        <v>179</v>
      </c>
      <c r="D659" s="21">
        <v>45949.0</v>
      </c>
      <c r="E659" s="21">
        <v>45955.0</v>
      </c>
      <c r="F659" s="20" t="s">
        <v>936</v>
      </c>
      <c r="G659" s="42" t="s">
        <v>96</v>
      </c>
      <c r="H659" s="20" t="s">
        <v>72</v>
      </c>
      <c r="I659" s="9" t="s">
        <v>498</v>
      </c>
      <c r="J659" s="43">
        <v>2025.0</v>
      </c>
      <c r="K659" s="42" t="s">
        <v>112</v>
      </c>
    </row>
    <row r="660" ht="12.75" customHeight="1">
      <c r="A660" s="42" t="s">
        <v>937</v>
      </c>
      <c r="B660" s="21">
        <v>45950.0</v>
      </c>
      <c r="C660" s="20" t="s">
        <v>163</v>
      </c>
      <c r="D660" s="21">
        <v>45949.0</v>
      </c>
      <c r="E660" s="21">
        <v>45955.0</v>
      </c>
      <c r="F660" s="20" t="s">
        <v>936</v>
      </c>
      <c r="G660" s="42" t="s">
        <v>96</v>
      </c>
      <c r="H660" s="20" t="s">
        <v>72</v>
      </c>
      <c r="I660" s="9" t="s">
        <v>498</v>
      </c>
      <c r="J660" s="43">
        <v>2025.0</v>
      </c>
      <c r="K660" s="42" t="s">
        <v>112</v>
      </c>
    </row>
    <row r="661" ht="12.75" customHeight="1">
      <c r="A661" s="42" t="s">
        <v>938</v>
      </c>
      <c r="B661" s="21">
        <v>45951.0</v>
      </c>
      <c r="C661" s="20" t="s">
        <v>169</v>
      </c>
      <c r="D661" s="21">
        <v>45949.0</v>
      </c>
      <c r="E661" s="21">
        <v>45955.0</v>
      </c>
      <c r="F661" s="20" t="s">
        <v>936</v>
      </c>
      <c r="G661" s="42" t="s">
        <v>96</v>
      </c>
      <c r="H661" s="20" t="s">
        <v>72</v>
      </c>
      <c r="I661" s="9" t="s">
        <v>498</v>
      </c>
      <c r="J661" s="43">
        <v>2025.0</v>
      </c>
      <c r="K661" s="42" t="s">
        <v>112</v>
      </c>
    </row>
    <row r="662" ht="12.75" customHeight="1">
      <c r="A662" s="42" t="s">
        <v>939</v>
      </c>
      <c r="B662" s="21">
        <v>45952.0</v>
      </c>
      <c r="C662" s="20" t="s">
        <v>171</v>
      </c>
      <c r="D662" s="21">
        <v>45949.0</v>
      </c>
      <c r="E662" s="21">
        <v>45955.0</v>
      </c>
      <c r="F662" s="20" t="s">
        <v>936</v>
      </c>
      <c r="G662" s="42" t="s">
        <v>96</v>
      </c>
      <c r="H662" s="20" t="s">
        <v>72</v>
      </c>
      <c r="I662" s="9" t="s">
        <v>498</v>
      </c>
      <c r="J662" s="43">
        <v>2025.0</v>
      </c>
      <c r="K662" s="42" t="s">
        <v>112</v>
      </c>
    </row>
    <row r="663" ht="12.75" customHeight="1">
      <c r="A663" s="42" t="s">
        <v>940</v>
      </c>
      <c r="B663" s="21">
        <v>45953.0</v>
      </c>
      <c r="C663" s="20" t="s">
        <v>173</v>
      </c>
      <c r="D663" s="21">
        <v>45949.0</v>
      </c>
      <c r="E663" s="21">
        <v>45955.0</v>
      </c>
      <c r="F663" s="20" t="s">
        <v>936</v>
      </c>
      <c r="G663" s="42" t="s">
        <v>96</v>
      </c>
      <c r="H663" s="20" t="s">
        <v>72</v>
      </c>
      <c r="I663" s="9" t="s">
        <v>498</v>
      </c>
      <c r="J663" s="43">
        <v>2025.0</v>
      </c>
      <c r="K663" s="42" t="s">
        <v>112</v>
      </c>
    </row>
    <row r="664" ht="12.75" customHeight="1">
      <c r="A664" s="42" t="s">
        <v>941</v>
      </c>
      <c r="B664" s="21">
        <v>45954.0</v>
      </c>
      <c r="C664" s="20" t="s">
        <v>175</v>
      </c>
      <c r="D664" s="21">
        <v>45949.0</v>
      </c>
      <c r="E664" s="21">
        <v>45955.0</v>
      </c>
      <c r="F664" s="20" t="s">
        <v>936</v>
      </c>
      <c r="G664" s="42" t="s">
        <v>96</v>
      </c>
      <c r="H664" s="20" t="s">
        <v>72</v>
      </c>
      <c r="I664" s="9" t="s">
        <v>498</v>
      </c>
      <c r="J664" s="43">
        <v>2025.0</v>
      </c>
      <c r="K664" s="42" t="s">
        <v>112</v>
      </c>
    </row>
    <row r="665" ht="12.75" customHeight="1">
      <c r="A665" s="42" t="s">
        <v>942</v>
      </c>
      <c r="B665" s="21">
        <v>45955.0</v>
      </c>
      <c r="C665" s="20" t="s">
        <v>177</v>
      </c>
      <c r="D665" s="21">
        <v>45949.0</v>
      </c>
      <c r="E665" s="21">
        <v>45955.0</v>
      </c>
      <c r="F665" s="20" t="s">
        <v>936</v>
      </c>
      <c r="G665" s="42" t="s">
        <v>96</v>
      </c>
      <c r="H665" s="20" t="s">
        <v>72</v>
      </c>
      <c r="I665" s="9" t="s">
        <v>498</v>
      </c>
      <c r="J665" s="43">
        <v>2025.0</v>
      </c>
      <c r="K665" s="42" t="s">
        <v>112</v>
      </c>
    </row>
    <row r="666" ht="12.75" customHeight="1">
      <c r="A666" s="42" t="s">
        <v>943</v>
      </c>
      <c r="B666" s="21">
        <v>45956.0</v>
      </c>
      <c r="C666" s="20" t="s">
        <v>179</v>
      </c>
      <c r="D666" s="21">
        <v>45956.0</v>
      </c>
      <c r="E666" s="21">
        <v>45962.0</v>
      </c>
      <c r="F666" s="20" t="s">
        <v>944</v>
      </c>
      <c r="G666" s="42" t="s">
        <v>96</v>
      </c>
      <c r="H666" s="20" t="s">
        <v>72</v>
      </c>
      <c r="I666" s="9" t="s">
        <v>498</v>
      </c>
      <c r="J666" s="43">
        <v>2025.0</v>
      </c>
      <c r="K666" s="42" t="s">
        <v>113</v>
      </c>
    </row>
    <row r="667" ht="12.75" customHeight="1">
      <c r="A667" s="42" t="s">
        <v>945</v>
      </c>
      <c r="B667" s="21">
        <v>45957.0</v>
      </c>
      <c r="C667" s="20" t="s">
        <v>163</v>
      </c>
      <c r="D667" s="21">
        <v>45956.0</v>
      </c>
      <c r="E667" s="21">
        <v>45962.0</v>
      </c>
      <c r="F667" s="20" t="s">
        <v>944</v>
      </c>
      <c r="G667" s="42" t="s">
        <v>96</v>
      </c>
      <c r="H667" s="20" t="s">
        <v>72</v>
      </c>
      <c r="I667" s="9" t="s">
        <v>498</v>
      </c>
      <c r="J667" s="43">
        <v>2025.0</v>
      </c>
      <c r="K667" s="42" t="s">
        <v>113</v>
      </c>
    </row>
    <row r="668" ht="12.75" customHeight="1">
      <c r="A668" s="42" t="s">
        <v>946</v>
      </c>
      <c r="B668" s="21">
        <v>45958.0</v>
      </c>
      <c r="C668" s="20" t="s">
        <v>169</v>
      </c>
      <c r="D668" s="21">
        <v>45956.0</v>
      </c>
      <c r="E668" s="21">
        <v>45962.0</v>
      </c>
      <c r="F668" s="20" t="s">
        <v>944</v>
      </c>
      <c r="G668" s="42" t="s">
        <v>96</v>
      </c>
      <c r="H668" s="20" t="s">
        <v>72</v>
      </c>
      <c r="I668" s="9" t="s">
        <v>498</v>
      </c>
      <c r="J668" s="43">
        <v>2025.0</v>
      </c>
      <c r="K668" s="42" t="s">
        <v>113</v>
      </c>
    </row>
    <row r="669" ht="12.75" customHeight="1">
      <c r="A669" s="42" t="s">
        <v>947</v>
      </c>
      <c r="B669" s="21">
        <v>45959.0</v>
      </c>
      <c r="C669" s="20" t="s">
        <v>171</v>
      </c>
      <c r="D669" s="21">
        <v>45956.0</v>
      </c>
      <c r="E669" s="21">
        <v>45962.0</v>
      </c>
      <c r="F669" s="20" t="s">
        <v>944</v>
      </c>
      <c r="G669" s="42" t="s">
        <v>96</v>
      </c>
      <c r="H669" s="20" t="s">
        <v>72</v>
      </c>
      <c r="I669" s="9" t="s">
        <v>498</v>
      </c>
      <c r="J669" s="43">
        <v>2025.0</v>
      </c>
      <c r="K669" s="42" t="s">
        <v>113</v>
      </c>
    </row>
    <row r="670" ht="12.75" customHeight="1">
      <c r="A670" s="42" t="s">
        <v>948</v>
      </c>
      <c r="B670" s="21">
        <v>45960.0</v>
      </c>
      <c r="C670" s="20" t="s">
        <v>173</v>
      </c>
      <c r="D670" s="21">
        <v>45956.0</v>
      </c>
      <c r="E670" s="21">
        <v>45962.0</v>
      </c>
      <c r="F670" s="20" t="s">
        <v>944</v>
      </c>
      <c r="G670" s="42" t="s">
        <v>96</v>
      </c>
      <c r="H670" s="20" t="s">
        <v>72</v>
      </c>
      <c r="I670" s="9" t="s">
        <v>498</v>
      </c>
      <c r="J670" s="43">
        <v>2025.0</v>
      </c>
      <c r="K670" s="42" t="s">
        <v>113</v>
      </c>
    </row>
    <row r="671" ht="12.75" customHeight="1">
      <c r="A671" s="42" t="s">
        <v>949</v>
      </c>
      <c r="B671" s="21">
        <v>45961.0</v>
      </c>
      <c r="C671" s="20" t="s">
        <v>175</v>
      </c>
      <c r="D671" s="21">
        <v>45956.0</v>
      </c>
      <c r="E671" s="21">
        <v>45962.0</v>
      </c>
      <c r="F671" s="20" t="s">
        <v>944</v>
      </c>
      <c r="G671" s="42" t="s">
        <v>96</v>
      </c>
      <c r="H671" s="20" t="s">
        <v>72</v>
      </c>
      <c r="I671" s="9" t="s">
        <v>498</v>
      </c>
      <c r="J671" s="43">
        <v>2025.0</v>
      </c>
      <c r="K671" s="42" t="s">
        <v>113</v>
      </c>
    </row>
    <row r="672" ht="12.75" customHeight="1">
      <c r="A672" s="42" t="s">
        <v>950</v>
      </c>
      <c r="B672" s="21">
        <v>45962.0</v>
      </c>
      <c r="C672" s="20" t="s">
        <v>177</v>
      </c>
      <c r="D672" s="21">
        <v>45956.0</v>
      </c>
      <c r="E672" s="21">
        <v>45962.0</v>
      </c>
      <c r="F672" s="20" t="s">
        <v>944</v>
      </c>
      <c r="G672" s="42" t="s">
        <v>97</v>
      </c>
      <c r="H672" s="20" t="s">
        <v>71</v>
      </c>
      <c r="I672" s="9" t="s">
        <v>498</v>
      </c>
      <c r="J672" s="43">
        <v>2025.0</v>
      </c>
      <c r="K672" s="42" t="s">
        <v>113</v>
      </c>
    </row>
    <row r="673" ht="12.75" customHeight="1">
      <c r="A673" s="42" t="s">
        <v>951</v>
      </c>
      <c r="B673" s="21">
        <v>45963.0</v>
      </c>
      <c r="C673" s="20" t="s">
        <v>179</v>
      </c>
      <c r="D673" s="21">
        <v>45963.0</v>
      </c>
      <c r="E673" s="21">
        <v>45969.0</v>
      </c>
      <c r="F673" s="20" t="s">
        <v>952</v>
      </c>
      <c r="G673" s="42" t="s">
        <v>97</v>
      </c>
      <c r="H673" s="20" t="s">
        <v>71</v>
      </c>
      <c r="I673" s="9" t="s">
        <v>498</v>
      </c>
      <c r="J673" s="43">
        <v>2025.0</v>
      </c>
      <c r="K673" s="42" t="s">
        <v>105</v>
      </c>
    </row>
    <row r="674" ht="12.75" customHeight="1">
      <c r="A674" s="42" t="s">
        <v>953</v>
      </c>
      <c r="B674" s="21">
        <v>45964.0</v>
      </c>
      <c r="C674" s="20" t="s">
        <v>163</v>
      </c>
      <c r="D674" s="21">
        <v>45963.0</v>
      </c>
      <c r="E674" s="21">
        <v>45969.0</v>
      </c>
      <c r="F674" s="20" t="s">
        <v>952</v>
      </c>
      <c r="G674" s="42" t="s">
        <v>97</v>
      </c>
      <c r="H674" s="20" t="s">
        <v>71</v>
      </c>
      <c r="I674" s="9" t="s">
        <v>498</v>
      </c>
      <c r="J674" s="43">
        <v>2025.0</v>
      </c>
      <c r="K674" s="42" t="s">
        <v>105</v>
      </c>
    </row>
    <row r="675" ht="12.75" customHeight="1">
      <c r="A675" s="42" t="s">
        <v>954</v>
      </c>
      <c r="B675" s="21">
        <v>45965.0</v>
      </c>
      <c r="C675" s="20" t="s">
        <v>169</v>
      </c>
      <c r="D675" s="21">
        <v>45963.0</v>
      </c>
      <c r="E675" s="21">
        <v>45969.0</v>
      </c>
      <c r="F675" s="20" t="s">
        <v>952</v>
      </c>
      <c r="G675" s="42" t="s">
        <v>97</v>
      </c>
      <c r="H675" s="20" t="s">
        <v>71</v>
      </c>
      <c r="I675" s="9" t="s">
        <v>498</v>
      </c>
      <c r="J675" s="43">
        <v>2025.0</v>
      </c>
      <c r="K675" s="42" t="s">
        <v>105</v>
      </c>
    </row>
    <row r="676" ht="12.75" customHeight="1">
      <c r="A676" s="42" t="s">
        <v>955</v>
      </c>
      <c r="B676" s="21">
        <v>45966.0</v>
      </c>
      <c r="C676" s="20" t="s">
        <v>171</v>
      </c>
      <c r="D676" s="21">
        <v>45963.0</v>
      </c>
      <c r="E676" s="21">
        <v>45969.0</v>
      </c>
      <c r="F676" s="20" t="s">
        <v>952</v>
      </c>
      <c r="G676" s="42" t="s">
        <v>97</v>
      </c>
      <c r="H676" s="20" t="s">
        <v>71</v>
      </c>
      <c r="I676" s="9" t="s">
        <v>498</v>
      </c>
      <c r="J676" s="43">
        <v>2025.0</v>
      </c>
      <c r="K676" s="42" t="s">
        <v>105</v>
      </c>
    </row>
    <row r="677" ht="12.75" customHeight="1">
      <c r="A677" s="42" t="s">
        <v>956</v>
      </c>
      <c r="B677" s="21">
        <v>45967.0</v>
      </c>
      <c r="C677" s="20" t="s">
        <v>173</v>
      </c>
      <c r="D677" s="21">
        <v>45963.0</v>
      </c>
      <c r="E677" s="21">
        <v>45969.0</v>
      </c>
      <c r="F677" s="20" t="s">
        <v>952</v>
      </c>
      <c r="G677" s="42" t="s">
        <v>97</v>
      </c>
      <c r="H677" s="20" t="s">
        <v>71</v>
      </c>
      <c r="I677" s="9" t="s">
        <v>498</v>
      </c>
      <c r="J677" s="43">
        <v>2025.0</v>
      </c>
      <c r="K677" s="42" t="s">
        <v>105</v>
      </c>
    </row>
    <row r="678" ht="12.75" customHeight="1">
      <c r="A678" s="42" t="s">
        <v>957</v>
      </c>
      <c r="B678" s="21">
        <v>45968.0</v>
      </c>
      <c r="C678" s="20" t="s">
        <v>175</v>
      </c>
      <c r="D678" s="21">
        <v>45963.0</v>
      </c>
      <c r="E678" s="21">
        <v>45969.0</v>
      </c>
      <c r="F678" s="20" t="s">
        <v>952</v>
      </c>
      <c r="G678" s="42" t="s">
        <v>97</v>
      </c>
      <c r="H678" s="20" t="s">
        <v>71</v>
      </c>
      <c r="I678" s="9" t="s">
        <v>498</v>
      </c>
      <c r="J678" s="43">
        <v>2025.0</v>
      </c>
      <c r="K678" s="42" t="s">
        <v>105</v>
      </c>
    </row>
    <row r="679" ht="12.75" customHeight="1">
      <c r="A679" s="42" t="s">
        <v>958</v>
      </c>
      <c r="B679" s="21">
        <v>45969.0</v>
      </c>
      <c r="C679" s="20" t="s">
        <v>177</v>
      </c>
      <c r="D679" s="21">
        <v>45963.0</v>
      </c>
      <c r="E679" s="21">
        <v>45969.0</v>
      </c>
      <c r="F679" s="20" t="s">
        <v>952</v>
      </c>
      <c r="G679" s="42" t="s">
        <v>97</v>
      </c>
      <c r="H679" s="20" t="s">
        <v>71</v>
      </c>
      <c r="I679" s="9" t="s">
        <v>498</v>
      </c>
      <c r="J679" s="43">
        <v>2025.0</v>
      </c>
      <c r="K679" s="42" t="s">
        <v>105</v>
      </c>
    </row>
    <row r="680" ht="12.75" customHeight="1">
      <c r="A680" s="42" t="s">
        <v>959</v>
      </c>
      <c r="B680" s="21">
        <v>45970.0</v>
      </c>
      <c r="C680" s="20" t="s">
        <v>179</v>
      </c>
      <c r="D680" s="21">
        <v>45970.0</v>
      </c>
      <c r="E680" s="21">
        <v>45976.0</v>
      </c>
      <c r="F680" s="20" t="s">
        <v>960</v>
      </c>
      <c r="G680" s="42" t="s">
        <v>97</v>
      </c>
      <c r="H680" s="20" t="s">
        <v>71</v>
      </c>
      <c r="I680" s="9" t="s">
        <v>498</v>
      </c>
      <c r="J680" s="43">
        <v>2025.0</v>
      </c>
      <c r="K680" s="42" t="s">
        <v>106</v>
      </c>
    </row>
    <row r="681" ht="12.75" customHeight="1">
      <c r="A681" s="42" t="s">
        <v>961</v>
      </c>
      <c r="B681" s="21">
        <v>45971.0</v>
      </c>
      <c r="C681" s="20" t="s">
        <v>163</v>
      </c>
      <c r="D681" s="21">
        <v>45970.0</v>
      </c>
      <c r="E681" s="21">
        <v>45976.0</v>
      </c>
      <c r="F681" s="20" t="s">
        <v>960</v>
      </c>
      <c r="G681" s="42" t="s">
        <v>97</v>
      </c>
      <c r="H681" s="20" t="s">
        <v>71</v>
      </c>
      <c r="I681" s="9" t="s">
        <v>498</v>
      </c>
      <c r="J681" s="43">
        <v>2025.0</v>
      </c>
      <c r="K681" s="42" t="s">
        <v>106</v>
      </c>
    </row>
    <row r="682" ht="12.75" customHeight="1">
      <c r="A682" s="42" t="s">
        <v>962</v>
      </c>
      <c r="B682" s="21">
        <v>45972.0</v>
      </c>
      <c r="C682" s="20" t="s">
        <v>169</v>
      </c>
      <c r="D682" s="21">
        <v>45970.0</v>
      </c>
      <c r="E682" s="21">
        <v>45976.0</v>
      </c>
      <c r="F682" s="20" t="s">
        <v>960</v>
      </c>
      <c r="G682" s="42" t="s">
        <v>97</v>
      </c>
      <c r="H682" s="20" t="s">
        <v>71</v>
      </c>
      <c r="I682" s="9" t="s">
        <v>498</v>
      </c>
      <c r="J682" s="43">
        <v>2025.0</v>
      </c>
      <c r="K682" s="42" t="s">
        <v>106</v>
      </c>
    </row>
    <row r="683" ht="12.75" customHeight="1">
      <c r="A683" s="42" t="s">
        <v>963</v>
      </c>
      <c r="B683" s="21">
        <v>45973.0</v>
      </c>
      <c r="C683" s="20" t="s">
        <v>171</v>
      </c>
      <c r="D683" s="21">
        <v>45970.0</v>
      </c>
      <c r="E683" s="21">
        <v>45976.0</v>
      </c>
      <c r="F683" s="20" t="s">
        <v>960</v>
      </c>
      <c r="G683" s="42" t="s">
        <v>97</v>
      </c>
      <c r="H683" s="20" t="s">
        <v>71</v>
      </c>
      <c r="I683" s="9" t="s">
        <v>498</v>
      </c>
      <c r="J683" s="43">
        <v>2025.0</v>
      </c>
      <c r="K683" s="42" t="s">
        <v>106</v>
      </c>
    </row>
    <row r="684" ht="12.75" customHeight="1">
      <c r="A684" s="42" t="s">
        <v>964</v>
      </c>
      <c r="B684" s="21">
        <v>45974.0</v>
      </c>
      <c r="C684" s="20" t="s">
        <v>173</v>
      </c>
      <c r="D684" s="21">
        <v>45970.0</v>
      </c>
      <c r="E684" s="21">
        <v>45976.0</v>
      </c>
      <c r="F684" s="20" t="s">
        <v>960</v>
      </c>
      <c r="G684" s="42" t="s">
        <v>97</v>
      </c>
      <c r="H684" s="20" t="s">
        <v>71</v>
      </c>
      <c r="I684" s="9" t="s">
        <v>498</v>
      </c>
      <c r="J684" s="43">
        <v>2025.0</v>
      </c>
      <c r="K684" s="42" t="s">
        <v>106</v>
      </c>
    </row>
    <row r="685" ht="12.75" customHeight="1">
      <c r="A685" s="42" t="s">
        <v>965</v>
      </c>
      <c r="B685" s="21">
        <v>45975.0</v>
      </c>
      <c r="C685" s="20" t="s">
        <v>175</v>
      </c>
      <c r="D685" s="21">
        <v>45970.0</v>
      </c>
      <c r="E685" s="21">
        <v>45976.0</v>
      </c>
      <c r="F685" s="20" t="s">
        <v>960</v>
      </c>
      <c r="G685" s="42" t="s">
        <v>97</v>
      </c>
      <c r="H685" s="20" t="s">
        <v>71</v>
      </c>
      <c r="I685" s="9" t="s">
        <v>498</v>
      </c>
      <c r="J685" s="43">
        <v>2025.0</v>
      </c>
      <c r="K685" s="42" t="s">
        <v>106</v>
      </c>
    </row>
    <row r="686" ht="12.75" customHeight="1">
      <c r="A686" s="42" t="s">
        <v>966</v>
      </c>
      <c r="B686" s="21">
        <v>45976.0</v>
      </c>
      <c r="C686" s="20" t="s">
        <v>177</v>
      </c>
      <c r="D686" s="21">
        <v>45970.0</v>
      </c>
      <c r="E686" s="21">
        <v>45976.0</v>
      </c>
      <c r="F686" s="20" t="s">
        <v>960</v>
      </c>
      <c r="G686" s="42" t="s">
        <v>97</v>
      </c>
      <c r="H686" s="20" t="s">
        <v>71</v>
      </c>
      <c r="I686" s="9" t="s">
        <v>498</v>
      </c>
      <c r="J686" s="43">
        <v>2025.0</v>
      </c>
      <c r="K686" s="42" t="s">
        <v>106</v>
      </c>
    </row>
    <row r="687" ht="12.75" customHeight="1">
      <c r="A687" s="42" t="s">
        <v>967</v>
      </c>
      <c r="B687" s="21">
        <v>45977.0</v>
      </c>
      <c r="C687" s="20" t="s">
        <v>179</v>
      </c>
      <c r="D687" s="21">
        <v>45977.0</v>
      </c>
      <c r="E687" s="21">
        <v>45983.0</v>
      </c>
      <c r="F687" s="20" t="s">
        <v>968</v>
      </c>
      <c r="G687" s="42" t="s">
        <v>97</v>
      </c>
      <c r="H687" s="20" t="s">
        <v>71</v>
      </c>
      <c r="I687" s="9" t="s">
        <v>498</v>
      </c>
      <c r="J687" s="43">
        <v>2025.0</v>
      </c>
      <c r="K687" s="42" t="s">
        <v>107</v>
      </c>
    </row>
    <row r="688" ht="12.75" customHeight="1">
      <c r="A688" s="42" t="s">
        <v>969</v>
      </c>
      <c r="B688" s="21">
        <v>45978.0</v>
      </c>
      <c r="C688" s="20" t="s">
        <v>163</v>
      </c>
      <c r="D688" s="21">
        <v>45977.0</v>
      </c>
      <c r="E688" s="21">
        <v>45983.0</v>
      </c>
      <c r="F688" s="20" t="s">
        <v>968</v>
      </c>
      <c r="G688" s="42" t="s">
        <v>97</v>
      </c>
      <c r="H688" s="20" t="s">
        <v>71</v>
      </c>
      <c r="I688" s="9" t="s">
        <v>498</v>
      </c>
      <c r="J688" s="43">
        <v>2025.0</v>
      </c>
      <c r="K688" s="42" t="s">
        <v>107</v>
      </c>
    </row>
    <row r="689" ht="12.75" customHeight="1">
      <c r="A689" s="42" t="s">
        <v>970</v>
      </c>
      <c r="B689" s="21">
        <v>45979.0</v>
      </c>
      <c r="C689" s="20" t="s">
        <v>169</v>
      </c>
      <c r="D689" s="21">
        <v>45977.0</v>
      </c>
      <c r="E689" s="21">
        <v>45983.0</v>
      </c>
      <c r="F689" s="20" t="s">
        <v>968</v>
      </c>
      <c r="G689" s="42" t="s">
        <v>97</v>
      </c>
      <c r="H689" s="20" t="s">
        <v>71</v>
      </c>
      <c r="I689" s="9" t="s">
        <v>498</v>
      </c>
      <c r="J689" s="43">
        <v>2025.0</v>
      </c>
      <c r="K689" s="42" t="s">
        <v>107</v>
      </c>
    </row>
    <row r="690" ht="12.75" customHeight="1">
      <c r="A690" s="42" t="s">
        <v>971</v>
      </c>
      <c r="B690" s="21">
        <v>45980.0</v>
      </c>
      <c r="C690" s="20" t="s">
        <v>171</v>
      </c>
      <c r="D690" s="21">
        <v>45977.0</v>
      </c>
      <c r="E690" s="21">
        <v>45983.0</v>
      </c>
      <c r="F690" s="20" t="s">
        <v>968</v>
      </c>
      <c r="G690" s="42" t="s">
        <v>97</v>
      </c>
      <c r="H690" s="20" t="s">
        <v>71</v>
      </c>
      <c r="I690" s="9" t="s">
        <v>498</v>
      </c>
      <c r="J690" s="43">
        <v>2025.0</v>
      </c>
      <c r="K690" s="42" t="s">
        <v>107</v>
      </c>
    </row>
    <row r="691" ht="12.75" customHeight="1">
      <c r="A691" s="42" t="s">
        <v>972</v>
      </c>
      <c r="B691" s="21">
        <v>45981.0</v>
      </c>
      <c r="C691" s="20" t="s">
        <v>173</v>
      </c>
      <c r="D691" s="21">
        <v>45977.0</v>
      </c>
      <c r="E691" s="21">
        <v>45983.0</v>
      </c>
      <c r="F691" s="20" t="s">
        <v>968</v>
      </c>
      <c r="G691" s="42" t="s">
        <v>97</v>
      </c>
      <c r="H691" s="20" t="s">
        <v>71</v>
      </c>
      <c r="I691" s="9" t="s">
        <v>498</v>
      </c>
      <c r="J691" s="43">
        <v>2025.0</v>
      </c>
      <c r="K691" s="42" t="s">
        <v>107</v>
      </c>
    </row>
    <row r="692" ht="12.75" customHeight="1">
      <c r="A692" s="42" t="s">
        <v>973</v>
      </c>
      <c r="B692" s="21">
        <v>45982.0</v>
      </c>
      <c r="C692" s="20" t="s">
        <v>175</v>
      </c>
      <c r="D692" s="21">
        <v>45977.0</v>
      </c>
      <c r="E692" s="21">
        <v>45983.0</v>
      </c>
      <c r="F692" s="20" t="s">
        <v>968</v>
      </c>
      <c r="G692" s="42" t="s">
        <v>97</v>
      </c>
      <c r="H692" s="20" t="s">
        <v>71</v>
      </c>
      <c r="I692" s="9" t="s">
        <v>498</v>
      </c>
      <c r="J692" s="43">
        <v>2025.0</v>
      </c>
      <c r="K692" s="42" t="s">
        <v>107</v>
      </c>
    </row>
    <row r="693" ht="12.75" customHeight="1">
      <c r="A693" s="42" t="s">
        <v>974</v>
      </c>
      <c r="B693" s="21">
        <v>45983.0</v>
      </c>
      <c r="C693" s="20" t="s">
        <v>177</v>
      </c>
      <c r="D693" s="21">
        <v>45977.0</v>
      </c>
      <c r="E693" s="21">
        <v>45983.0</v>
      </c>
      <c r="F693" s="20" t="s">
        <v>968</v>
      </c>
      <c r="G693" s="42" t="s">
        <v>97</v>
      </c>
      <c r="H693" s="20" t="s">
        <v>71</v>
      </c>
      <c r="I693" s="9" t="s">
        <v>498</v>
      </c>
      <c r="J693" s="43">
        <v>2025.0</v>
      </c>
      <c r="K693" s="42" t="s">
        <v>107</v>
      </c>
    </row>
    <row r="694" ht="12.75" customHeight="1">
      <c r="A694" s="42" t="s">
        <v>975</v>
      </c>
      <c r="B694" s="21">
        <v>45984.0</v>
      </c>
      <c r="C694" s="20" t="s">
        <v>179</v>
      </c>
      <c r="D694" s="21">
        <v>45984.0</v>
      </c>
      <c r="E694" s="21">
        <v>45990.0</v>
      </c>
      <c r="F694" s="20" t="s">
        <v>976</v>
      </c>
      <c r="G694" s="42" t="s">
        <v>97</v>
      </c>
      <c r="H694" s="20" t="s">
        <v>71</v>
      </c>
      <c r="I694" s="9" t="s">
        <v>498</v>
      </c>
      <c r="J694" s="43">
        <v>2025.0</v>
      </c>
      <c r="K694" s="42" t="s">
        <v>108</v>
      </c>
    </row>
    <row r="695" ht="12.75" customHeight="1">
      <c r="A695" s="42" t="s">
        <v>977</v>
      </c>
      <c r="B695" s="21">
        <v>45985.0</v>
      </c>
      <c r="C695" s="20" t="s">
        <v>163</v>
      </c>
      <c r="D695" s="21">
        <v>45984.0</v>
      </c>
      <c r="E695" s="21">
        <v>45990.0</v>
      </c>
      <c r="F695" s="20" t="s">
        <v>976</v>
      </c>
      <c r="G695" s="42" t="s">
        <v>97</v>
      </c>
      <c r="H695" s="20" t="s">
        <v>71</v>
      </c>
      <c r="I695" s="9" t="s">
        <v>498</v>
      </c>
      <c r="J695" s="43">
        <v>2025.0</v>
      </c>
      <c r="K695" s="42" t="s">
        <v>108</v>
      </c>
    </row>
    <row r="696" ht="12.75" customHeight="1">
      <c r="A696" s="42" t="s">
        <v>978</v>
      </c>
      <c r="B696" s="21">
        <v>45986.0</v>
      </c>
      <c r="C696" s="20" t="s">
        <v>169</v>
      </c>
      <c r="D696" s="21">
        <v>45984.0</v>
      </c>
      <c r="E696" s="21">
        <v>45990.0</v>
      </c>
      <c r="F696" s="20" t="s">
        <v>976</v>
      </c>
      <c r="G696" s="42" t="s">
        <v>97</v>
      </c>
      <c r="H696" s="20" t="s">
        <v>71</v>
      </c>
      <c r="I696" s="9" t="s">
        <v>498</v>
      </c>
      <c r="J696" s="43">
        <v>2025.0</v>
      </c>
      <c r="K696" s="42" t="s">
        <v>108</v>
      </c>
    </row>
    <row r="697" ht="12.75" customHeight="1">
      <c r="A697" s="42" t="s">
        <v>979</v>
      </c>
      <c r="B697" s="21">
        <v>45987.0</v>
      </c>
      <c r="C697" s="20" t="s">
        <v>171</v>
      </c>
      <c r="D697" s="21">
        <v>45984.0</v>
      </c>
      <c r="E697" s="21">
        <v>45990.0</v>
      </c>
      <c r="F697" s="20" t="s">
        <v>976</v>
      </c>
      <c r="G697" s="42" t="s">
        <v>97</v>
      </c>
      <c r="H697" s="20" t="s">
        <v>71</v>
      </c>
      <c r="I697" s="9" t="s">
        <v>498</v>
      </c>
      <c r="J697" s="43">
        <v>2025.0</v>
      </c>
      <c r="K697" s="42" t="s">
        <v>108</v>
      </c>
    </row>
    <row r="698" ht="12.75" customHeight="1">
      <c r="A698" s="42" t="s">
        <v>980</v>
      </c>
      <c r="B698" s="21">
        <v>45988.0</v>
      </c>
      <c r="C698" s="20" t="s">
        <v>173</v>
      </c>
      <c r="D698" s="21">
        <v>45984.0</v>
      </c>
      <c r="E698" s="21">
        <v>45990.0</v>
      </c>
      <c r="F698" s="20" t="s">
        <v>976</v>
      </c>
      <c r="G698" s="42" t="s">
        <v>97</v>
      </c>
      <c r="H698" s="20" t="s">
        <v>71</v>
      </c>
      <c r="I698" s="9" t="s">
        <v>498</v>
      </c>
      <c r="J698" s="43">
        <v>2025.0</v>
      </c>
      <c r="K698" s="42" t="s">
        <v>108</v>
      </c>
    </row>
    <row r="699" ht="12.75" customHeight="1">
      <c r="A699" s="42" t="s">
        <v>981</v>
      </c>
      <c r="B699" s="21">
        <v>45989.0</v>
      </c>
      <c r="C699" s="20" t="s">
        <v>175</v>
      </c>
      <c r="D699" s="21">
        <v>45984.0</v>
      </c>
      <c r="E699" s="21">
        <v>45990.0</v>
      </c>
      <c r="F699" s="20" t="s">
        <v>976</v>
      </c>
      <c r="G699" s="42" t="s">
        <v>97</v>
      </c>
      <c r="H699" s="20" t="s">
        <v>71</v>
      </c>
      <c r="I699" s="9" t="s">
        <v>498</v>
      </c>
      <c r="J699" s="43">
        <v>2025.0</v>
      </c>
      <c r="K699" s="42" t="s">
        <v>108</v>
      </c>
    </row>
    <row r="700" ht="12.75" customHeight="1">
      <c r="A700" s="42" t="s">
        <v>982</v>
      </c>
      <c r="B700" s="21">
        <v>45990.0</v>
      </c>
      <c r="C700" s="20" t="s">
        <v>177</v>
      </c>
      <c r="D700" s="21">
        <v>45984.0</v>
      </c>
      <c r="E700" s="21">
        <v>45990.0</v>
      </c>
      <c r="F700" s="20" t="s">
        <v>976</v>
      </c>
      <c r="G700" s="42" t="s">
        <v>97</v>
      </c>
      <c r="H700" s="20" t="s">
        <v>71</v>
      </c>
      <c r="I700" s="9" t="s">
        <v>498</v>
      </c>
      <c r="J700" s="43">
        <v>2025.0</v>
      </c>
      <c r="K700" s="42" t="s">
        <v>108</v>
      </c>
    </row>
    <row r="701" ht="12.75" customHeight="1">
      <c r="A701" s="42" t="s">
        <v>983</v>
      </c>
      <c r="B701" s="21">
        <v>45991.0</v>
      </c>
      <c r="C701" s="20" t="s">
        <v>179</v>
      </c>
      <c r="D701" s="21">
        <v>45991.0</v>
      </c>
      <c r="E701" s="21">
        <v>45997.0</v>
      </c>
      <c r="F701" s="20" t="s">
        <v>984</v>
      </c>
      <c r="G701" s="42" t="s">
        <v>97</v>
      </c>
      <c r="H701" s="20" t="s">
        <v>71</v>
      </c>
      <c r="I701" s="9" t="s">
        <v>498</v>
      </c>
      <c r="J701" s="43">
        <v>2025.0</v>
      </c>
      <c r="K701" s="42" t="s">
        <v>109</v>
      </c>
    </row>
    <row r="702" ht="12.75" customHeight="1">
      <c r="A702" s="42" t="s">
        <v>985</v>
      </c>
      <c r="B702" s="21">
        <v>45992.0</v>
      </c>
      <c r="C702" s="20" t="s">
        <v>163</v>
      </c>
      <c r="D702" s="21">
        <v>45991.0</v>
      </c>
      <c r="E702" s="21">
        <v>45997.0</v>
      </c>
      <c r="F702" s="20" t="s">
        <v>984</v>
      </c>
      <c r="G702" s="42" t="s">
        <v>98</v>
      </c>
      <c r="H702" s="20" t="s">
        <v>66</v>
      </c>
      <c r="I702" s="9" t="s">
        <v>498</v>
      </c>
      <c r="J702" s="43">
        <v>2025.0</v>
      </c>
      <c r="K702" s="42" t="s">
        <v>109</v>
      </c>
    </row>
    <row r="703" ht="12.75" customHeight="1">
      <c r="A703" s="42" t="s">
        <v>986</v>
      </c>
      <c r="B703" s="21">
        <v>45993.0</v>
      </c>
      <c r="C703" s="20" t="s">
        <v>169</v>
      </c>
      <c r="D703" s="21">
        <v>45991.0</v>
      </c>
      <c r="E703" s="21">
        <v>45997.0</v>
      </c>
      <c r="F703" s="20" t="s">
        <v>984</v>
      </c>
      <c r="G703" s="42" t="s">
        <v>98</v>
      </c>
      <c r="H703" s="20" t="s">
        <v>66</v>
      </c>
      <c r="I703" s="9" t="s">
        <v>498</v>
      </c>
      <c r="J703" s="43">
        <v>2025.0</v>
      </c>
      <c r="K703" s="42" t="s">
        <v>109</v>
      </c>
    </row>
    <row r="704" ht="12.75" customHeight="1">
      <c r="A704" s="42" t="s">
        <v>987</v>
      </c>
      <c r="B704" s="21">
        <v>45994.0</v>
      </c>
      <c r="C704" s="20" t="s">
        <v>171</v>
      </c>
      <c r="D704" s="21">
        <v>45991.0</v>
      </c>
      <c r="E704" s="21">
        <v>45997.0</v>
      </c>
      <c r="F704" s="20" t="s">
        <v>984</v>
      </c>
      <c r="G704" s="42" t="s">
        <v>98</v>
      </c>
      <c r="H704" s="20" t="s">
        <v>66</v>
      </c>
      <c r="I704" s="9" t="s">
        <v>498</v>
      </c>
      <c r="J704" s="43">
        <v>2025.0</v>
      </c>
      <c r="K704" s="42" t="s">
        <v>109</v>
      </c>
    </row>
    <row r="705" ht="12.75" customHeight="1">
      <c r="A705" s="42" t="s">
        <v>988</v>
      </c>
      <c r="B705" s="21">
        <v>45995.0</v>
      </c>
      <c r="C705" s="20" t="s">
        <v>173</v>
      </c>
      <c r="D705" s="21">
        <v>45991.0</v>
      </c>
      <c r="E705" s="21">
        <v>45997.0</v>
      </c>
      <c r="F705" s="20" t="s">
        <v>984</v>
      </c>
      <c r="G705" s="42" t="s">
        <v>98</v>
      </c>
      <c r="H705" s="20" t="s">
        <v>66</v>
      </c>
      <c r="I705" s="9" t="s">
        <v>498</v>
      </c>
      <c r="J705" s="43">
        <v>2025.0</v>
      </c>
      <c r="K705" s="42" t="s">
        <v>109</v>
      </c>
    </row>
    <row r="706" ht="12.75" customHeight="1">
      <c r="A706" s="42" t="s">
        <v>989</v>
      </c>
      <c r="B706" s="21">
        <v>45996.0</v>
      </c>
      <c r="C706" s="20" t="s">
        <v>175</v>
      </c>
      <c r="D706" s="21">
        <v>45991.0</v>
      </c>
      <c r="E706" s="21">
        <v>45997.0</v>
      </c>
      <c r="F706" s="20" t="s">
        <v>984</v>
      </c>
      <c r="G706" s="42" t="s">
        <v>98</v>
      </c>
      <c r="H706" s="20" t="s">
        <v>66</v>
      </c>
      <c r="I706" s="9" t="s">
        <v>498</v>
      </c>
      <c r="J706" s="43">
        <v>2025.0</v>
      </c>
      <c r="K706" s="42" t="s">
        <v>109</v>
      </c>
    </row>
    <row r="707" ht="12.75" customHeight="1">
      <c r="A707" s="42" t="s">
        <v>990</v>
      </c>
      <c r="B707" s="21">
        <v>45997.0</v>
      </c>
      <c r="C707" s="20" t="s">
        <v>177</v>
      </c>
      <c r="D707" s="21">
        <v>45991.0</v>
      </c>
      <c r="E707" s="21">
        <v>45997.0</v>
      </c>
      <c r="F707" s="20" t="s">
        <v>984</v>
      </c>
      <c r="G707" s="42" t="s">
        <v>98</v>
      </c>
      <c r="H707" s="20" t="s">
        <v>66</v>
      </c>
      <c r="I707" s="9" t="s">
        <v>498</v>
      </c>
      <c r="J707" s="43">
        <v>2025.0</v>
      </c>
      <c r="K707" s="42" t="s">
        <v>109</v>
      </c>
    </row>
    <row r="708" ht="12.75" customHeight="1">
      <c r="A708" s="42" t="s">
        <v>991</v>
      </c>
      <c r="B708" s="21">
        <v>45998.0</v>
      </c>
      <c r="C708" s="20" t="s">
        <v>179</v>
      </c>
      <c r="D708" s="21">
        <v>45998.0</v>
      </c>
      <c r="E708" s="21">
        <v>46004.0</v>
      </c>
      <c r="F708" s="20" t="s">
        <v>992</v>
      </c>
      <c r="G708" s="42" t="s">
        <v>98</v>
      </c>
      <c r="H708" s="20" t="s">
        <v>66</v>
      </c>
      <c r="I708" s="9" t="s">
        <v>498</v>
      </c>
      <c r="J708" s="43">
        <v>2025.0</v>
      </c>
      <c r="K708" s="42" t="s">
        <v>83</v>
      </c>
    </row>
    <row r="709" ht="12.75" customHeight="1">
      <c r="A709" s="42" t="s">
        <v>993</v>
      </c>
      <c r="B709" s="21">
        <v>45999.0</v>
      </c>
      <c r="C709" s="20" t="s">
        <v>163</v>
      </c>
      <c r="D709" s="21">
        <v>45998.0</v>
      </c>
      <c r="E709" s="21">
        <v>46004.0</v>
      </c>
      <c r="F709" s="20" t="s">
        <v>992</v>
      </c>
      <c r="G709" s="42" t="s">
        <v>98</v>
      </c>
      <c r="H709" s="20" t="s">
        <v>66</v>
      </c>
      <c r="I709" s="9" t="s">
        <v>498</v>
      </c>
      <c r="J709" s="43">
        <v>2025.0</v>
      </c>
      <c r="K709" s="42" t="s">
        <v>83</v>
      </c>
    </row>
    <row r="710" ht="12.75" customHeight="1">
      <c r="A710" s="42" t="s">
        <v>994</v>
      </c>
      <c r="B710" s="21">
        <v>46000.0</v>
      </c>
      <c r="C710" s="20" t="s">
        <v>169</v>
      </c>
      <c r="D710" s="21">
        <v>45998.0</v>
      </c>
      <c r="E710" s="21">
        <v>46004.0</v>
      </c>
      <c r="F710" s="20" t="s">
        <v>992</v>
      </c>
      <c r="G710" s="42" t="s">
        <v>98</v>
      </c>
      <c r="H710" s="20" t="s">
        <v>66</v>
      </c>
      <c r="I710" s="9" t="s">
        <v>498</v>
      </c>
      <c r="J710" s="43">
        <v>2025.0</v>
      </c>
      <c r="K710" s="42" t="s">
        <v>83</v>
      </c>
    </row>
    <row r="711" ht="12.75" customHeight="1">
      <c r="A711" s="42" t="s">
        <v>995</v>
      </c>
      <c r="B711" s="21">
        <v>46001.0</v>
      </c>
      <c r="C711" s="20" t="s">
        <v>171</v>
      </c>
      <c r="D711" s="21">
        <v>45998.0</v>
      </c>
      <c r="E711" s="21">
        <v>46004.0</v>
      </c>
      <c r="F711" s="20" t="s">
        <v>992</v>
      </c>
      <c r="G711" s="42" t="s">
        <v>98</v>
      </c>
      <c r="H711" s="20" t="s">
        <v>66</v>
      </c>
      <c r="I711" s="9" t="s">
        <v>498</v>
      </c>
      <c r="J711" s="43">
        <v>2025.0</v>
      </c>
      <c r="K711" s="42" t="s">
        <v>83</v>
      </c>
    </row>
    <row r="712" ht="12.75" customHeight="1">
      <c r="A712" s="42" t="s">
        <v>996</v>
      </c>
      <c r="B712" s="21">
        <v>46002.0</v>
      </c>
      <c r="C712" s="20" t="s">
        <v>173</v>
      </c>
      <c r="D712" s="21">
        <v>45998.0</v>
      </c>
      <c r="E712" s="21">
        <v>46004.0</v>
      </c>
      <c r="F712" s="20" t="s">
        <v>992</v>
      </c>
      <c r="G712" s="42" t="s">
        <v>98</v>
      </c>
      <c r="H712" s="20" t="s">
        <v>66</v>
      </c>
      <c r="I712" s="9" t="s">
        <v>498</v>
      </c>
      <c r="J712" s="43">
        <v>2025.0</v>
      </c>
      <c r="K712" s="42" t="s">
        <v>83</v>
      </c>
    </row>
    <row r="713" ht="12.75" customHeight="1">
      <c r="A713" s="42" t="s">
        <v>997</v>
      </c>
      <c r="B713" s="21">
        <v>46003.0</v>
      </c>
      <c r="C713" s="20" t="s">
        <v>175</v>
      </c>
      <c r="D713" s="21">
        <v>45998.0</v>
      </c>
      <c r="E713" s="21">
        <v>46004.0</v>
      </c>
      <c r="F713" s="20" t="s">
        <v>992</v>
      </c>
      <c r="G713" s="42" t="s">
        <v>98</v>
      </c>
      <c r="H713" s="20" t="s">
        <v>66</v>
      </c>
      <c r="I713" s="9" t="s">
        <v>498</v>
      </c>
      <c r="J713" s="43">
        <v>2025.0</v>
      </c>
      <c r="K713" s="42" t="s">
        <v>83</v>
      </c>
    </row>
    <row r="714" ht="12.75" customHeight="1">
      <c r="A714" s="42" t="s">
        <v>998</v>
      </c>
      <c r="B714" s="21">
        <v>46004.0</v>
      </c>
      <c r="C714" s="20" t="s">
        <v>177</v>
      </c>
      <c r="D714" s="21">
        <v>45998.0</v>
      </c>
      <c r="E714" s="21">
        <v>46004.0</v>
      </c>
      <c r="F714" s="20" t="s">
        <v>992</v>
      </c>
      <c r="G714" s="42" t="s">
        <v>98</v>
      </c>
      <c r="H714" s="20" t="s">
        <v>66</v>
      </c>
      <c r="I714" s="9" t="s">
        <v>498</v>
      </c>
      <c r="J714" s="43">
        <v>2025.0</v>
      </c>
      <c r="K714" s="42" t="s">
        <v>83</v>
      </c>
    </row>
    <row r="715" ht="12.75" customHeight="1">
      <c r="A715" s="42" t="s">
        <v>999</v>
      </c>
      <c r="B715" s="21">
        <v>46005.0</v>
      </c>
      <c r="C715" s="20" t="s">
        <v>179</v>
      </c>
      <c r="D715" s="21">
        <v>46005.0</v>
      </c>
      <c r="E715" s="21">
        <v>46011.0</v>
      </c>
      <c r="F715" s="20" t="s">
        <v>1000</v>
      </c>
      <c r="G715" s="42" t="s">
        <v>98</v>
      </c>
      <c r="H715" s="20" t="s">
        <v>66</v>
      </c>
      <c r="I715" s="9" t="s">
        <v>498</v>
      </c>
      <c r="J715" s="43">
        <v>2025.0</v>
      </c>
      <c r="K715" s="42" t="s">
        <v>84</v>
      </c>
    </row>
    <row r="716" ht="12.75" customHeight="1">
      <c r="A716" s="42" t="s">
        <v>1001</v>
      </c>
      <c r="B716" s="21">
        <v>46006.0</v>
      </c>
      <c r="C716" s="20" t="s">
        <v>163</v>
      </c>
      <c r="D716" s="21">
        <v>46005.0</v>
      </c>
      <c r="E716" s="21">
        <v>46011.0</v>
      </c>
      <c r="F716" s="20" t="s">
        <v>1000</v>
      </c>
      <c r="G716" s="42" t="s">
        <v>98</v>
      </c>
      <c r="H716" s="20" t="s">
        <v>66</v>
      </c>
      <c r="I716" s="9" t="s">
        <v>498</v>
      </c>
      <c r="J716" s="43">
        <v>2025.0</v>
      </c>
      <c r="K716" s="42" t="s">
        <v>84</v>
      </c>
    </row>
    <row r="717" ht="12.75" customHeight="1">
      <c r="A717" s="42" t="s">
        <v>1002</v>
      </c>
      <c r="B717" s="21">
        <v>46007.0</v>
      </c>
      <c r="C717" s="20" t="s">
        <v>169</v>
      </c>
      <c r="D717" s="21">
        <v>46005.0</v>
      </c>
      <c r="E717" s="21">
        <v>46011.0</v>
      </c>
      <c r="F717" s="20" t="s">
        <v>1000</v>
      </c>
      <c r="G717" s="42" t="s">
        <v>98</v>
      </c>
      <c r="H717" s="20" t="s">
        <v>66</v>
      </c>
      <c r="I717" s="9" t="s">
        <v>498</v>
      </c>
      <c r="J717" s="43">
        <v>2025.0</v>
      </c>
      <c r="K717" s="42" t="s">
        <v>84</v>
      </c>
    </row>
    <row r="718" ht="12.75" customHeight="1">
      <c r="A718" s="42" t="s">
        <v>1003</v>
      </c>
      <c r="B718" s="21">
        <v>46008.0</v>
      </c>
      <c r="C718" s="20" t="s">
        <v>171</v>
      </c>
      <c r="D718" s="21">
        <v>46005.0</v>
      </c>
      <c r="E718" s="21">
        <v>46011.0</v>
      </c>
      <c r="F718" s="20" t="s">
        <v>1000</v>
      </c>
      <c r="G718" s="42" t="s">
        <v>98</v>
      </c>
      <c r="H718" s="20" t="s">
        <v>66</v>
      </c>
      <c r="I718" s="9" t="s">
        <v>498</v>
      </c>
      <c r="J718" s="43">
        <v>2025.0</v>
      </c>
      <c r="K718" s="42" t="s">
        <v>84</v>
      </c>
    </row>
    <row r="719" ht="12.75" customHeight="1">
      <c r="A719" s="42" t="s">
        <v>1004</v>
      </c>
      <c r="B719" s="21">
        <v>46009.0</v>
      </c>
      <c r="C719" s="20" t="s">
        <v>173</v>
      </c>
      <c r="D719" s="21">
        <v>46005.0</v>
      </c>
      <c r="E719" s="21">
        <v>46011.0</v>
      </c>
      <c r="F719" s="20" t="s">
        <v>1000</v>
      </c>
      <c r="G719" s="42" t="s">
        <v>98</v>
      </c>
      <c r="H719" s="20" t="s">
        <v>66</v>
      </c>
      <c r="I719" s="9" t="s">
        <v>498</v>
      </c>
      <c r="J719" s="43">
        <v>2025.0</v>
      </c>
      <c r="K719" s="42" t="s">
        <v>84</v>
      </c>
    </row>
    <row r="720" ht="12.75" customHeight="1">
      <c r="A720" s="42" t="s">
        <v>1005</v>
      </c>
      <c r="B720" s="21">
        <v>46010.0</v>
      </c>
      <c r="C720" s="20" t="s">
        <v>175</v>
      </c>
      <c r="D720" s="21">
        <v>46005.0</v>
      </c>
      <c r="E720" s="21">
        <v>46011.0</v>
      </c>
      <c r="F720" s="20" t="s">
        <v>1000</v>
      </c>
      <c r="G720" s="42" t="s">
        <v>98</v>
      </c>
      <c r="H720" s="20" t="s">
        <v>66</v>
      </c>
      <c r="I720" s="9" t="s">
        <v>498</v>
      </c>
      <c r="J720" s="43">
        <v>2025.0</v>
      </c>
      <c r="K720" s="42" t="s">
        <v>84</v>
      </c>
    </row>
    <row r="721" ht="12.75" customHeight="1">
      <c r="A721" s="42" t="s">
        <v>1006</v>
      </c>
      <c r="B721" s="21">
        <v>46011.0</v>
      </c>
      <c r="C721" s="20" t="s">
        <v>177</v>
      </c>
      <c r="D721" s="21">
        <v>46005.0</v>
      </c>
      <c r="E721" s="21">
        <v>46011.0</v>
      </c>
      <c r="F721" s="20" t="s">
        <v>1000</v>
      </c>
      <c r="G721" s="42" t="s">
        <v>98</v>
      </c>
      <c r="H721" s="20" t="s">
        <v>66</v>
      </c>
      <c r="I721" s="9" t="s">
        <v>498</v>
      </c>
      <c r="J721" s="43">
        <v>2025.0</v>
      </c>
      <c r="K721" s="42" t="s">
        <v>84</v>
      </c>
    </row>
    <row r="722" ht="12.75" customHeight="1">
      <c r="A722" s="42" t="s">
        <v>1007</v>
      </c>
      <c r="B722" s="21">
        <v>46012.0</v>
      </c>
      <c r="C722" s="20" t="s">
        <v>179</v>
      </c>
      <c r="D722" s="21">
        <v>46012.0</v>
      </c>
      <c r="E722" s="21">
        <v>46018.0</v>
      </c>
      <c r="F722" s="20" t="s">
        <v>1008</v>
      </c>
      <c r="G722" s="42" t="s">
        <v>98</v>
      </c>
      <c r="H722" s="20" t="s">
        <v>66</v>
      </c>
      <c r="I722" s="9" t="s">
        <v>498</v>
      </c>
      <c r="J722" s="43">
        <v>2025.0</v>
      </c>
      <c r="K722" s="42" t="s">
        <v>85</v>
      </c>
    </row>
    <row r="723" ht="12.75" customHeight="1">
      <c r="A723" s="42" t="s">
        <v>1009</v>
      </c>
      <c r="B723" s="21">
        <v>46013.0</v>
      </c>
      <c r="C723" s="20" t="s">
        <v>163</v>
      </c>
      <c r="D723" s="21">
        <v>46012.0</v>
      </c>
      <c r="E723" s="21">
        <v>46018.0</v>
      </c>
      <c r="F723" s="20" t="s">
        <v>1008</v>
      </c>
      <c r="G723" s="42" t="s">
        <v>98</v>
      </c>
      <c r="H723" s="20" t="s">
        <v>66</v>
      </c>
      <c r="I723" s="9" t="s">
        <v>498</v>
      </c>
      <c r="J723" s="43">
        <v>2025.0</v>
      </c>
      <c r="K723" s="42" t="s">
        <v>85</v>
      </c>
    </row>
    <row r="724" ht="12.75" customHeight="1">
      <c r="A724" s="42" t="s">
        <v>1010</v>
      </c>
      <c r="B724" s="21">
        <v>46014.0</v>
      </c>
      <c r="C724" s="20" t="s">
        <v>169</v>
      </c>
      <c r="D724" s="21">
        <v>46012.0</v>
      </c>
      <c r="E724" s="21">
        <v>46018.0</v>
      </c>
      <c r="F724" s="20" t="s">
        <v>1008</v>
      </c>
      <c r="G724" s="42" t="s">
        <v>98</v>
      </c>
      <c r="H724" s="20" t="s">
        <v>66</v>
      </c>
      <c r="I724" s="9" t="s">
        <v>498</v>
      </c>
      <c r="J724" s="43">
        <v>2025.0</v>
      </c>
      <c r="K724" s="42" t="s">
        <v>85</v>
      </c>
    </row>
    <row r="725" ht="12.75" customHeight="1">
      <c r="A725" s="42" t="s">
        <v>1011</v>
      </c>
      <c r="B725" s="21">
        <v>46015.0</v>
      </c>
      <c r="C725" s="20" t="s">
        <v>171</v>
      </c>
      <c r="D725" s="21">
        <v>46012.0</v>
      </c>
      <c r="E725" s="21">
        <v>46018.0</v>
      </c>
      <c r="F725" s="20" t="s">
        <v>1008</v>
      </c>
      <c r="G725" s="42" t="s">
        <v>98</v>
      </c>
      <c r="H725" s="20" t="s">
        <v>66</v>
      </c>
      <c r="I725" s="9" t="s">
        <v>498</v>
      </c>
      <c r="J725" s="43">
        <v>2025.0</v>
      </c>
      <c r="K725" s="42" t="s">
        <v>85</v>
      </c>
    </row>
    <row r="726" ht="12.75" customHeight="1">
      <c r="A726" s="42" t="s">
        <v>1012</v>
      </c>
      <c r="B726" s="21">
        <v>46016.0</v>
      </c>
      <c r="C726" s="20" t="s">
        <v>173</v>
      </c>
      <c r="D726" s="21">
        <v>46012.0</v>
      </c>
      <c r="E726" s="21">
        <v>46018.0</v>
      </c>
      <c r="F726" s="20" t="s">
        <v>1008</v>
      </c>
      <c r="G726" s="42" t="s">
        <v>98</v>
      </c>
      <c r="H726" s="20" t="s">
        <v>66</v>
      </c>
      <c r="I726" s="9" t="s">
        <v>498</v>
      </c>
      <c r="J726" s="43">
        <v>2025.0</v>
      </c>
      <c r="K726" s="42" t="s">
        <v>85</v>
      </c>
    </row>
    <row r="727" ht="12.75" customHeight="1">
      <c r="A727" s="42" t="s">
        <v>1013</v>
      </c>
      <c r="B727" s="21">
        <v>46017.0</v>
      </c>
      <c r="C727" s="20" t="s">
        <v>175</v>
      </c>
      <c r="D727" s="21">
        <v>46012.0</v>
      </c>
      <c r="E727" s="21">
        <v>46018.0</v>
      </c>
      <c r="F727" s="20" t="s">
        <v>1008</v>
      </c>
      <c r="G727" s="42" t="s">
        <v>98</v>
      </c>
      <c r="H727" s="20" t="s">
        <v>66</v>
      </c>
      <c r="I727" s="9" t="s">
        <v>498</v>
      </c>
      <c r="J727" s="43">
        <v>2025.0</v>
      </c>
      <c r="K727" s="42" t="s">
        <v>85</v>
      </c>
    </row>
    <row r="728" ht="12.75" customHeight="1">
      <c r="A728" s="42" t="s">
        <v>1014</v>
      </c>
      <c r="B728" s="21">
        <v>46018.0</v>
      </c>
      <c r="C728" s="20" t="s">
        <v>177</v>
      </c>
      <c r="D728" s="21">
        <v>46012.0</v>
      </c>
      <c r="E728" s="21">
        <v>46018.0</v>
      </c>
      <c r="F728" s="20" t="s">
        <v>1008</v>
      </c>
      <c r="G728" s="42" t="s">
        <v>98</v>
      </c>
      <c r="H728" s="20" t="s">
        <v>66</v>
      </c>
      <c r="I728" s="9" t="s">
        <v>498</v>
      </c>
      <c r="J728" s="43">
        <v>2025.0</v>
      </c>
      <c r="K728" s="42" t="s">
        <v>85</v>
      </c>
    </row>
    <row r="729" ht="12.75" customHeight="1">
      <c r="A729" s="42" t="s">
        <v>1015</v>
      </c>
      <c r="B729" s="21">
        <v>46019.0</v>
      </c>
      <c r="C729" s="20" t="s">
        <v>179</v>
      </c>
      <c r="D729" s="21">
        <v>46019.0</v>
      </c>
      <c r="E729" s="21">
        <v>46025.0</v>
      </c>
      <c r="F729" s="20" t="s">
        <v>1016</v>
      </c>
      <c r="G729" s="42" t="s">
        <v>98</v>
      </c>
      <c r="H729" s="20" t="s">
        <v>66</v>
      </c>
      <c r="I729" s="9" t="s">
        <v>498</v>
      </c>
      <c r="J729" s="43">
        <v>2025.0</v>
      </c>
      <c r="K729" s="42" t="s">
        <v>86</v>
      </c>
    </row>
    <row r="730" ht="12.75" customHeight="1">
      <c r="A730" s="42" t="s">
        <v>1017</v>
      </c>
      <c r="B730" s="21">
        <v>46020.0</v>
      </c>
      <c r="C730" s="20" t="s">
        <v>163</v>
      </c>
      <c r="D730" s="21">
        <v>46019.0</v>
      </c>
      <c r="E730" s="21">
        <v>46025.0</v>
      </c>
      <c r="F730" s="20" t="s">
        <v>1016</v>
      </c>
      <c r="G730" s="42" t="s">
        <v>98</v>
      </c>
      <c r="H730" s="20" t="s">
        <v>66</v>
      </c>
      <c r="I730" s="9" t="s">
        <v>498</v>
      </c>
      <c r="J730" s="43">
        <v>2025.0</v>
      </c>
      <c r="K730" s="42" t="s">
        <v>86</v>
      </c>
    </row>
    <row r="731" ht="12.75" customHeight="1">
      <c r="A731" s="42" t="s">
        <v>1018</v>
      </c>
      <c r="B731" s="21">
        <v>46021.0</v>
      </c>
      <c r="C731" s="20" t="s">
        <v>169</v>
      </c>
      <c r="D731" s="21">
        <v>46019.0</v>
      </c>
      <c r="E731" s="21">
        <v>46025.0</v>
      </c>
      <c r="F731" s="20" t="s">
        <v>1016</v>
      </c>
      <c r="G731" s="42" t="s">
        <v>98</v>
      </c>
      <c r="H731" s="20" t="s">
        <v>66</v>
      </c>
      <c r="I731" s="9" t="s">
        <v>498</v>
      </c>
      <c r="J731" s="43">
        <v>2025.0</v>
      </c>
      <c r="K731" s="42" t="s">
        <v>86</v>
      </c>
    </row>
    <row r="732" ht="12.75" customHeight="1">
      <c r="A732" s="42" t="s">
        <v>1019</v>
      </c>
      <c r="B732" s="21">
        <v>46022.0</v>
      </c>
      <c r="C732" s="20" t="s">
        <v>171</v>
      </c>
      <c r="D732" s="21">
        <v>46019.0</v>
      </c>
      <c r="E732" s="21">
        <v>46025.0</v>
      </c>
      <c r="F732" s="20" t="s">
        <v>1016</v>
      </c>
      <c r="G732" s="42" t="s">
        <v>98</v>
      </c>
      <c r="H732" s="20" t="s">
        <v>66</v>
      </c>
      <c r="I732" s="9" t="s">
        <v>498</v>
      </c>
      <c r="J732" s="43">
        <v>2025.0</v>
      </c>
      <c r="K732" s="42" t="s">
        <v>86</v>
      </c>
    </row>
    <row r="733" ht="12.75" customHeight="1">
      <c r="A733" s="42" t="s">
        <v>1020</v>
      </c>
      <c r="B733" s="21">
        <v>46023.0</v>
      </c>
      <c r="C733" s="20" t="s">
        <v>173</v>
      </c>
      <c r="D733" s="21">
        <v>46019.0</v>
      </c>
      <c r="E733" s="21">
        <v>46025.0</v>
      </c>
      <c r="F733" s="20" t="s">
        <v>1016</v>
      </c>
      <c r="G733" s="42" t="s">
        <v>165</v>
      </c>
      <c r="H733" s="20" t="s">
        <v>166</v>
      </c>
      <c r="I733" s="9" t="s">
        <v>167</v>
      </c>
      <c r="J733" s="43">
        <v>2026.0</v>
      </c>
      <c r="K733" s="42" t="s">
        <v>165</v>
      </c>
    </row>
    <row r="734" ht="12.75" customHeight="1">
      <c r="A734" s="42" t="s">
        <v>1021</v>
      </c>
      <c r="B734" s="21">
        <v>46024.0</v>
      </c>
      <c r="C734" s="20" t="s">
        <v>175</v>
      </c>
      <c r="D734" s="21">
        <v>46019.0</v>
      </c>
      <c r="E734" s="21">
        <v>46025.0</v>
      </c>
      <c r="F734" s="20" t="s">
        <v>1016</v>
      </c>
      <c r="G734" s="42" t="s">
        <v>165</v>
      </c>
      <c r="H734" s="20" t="s">
        <v>166</v>
      </c>
      <c r="I734" s="9" t="s">
        <v>167</v>
      </c>
      <c r="J734" s="43">
        <v>2026.0</v>
      </c>
      <c r="K734" s="42" t="s">
        <v>165</v>
      </c>
    </row>
    <row r="735" ht="12.75" customHeight="1">
      <c r="A735" s="42" t="s">
        <v>1022</v>
      </c>
      <c r="B735" s="21">
        <v>46025.0</v>
      </c>
      <c r="C735" s="20" t="s">
        <v>177</v>
      </c>
      <c r="D735" s="21">
        <v>46019.0</v>
      </c>
      <c r="E735" s="21">
        <v>46025.0</v>
      </c>
      <c r="F735" s="20" t="s">
        <v>1016</v>
      </c>
      <c r="G735" s="42" t="s">
        <v>165</v>
      </c>
      <c r="H735" s="20" t="s">
        <v>166</v>
      </c>
      <c r="I735" s="9" t="s">
        <v>167</v>
      </c>
      <c r="J735" s="43">
        <v>2026.0</v>
      </c>
      <c r="K735" s="42" t="s">
        <v>165</v>
      </c>
    </row>
    <row r="736" ht="12.75" customHeight="1">
      <c r="A736" s="42" t="s">
        <v>1023</v>
      </c>
      <c r="B736" s="21">
        <v>46026.0</v>
      </c>
      <c r="C736" s="20" t="s">
        <v>179</v>
      </c>
      <c r="D736" s="21">
        <v>46026.0</v>
      </c>
      <c r="E736" s="21">
        <v>46032.0</v>
      </c>
      <c r="F736" s="20" t="s">
        <v>1024</v>
      </c>
      <c r="G736" s="42" t="s">
        <v>165</v>
      </c>
      <c r="H736" s="20" t="s">
        <v>166</v>
      </c>
      <c r="I736" s="9" t="s">
        <v>167</v>
      </c>
      <c r="J736" s="43">
        <v>2026.0</v>
      </c>
      <c r="K736" s="42" t="s">
        <v>181</v>
      </c>
    </row>
    <row r="737" ht="12.75" customHeight="1">
      <c r="A737" s="42" t="s">
        <v>1025</v>
      </c>
      <c r="B737" s="21">
        <v>46027.0</v>
      </c>
      <c r="C737" s="20" t="s">
        <v>163</v>
      </c>
      <c r="D737" s="21">
        <v>46026.0</v>
      </c>
      <c r="E737" s="21">
        <v>46032.0</v>
      </c>
      <c r="F737" s="20" t="s">
        <v>1024</v>
      </c>
      <c r="G737" s="42" t="s">
        <v>165</v>
      </c>
      <c r="H737" s="20" t="s">
        <v>166</v>
      </c>
      <c r="I737" s="9" t="s">
        <v>167</v>
      </c>
      <c r="J737" s="43">
        <v>2026.0</v>
      </c>
      <c r="K737" s="42" t="s">
        <v>181</v>
      </c>
    </row>
    <row r="738" ht="12.75" customHeight="1">
      <c r="A738" s="42" t="s">
        <v>1026</v>
      </c>
      <c r="B738" s="21">
        <v>46028.0</v>
      </c>
      <c r="C738" s="20" t="s">
        <v>169</v>
      </c>
      <c r="D738" s="21">
        <v>46026.0</v>
      </c>
      <c r="E738" s="21">
        <v>46032.0</v>
      </c>
      <c r="F738" s="20" t="s">
        <v>1024</v>
      </c>
      <c r="G738" s="42" t="s">
        <v>165</v>
      </c>
      <c r="H738" s="20" t="s">
        <v>166</v>
      </c>
      <c r="I738" s="9" t="s">
        <v>167</v>
      </c>
      <c r="J738" s="43">
        <v>2026.0</v>
      </c>
      <c r="K738" s="42" t="s">
        <v>181</v>
      </c>
    </row>
    <row r="739" ht="12.75" customHeight="1">
      <c r="A739" s="42" t="s">
        <v>1027</v>
      </c>
      <c r="B739" s="21">
        <v>46029.0</v>
      </c>
      <c r="C739" s="20" t="s">
        <v>171</v>
      </c>
      <c r="D739" s="21">
        <v>46026.0</v>
      </c>
      <c r="E739" s="21">
        <v>46032.0</v>
      </c>
      <c r="F739" s="20" t="s">
        <v>1024</v>
      </c>
      <c r="G739" s="42" t="s">
        <v>165</v>
      </c>
      <c r="H739" s="20" t="s">
        <v>166</v>
      </c>
      <c r="I739" s="9" t="s">
        <v>167</v>
      </c>
      <c r="J739" s="43">
        <v>2026.0</v>
      </c>
      <c r="K739" s="42" t="s">
        <v>181</v>
      </c>
    </row>
    <row r="740" ht="12.75" customHeight="1">
      <c r="A740" s="42" t="s">
        <v>1028</v>
      </c>
      <c r="B740" s="21">
        <v>46030.0</v>
      </c>
      <c r="C740" s="20" t="s">
        <v>173</v>
      </c>
      <c r="D740" s="21">
        <v>46026.0</v>
      </c>
      <c r="E740" s="21">
        <v>46032.0</v>
      </c>
      <c r="F740" s="20" t="s">
        <v>1024</v>
      </c>
      <c r="G740" s="42" t="s">
        <v>165</v>
      </c>
      <c r="H740" s="20" t="s">
        <v>166</v>
      </c>
      <c r="I740" s="9" t="s">
        <v>167</v>
      </c>
      <c r="J740" s="43">
        <v>2026.0</v>
      </c>
      <c r="K740" s="42" t="s">
        <v>181</v>
      </c>
    </row>
    <row r="741" ht="12.75" customHeight="1">
      <c r="A741" s="42" t="s">
        <v>1029</v>
      </c>
      <c r="B741" s="21">
        <v>46031.0</v>
      </c>
      <c r="C741" s="20" t="s">
        <v>175</v>
      </c>
      <c r="D741" s="21">
        <v>46026.0</v>
      </c>
      <c r="E741" s="21">
        <v>46032.0</v>
      </c>
      <c r="F741" s="20" t="s">
        <v>1024</v>
      </c>
      <c r="G741" s="42" t="s">
        <v>165</v>
      </c>
      <c r="H741" s="20" t="s">
        <v>166</v>
      </c>
      <c r="I741" s="9" t="s">
        <v>167</v>
      </c>
      <c r="J741" s="43">
        <v>2026.0</v>
      </c>
      <c r="K741" s="42" t="s">
        <v>181</v>
      </c>
    </row>
    <row r="742" ht="12.75" customHeight="1">
      <c r="A742" s="42" t="s">
        <v>1030</v>
      </c>
      <c r="B742" s="21">
        <v>46032.0</v>
      </c>
      <c r="C742" s="20" t="s">
        <v>177</v>
      </c>
      <c r="D742" s="21">
        <v>46026.0</v>
      </c>
      <c r="E742" s="21">
        <v>46032.0</v>
      </c>
      <c r="F742" s="20" t="s">
        <v>1024</v>
      </c>
      <c r="G742" s="42" t="s">
        <v>165</v>
      </c>
      <c r="H742" s="20" t="s">
        <v>166</v>
      </c>
      <c r="I742" s="9" t="s">
        <v>167</v>
      </c>
      <c r="J742" s="43">
        <v>2026.0</v>
      </c>
      <c r="K742" s="42" t="s">
        <v>181</v>
      </c>
    </row>
    <row r="743" ht="12.75" customHeight="1">
      <c r="A743" s="42" t="s">
        <v>1031</v>
      </c>
      <c r="B743" s="21">
        <v>46033.0</v>
      </c>
      <c r="C743" s="20" t="s">
        <v>179</v>
      </c>
      <c r="D743" s="21">
        <v>46033.0</v>
      </c>
      <c r="E743" s="21">
        <v>46039.0</v>
      </c>
      <c r="F743" s="20" t="s">
        <v>1032</v>
      </c>
      <c r="G743" s="42" t="s">
        <v>165</v>
      </c>
      <c r="H743" s="20" t="s">
        <v>166</v>
      </c>
      <c r="I743" s="9" t="s">
        <v>167</v>
      </c>
      <c r="J743" s="43">
        <v>2026.0</v>
      </c>
      <c r="K743" s="42" t="s">
        <v>190</v>
      </c>
    </row>
    <row r="744" ht="12.75" customHeight="1">
      <c r="A744" s="42" t="s">
        <v>1033</v>
      </c>
      <c r="B744" s="21">
        <v>46034.0</v>
      </c>
      <c r="C744" s="20" t="s">
        <v>163</v>
      </c>
      <c r="D744" s="21">
        <v>46033.0</v>
      </c>
      <c r="E744" s="21">
        <v>46039.0</v>
      </c>
      <c r="F744" s="20" t="s">
        <v>1032</v>
      </c>
      <c r="G744" s="42" t="s">
        <v>165</v>
      </c>
      <c r="H744" s="20" t="s">
        <v>166</v>
      </c>
      <c r="I744" s="9" t="s">
        <v>167</v>
      </c>
      <c r="J744" s="43">
        <v>2026.0</v>
      </c>
      <c r="K744" s="42" t="s">
        <v>190</v>
      </c>
    </row>
    <row r="745" ht="12.75" customHeight="1">
      <c r="A745" s="42" t="s">
        <v>1034</v>
      </c>
      <c r="B745" s="21">
        <v>46035.0</v>
      </c>
      <c r="C745" s="20" t="s">
        <v>169</v>
      </c>
      <c r="D745" s="21">
        <v>46033.0</v>
      </c>
      <c r="E745" s="21">
        <v>46039.0</v>
      </c>
      <c r="F745" s="20" t="s">
        <v>1032</v>
      </c>
      <c r="G745" s="42" t="s">
        <v>165</v>
      </c>
      <c r="H745" s="20" t="s">
        <v>166</v>
      </c>
      <c r="I745" s="9" t="s">
        <v>167</v>
      </c>
      <c r="J745" s="43">
        <v>2026.0</v>
      </c>
      <c r="K745" s="42" t="s">
        <v>190</v>
      </c>
    </row>
    <row r="746" ht="12.75" customHeight="1">
      <c r="A746" s="42" t="s">
        <v>1035</v>
      </c>
      <c r="B746" s="21">
        <v>46036.0</v>
      </c>
      <c r="C746" s="20" t="s">
        <v>171</v>
      </c>
      <c r="D746" s="21">
        <v>46033.0</v>
      </c>
      <c r="E746" s="21">
        <v>46039.0</v>
      </c>
      <c r="F746" s="20" t="s">
        <v>1032</v>
      </c>
      <c r="G746" s="42" t="s">
        <v>165</v>
      </c>
      <c r="H746" s="20" t="s">
        <v>166</v>
      </c>
      <c r="I746" s="9" t="s">
        <v>167</v>
      </c>
      <c r="J746" s="43">
        <v>2026.0</v>
      </c>
      <c r="K746" s="42" t="s">
        <v>190</v>
      </c>
    </row>
    <row r="747" ht="12.75" customHeight="1">
      <c r="A747" s="42" t="s">
        <v>1036</v>
      </c>
      <c r="B747" s="21">
        <v>46037.0</v>
      </c>
      <c r="C747" s="20" t="s">
        <v>173</v>
      </c>
      <c r="D747" s="21">
        <v>46033.0</v>
      </c>
      <c r="E747" s="21">
        <v>46039.0</v>
      </c>
      <c r="F747" s="20" t="s">
        <v>1032</v>
      </c>
      <c r="G747" s="42" t="s">
        <v>165</v>
      </c>
      <c r="H747" s="20" t="s">
        <v>166</v>
      </c>
      <c r="I747" s="9" t="s">
        <v>167</v>
      </c>
      <c r="J747" s="43">
        <v>2026.0</v>
      </c>
      <c r="K747" s="42" t="s">
        <v>190</v>
      </c>
    </row>
    <row r="748" ht="12.75" customHeight="1">
      <c r="A748" s="42" t="s">
        <v>1037</v>
      </c>
      <c r="B748" s="21">
        <v>46038.0</v>
      </c>
      <c r="C748" s="20" t="s">
        <v>175</v>
      </c>
      <c r="D748" s="21">
        <v>46033.0</v>
      </c>
      <c r="E748" s="21">
        <v>46039.0</v>
      </c>
      <c r="F748" s="20" t="s">
        <v>1032</v>
      </c>
      <c r="G748" s="42" t="s">
        <v>165</v>
      </c>
      <c r="H748" s="20" t="s">
        <v>166</v>
      </c>
      <c r="I748" s="9" t="s">
        <v>167</v>
      </c>
      <c r="J748" s="43">
        <v>2026.0</v>
      </c>
      <c r="K748" s="42" t="s">
        <v>190</v>
      </c>
    </row>
    <row r="749" ht="12.75" customHeight="1">
      <c r="A749" s="42" t="s">
        <v>1038</v>
      </c>
      <c r="B749" s="21">
        <v>46039.0</v>
      </c>
      <c r="C749" s="20" t="s">
        <v>177</v>
      </c>
      <c r="D749" s="21">
        <v>46033.0</v>
      </c>
      <c r="E749" s="21">
        <v>46039.0</v>
      </c>
      <c r="F749" s="20" t="s">
        <v>1032</v>
      </c>
      <c r="G749" s="42" t="s">
        <v>165</v>
      </c>
      <c r="H749" s="20" t="s">
        <v>166</v>
      </c>
      <c r="I749" s="9" t="s">
        <v>167</v>
      </c>
      <c r="J749" s="43">
        <v>2026.0</v>
      </c>
      <c r="K749" s="42" t="s">
        <v>190</v>
      </c>
    </row>
    <row r="750" ht="12.75" customHeight="1">
      <c r="A750" s="42" t="s">
        <v>1039</v>
      </c>
      <c r="B750" s="21">
        <v>46040.0</v>
      </c>
      <c r="C750" s="20" t="s">
        <v>179</v>
      </c>
      <c r="D750" s="21">
        <v>46040.0</v>
      </c>
      <c r="E750" s="21">
        <v>46046.0</v>
      </c>
      <c r="F750" s="20" t="s">
        <v>1040</v>
      </c>
      <c r="G750" s="42" t="s">
        <v>165</v>
      </c>
      <c r="H750" s="20" t="s">
        <v>166</v>
      </c>
      <c r="I750" s="9" t="s">
        <v>167</v>
      </c>
      <c r="J750" s="43">
        <v>2026.0</v>
      </c>
      <c r="K750" s="42" t="s">
        <v>199</v>
      </c>
    </row>
    <row r="751" ht="12.75" customHeight="1">
      <c r="A751" s="42" t="s">
        <v>1041</v>
      </c>
      <c r="B751" s="21">
        <v>46041.0</v>
      </c>
      <c r="C751" s="20" t="s">
        <v>163</v>
      </c>
      <c r="D751" s="21">
        <v>46040.0</v>
      </c>
      <c r="E751" s="21">
        <v>46046.0</v>
      </c>
      <c r="F751" s="20" t="s">
        <v>1040</v>
      </c>
      <c r="G751" s="42" t="s">
        <v>165</v>
      </c>
      <c r="H751" s="20" t="s">
        <v>166</v>
      </c>
      <c r="I751" s="9" t="s">
        <v>167</v>
      </c>
      <c r="J751" s="43">
        <v>2026.0</v>
      </c>
      <c r="K751" s="42" t="s">
        <v>199</v>
      </c>
    </row>
    <row r="752" ht="12.75" customHeight="1">
      <c r="A752" s="42" t="s">
        <v>1042</v>
      </c>
      <c r="B752" s="21">
        <v>46042.0</v>
      </c>
      <c r="C752" s="20" t="s">
        <v>169</v>
      </c>
      <c r="D752" s="21">
        <v>46040.0</v>
      </c>
      <c r="E752" s="21">
        <v>46046.0</v>
      </c>
      <c r="F752" s="20" t="s">
        <v>1040</v>
      </c>
      <c r="G752" s="42" t="s">
        <v>165</v>
      </c>
      <c r="H752" s="20" t="s">
        <v>166</v>
      </c>
      <c r="I752" s="9" t="s">
        <v>167</v>
      </c>
      <c r="J752" s="43">
        <v>2026.0</v>
      </c>
      <c r="K752" s="42" t="s">
        <v>199</v>
      </c>
    </row>
    <row r="753" ht="12.75" customHeight="1">
      <c r="A753" s="42" t="s">
        <v>1043</v>
      </c>
      <c r="B753" s="21">
        <v>46043.0</v>
      </c>
      <c r="C753" s="20" t="s">
        <v>171</v>
      </c>
      <c r="D753" s="21">
        <v>46040.0</v>
      </c>
      <c r="E753" s="21">
        <v>46046.0</v>
      </c>
      <c r="F753" s="20" t="s">
        <v>1040</v>
      </c>
      <c r="G753" s="42" t="s">
        <v>165</v>
      </c>
      <c r="H753" s="20" t="s">
        <v>166</v>
      </c>
      <c r="I753" s="9" t="s">
        <v>167</v>
      </c>
      <c r="J753" s="43">
        <v>2026.0</v>
      </c>
      <c r="K753" s="42" t="s">
        <v>199</v>
      </c>
    </row>
    <row r="754" ht="12.75" customHeight="1">
      <c r="A754" s="42" t="s">
        <v>1044</v>
      </c>
      <c r="B754" s="21">
        <v>46044.0</v>
      </c>
      <c r="C754" s="20" t="s">
        <v>173</v>
      </c>
      <c r="D754" s="21">
        <v>46040.0</v>
      </c>
      <c r="E754" s="21">
        <v>46046.0</v>
      </c>
      <c r="F754" s="20" t="s">
        <v>1040</v>
      </c>
      <c r="G754" s="42" t="s">
        <v>165</v>
      </c>
      <c r="H754" s="20" t="s">
        <v>166</v>
      </c>
      <c r="I754" s="9" t="s">
        <v>167</v>
      </c>
      <c r="J754" s="43">
        <v>2026.0</v>
      </c>
      <c r="K754" s="42" t="s">
        <v>199</v>
      </c>
    </row>
    <row r="755" ht="12.75" customHeight="1">
      <c r="A755" s="42" t="s">
        <v>1045</v>
      </c>
      <c r="B755" s="21">
        <v>46045.0</v>
      </c>
      <c r="C755" s="20" t="s">
        <v>175</v>
      </c>
      <c r="D755" s="21">
        <v>46040.0</v>
      </c>
      <c r="E755" s="21">
        <v>46046.0</v>
      </c>
      <c r="F755" s="20" t="s">
        <v>1040</v>
      </c>
      <c r="G755" s="42" t="s">
        <v>165</v>
      </c>
      <c r="H755" s="20" t="s">
        <v>166</v>
      </c>
      <c r="I755" s="9" t="s">
        <v>167</v>
      </c>
      <c r="J755" s="43">
        <v>2026.0</v>
      </c>
      <c r="K755" s="42" t="s">
        <v>199</v>
      </c>
    </row>
    <row r="756" ht="12.75" customHeight="1">
      <c r="A756" s="42" t="s">
        <v>1046</v>
      </c>
      <c r="B756" s="21">
        <v>46046.0</v>
      </c>
      <c r="C756" s="20" t="s">
        <v>177</v>
      </c>
      <c r="D756" s="21">
        <v>46040.0</v>
      </c>
      <c r="E756" s="21">
        <v>46046.0</v>
      </c>
      <c r="F756" s="20" t="s">
        <v>1040</v>
      </c>
      <c r="G756" s="42" t="s">
        <v>165</v>
      </c>
      <c r="H756" s="20" t="s">
        <v>166</v>
      </c>
      <c r="I756" s="9" t="s">
        <v>167</v>
      </c>
      <c r="J756" s="43">
        <v>2026.0</v>
      </c>
      <c r="K756" s="42" t="s">
        <v>199</v>
      </c>
    </row>
    <row r="757" ht="12.75" customHeight="1">
      <c r="A757" s="42" t="s">
        <v>1047</v>
      </c>
      <c r="B757" s="21">
        <v>46047.0</v>
      </c>
      <c r="C757" s="20" t="s">
        <v>179</v>
      </c>
      <c r="D757" s="21">
        <v>46047.0</v>
      </c>
      <c r="E757" s="21">
        <v>46053.0</v>
      </c>
      <c r="F757" s="20" t="s">
        <v>1048</v>
      </c>
      <c r="G757" s="42" t="s">
        <v>165</v>
      </c>
      <c r="H757" s="20" t="s">
        <v>166</v>
      </c>
      <c r="I757" s="9" t="s">
        <v>167</v>
      </c>
      <c r="J757" s="43">
        <v>2026.0</v>
      </c>
      <c r="K757" s="42" t="s">
        <v>208</v>
      </c>
    </row>
    <row r="758" ht="12.75" customHeight="1">
      <c r="A758" s="42" t="s">
        <v>1049</v>
      </c>
      <c r="B758" s="21">
        <v>46048.0</v>
      </c>
      <c r="C758" s="20" t="s">
        <v>163</v>
      </c>
      <c r="D758" s="21">
        <v>46047.0</v>
      </c>
      <c r="E758" s="21">
        <v>46053.0</v>
      </c>
      <c r="F758" s="20" t="s">
        <v>1048</v>
      </c>
      <c r="G758" s="42" t="s">
        <v>165</v>
      </c>
      <c r="H758" s="20" t="s">
        <v>166</v>
      </c>
      <c r="I758" s="9" t="s">
        <v>167</v>
      </c>
      <c r="J758" s="43">
        <v>2026.0</v>
      </c>
      <c r="K758" s="42" t="s">
        <v>208</v>
      </c>
    </row>
    <row r="759" ht="12.75" customHeight="1">
      <c r="A759" s="42" t="s">
        <v>1050</v>
      </c>
      <c r="B759" s="21">
        <v>46049.0</v>
      </c>
      <c r="C759" s="20" t="s">
        <v>169</v>
      </c>
      <c r="D759" s="21">
        <v>46047.0</v>
      </c>
      <c r="E759" s="21">
        <v>46053.0</v>
      </c>
      <c r="F759" s="20" t="s">
        <v>1048</v>
      </c>
      <c r="G759" s="42" t="s">
        <v>165</v>
      </c>
      <c r="H759" s="20" t="s">
        <v>166</v>
      </c>
      <c r="I759" s="9" t="s">
        <v>167</v>
      </c>
      <c r="J759" s="43">
        <v>2026.0</v>
      </c>
      <c r="K759" s="42" t="s">
        <v>208</v>
      </c>
    </row>
    <row r="760" ht="12.75" customHeight="1">
      <c r="A760" s="42" t="s">
        <v>1051</v>
      </c>
      <c r="B760" s="21">
        <v>46050.0</v>
      </c>
      <c r="C760" s="20" t="s">
        <v>171</v>
      </c>
      <c r="D760" s="21">
        <v>46047.0</v>
      </c>
      <c r="E760" s="21">
        <v>46053.0</v>
      </c>
      <c r="F760" s="20" t="s">
        <v>1048</v>
      </c>
      <c r="G760" s="42" t="s">
        <v>165</v>
      </c>
      <c r="H760" s="20" t="s">
        <v>166</v>
      </c>
      <c r="I760" s="9" t="s">
        <v>167</v>
      </c>
      <c r="J760" s="43">
        <v>2026.0</v>
      </c>
      <c r="K760" s="42" t="s">
        <v>208</v>
      </c>
    </row>
    <row r="761" ht="12.75" customHeight="1">
      <c r="A761" s="42" t="s">
        <v>1052</v>
      </c>
      <c r="B761" s="21">
        <v>46051.0</v>
      </c>
      <c r="C761" s="20" t="s">
        <v>173</v>
      </c>
      <c r="D761" s="21">
        <v>46047.0</v>
      </c>
      <c r="E761" s="21">
        <v>46053.0</v>
      </c>
      <c r="F761" s="20" t="s">
        <v>1048</v>
      </c>
      <c r="G761" s="42" t="s">
        <v>165</v>
      </c>
      <c r="H761" s="20" t="s">
        <v>166</v>
      </c>
      <c r="I761" s="9" t="s">
        <v>167</v>
      </c>
      <c r="J761" s="43">
        <v>2026.0</v>
      </c>
      <c r="K761" s="42" t="s">
        <v>208</v>
      </c>
    </row>
    <row r="762" ht="12.75" customHeight="1">
      <c r="A762" s="42" t="s">
        <v>1053</v>
      </c>
      <c r="B762" s="21">
        <v>46052.0</v>
      </c>
      <c r="C762" s="20" t="s">
        <v>175</v>
      </c>
      <c r="D762" s="21">
        <v>46047.0</v>
      </c>
      <c r="E762" s="21">
        <v>46053.0</v>
      </c>
      <c r="F762" s="20" t="s">
        <v>1048</v>
      </c>
      <c r="G762" s="42" t="s">
        <v>165</v>
      </c>
      <c r="H762" s="20" t="s">
        <v>166</v>
      </c>
      <c r="I762" s="9" t="s">
        <v>167</v>
      </c>
      <c r="J762" s="43">
        <v>2026.0</v>
      </c>
      <c r="K762" s="42" t="s">
        <v>208</v>
      </c>
    </row>
    <row r="763" ht="12.75" customHeight="1">
      <c r="A763" s="42" t="s">
        <v>1054</v>
      </c>
      <c r="B763" s="21">
        <v>46053.0</v>
      </c>
      <c r="C763" s="20" t="s">
        <v>177</v>
      </c>
      <c r="D763" s="21">
        <v>46047.0</v>
      </c>
      <c r="E763" s="21">
        <v>46053.0</v>
      </c>
      <c r="F763" s="20" t="s">
        <v>1048</v>
      </c>
      <c r="G763" s="42" t="s">
        <v>165</v>
      </c>
      <c r="H763" s="20" t="s">
        <v>166</v>
      </c>
      <c r="I763" s="9" t="s">
        <v>167</v>
      </c>
      <c r="J763" s="43">
        <v>2026.0</v>
      </c>
      <c r="K763" s="42" t="s">
        <v>208</v>
      </c>
    </row>
    <row r="764" ht="12.75" customHeight="1">
      <c r="A764" s="42" t="s">
        <v>1055</v>
      </c>
      <c r="B764" s="21">
        <v>46054.0</v>
      </c>
      <c r="C764" s="20" t="s">
        <v>179</v>
      </c>
      <c r="D764" s="21">
        <v>46054.0</v>
      </c>
      <c r="E764" s="21">
        <v>46060.0</v>
      </c>
      <c r="F764" s="20" t="s">
        <v>1056</v>
      </c>
      <c r="G764" s="42" t="s">
        <v>181</v>
      </c>
      <c r="H764" s="20" t="s">
        <v>213</v>
      </c>
      <c r="I764" s="9" t="s">
        <v>167</v>
      </c>
      <c r="J764" s="43">
        <v>2026.0</v>
      </c>
      <c r="K764" s="42" t="s">
        <v>218</v>
      </c>
    </row>
    <row r="765" ht="12.75" customHeight="1">
      <c r="A765" s="42" t="s">
        <v>1057</v>
      </c>
      <c r="B765" s="21">
        <v>46055.0</v>
      </c>
      <c r="C765" s="20" t="s">
        <v>163</v>
      </c>
      <c r="D765" s="21">
        <v>46054.0</v>
      </c>
      <c r="E765" s="21">
        <v>46060.0</v>
      </c>
      <c r="F765" s="20" t="s">
        <v>1056</v>
      </c>
      <c r="G765" s="42" t="s">
        <v>181</v>
      </c>
      <c r="H765" s="20" t="s">
        <v>213</v>
      </c>
      <c r="I765" s="9" t="s">
        <v>167</v>
      </c>
      <c r="J765" s="43">
        <v>2026.0</v>
      </c>
      <c r="K765" s="42" t="s">
        <v>218</v>
      </c>
    </row>
    <row r="766" ht="12.75" customHeight="1">
      <c r="A766" s="42" t="s">
        <v>1058</v>
      </c>
      <c r="B766" s="21">
        <v>46056.0</v>
      </c>
      <c r="C766" s="20" t="s">
        <v>169</v>
      </c>
      <c r="D766" s="21">
        <v>46054.0</v>
      </c>
      <c r="E766" s="21">
        <v>46060.0</v>
      </c>
      <c r="F766" s="20" t="s">
        <v>1056</v>
      </c>
      <c r="G766" s="42" t="s">
        <v>181</v>
      </c>
      <c r="H766" s="20" t="s">
        <v>213</v>
      </c>
      <c r="I766" s="9" t="s">
        <v>167</v>
      </c>
      <c r="J766" s="43">
        <v>2026.0</v>
      </c>
      <c r="K766" s="42" t="s">
        <v>218</v>
      </c>
    </row>
    <row r="767" ht="12.75" customHeight="1">
      <c r="A767" s="42" t="s">
        <v>1059</v>
      </c>
      <c r="B767" s="21">
        <v>46057.0</v>
      </c>
      <c r="C767" s="20" t="s">
        <v>171</v>
      </c>
      <c r="D767" s="21">
        <v>46054.0</v>
      </c>
      <c r="E767" s="21">
        <v>46060.0</v>
      </c>
      <c r="F767" s="20" t="s">
        <v>1056</v>
      </c>
      <c r="G767" s="42" t="s">
        <v>181</v>
      </c>
      <c r="H767" s="20" t="s">
        <v>213</v>
      </c>
      <c r="I767" s="9" t="s">
        <v>167</v>
      </c>
      <c r="J767" s="43">
        <v>2026.0</v>
      </c>
      <c r="K767" s="42" t="s">
        <v>218</v>
      </c>
    </row>
    <row r="768" ht="12.75" customHeight="1">
      <c r="A768" s="42" t="s">
        <v>1060</v>
      </c>
      <c r="B768" s="21">
        <v>46058.0</v>
      </c>
      <c r="C768" s="20" t="s">
        <v>173</v>
      </c>
      <c r="D768" s="21">
        <v>46054.0</v>
      </c>
      <c r="E768" s="21">
        <v>46060.0</v>
      </c>
      <c r="F768" s="20" t="s">
        <v>1056</v>
      </c>
      <c r="G768" s="42" t="s">
        <v>181</v>
      </c>
      <c r="H768" s="20" t="s">
        <v>213</v>
      </c>
      <c r="I768" s="9" t="s">
        <v>167</v>
      </c>
      <c r="J768" s="43">
        <v>2026.0</v>
      </c>
      <c r="K768" s="42" t="s">
        <v>218</v>
      </c>
    </row>
    <row r="769" ht="12.75" customHeight="1">
      <c r="A769" s="42" t="s">
        <v>1061</v>
      </c>
      <c r="B769" s="21">
        <v>46059.0</v>
      </c>
      <c r="C769" s="20" t="s">
        <v>175</v>
      </c>
      <c r="D769" s="21">
        <v>46054.0</v>
      </c>
      <c r="E769" s="21">
        <v>46060.0</v>
      </c>
      <c r="F769" s="20" t="s">
        <v>1056</v>
      </c>
      <c r="G769" s="42" t="s">
        <v>181</v>
      </c>
      <c r="H769" s="20" t="s">
        <v>213</v>
      </c>
      <c r="I769" s="9" t="s">
        <v>167</v>
      </c>
      <c r="J769" s="43">
        <v>2026.0</v>
      </c>
      <c r="K769" s="42" t="s">
        <v>218</v>
      </c>
    </row>
    <row r="770" ht="12.75" customHeight="1">
      <c r="A770" s="42" t="s">
        <v>1062</v>
      </c>
      <c r="B770" s="21">
        <v>46060.0</v>
      </c>
      <c r="C770" s="20" t="s">
        <v>177</v>
      </c>
      <c r="D770" s="21">
        <v>46054.0</v>
      </c>
      <c r="E770" s="21">
        <v>46060.0</v>
      </c>
      <c r="F770" s="20" t="s">
        <v>1056</v>
      </c>
      <c r="G770" s="42" t="s">
        <v>181</v>
      </c>
      <c r="H770" s="20" t="s">
        <v>213</v>
      </c>
      <c r="I770" s="9" t="s">
        <v>167</v>
      </c>
      <c r="J770" s="43">
        <v>2026.0</v>
      </c>
      <c r="K770" s="42" t="s">
        <v>218</v>
      </c>
    </row>
    <row r="771" ht="12.75" customHeight="1">
      <c r="A771" s="42" t="s">
        <v>1063</v>
      </c>
      <c r="B771" s="21">
        <v>46061.0</v>
      </c>
      <c r="C771" s="20" t="s">
        <v>179</v>
      </c>
      <c r="D771" s="21">
        <v>46061.0</v>
      </c>
      <c r="E771" s="21">
        <v>46067.0</v>
      </c>
      <c r="F771" s="20" t="s">
        <v>1064</v>
      </c>
      <c r="G771" s="42" t="s">
        <v>181</v>
      </c>
      <c r="H771" s="20" t="s">
        <v>213</v>
      </c>
      <c r="I771" s="9" t="s">
        <v>167</v>
      </c>
      <c r="J771" s="43">
        <v>2026.0</v>
      </c>
      <c r="K771" s="42" t="s">
        <v>227</v>
      </c>
    </row>
    <row r="772" ht="12.75" customHeight="1">
      <c r="A772" s="42" t="s">
        <v>1065</v>
      </c>
      <c r="B772" s="21">
        <v>46062.0</v>
      </c>
      <c r="C772" s="20" t="s">
        <v>163</v>
      </c>
      <c r="D772" s="21">
        <v>46061.0</v>
      </c>
      <c r="E772" s="21">
        <v>46067.0</v>
      </c>
      <c r="F772" s="20" t="s">
        <v>1064</v>
      </c>
      <c r="G772" s="42" t="s">
        <v>181</v>
      </c>
      <c r="H772" s="20" t="s">
        <v>213</v>
      </c>
      <c r="I772" s="9" t="s">
        <v>167</v>
      </c>
      <c r="J772" s="43">
        <v>2026.0</v>
      </c>
      <c r="K772" s="42" t="s">
        <v>227</v>
      </c>
    </row>
    <row r="773" ht="12.75" customHeight="1">
      <c r="A773" s="42" t="s">
        <v>1066</v>
      </c>
      <c r="B773" s="21">
        <v>46063.0</v>
      </c>
      <c r="C773" s="20" t="s">
        <v>169</v>
      </c>
      <c r="D773" s="21">
        <v>46061.0</v>
      </c>
      <c r="E773" s="21">
        <v>46067.0</v>
      </c>
      <c r="F773" s="20" t="s">
        <v>1064</v>
      </c>
      <c r="G773" s="42" t="s">
        <v>181</v>
      </c>
      <c r="H773" s="20" t="s">
        <v>213</v>
      </c>
      <c r="I773" s="9" t="s">
        <v>167</v>
      </c>
      <c r="J773" s="43">
        <v>2026.0</v>
      </c>
      <c r="K773" s="42" t="s">
        <v>227</v>
      </c>
    </row>
    <row r="774" ht="12.75" customHeight="1">
      <c r="A774" s="42" t="s">
        <v>1067</v>
      </c>
      <c r="B774" s="21">
        <v>46064.0</v>
      </c>
      <c r="C774" s="20" t="s">
        <v>171</v>
      </c>
      <c r="D774" s="21">
        <v>46061.0</v>
      </c>
      <c r="E774" s="21">
        <v>46067.0</v>
      </c>
      <c r="F774" s="20" t="s">
        <v>1064</v>
      </c>
      <c r="G774" s="42" t="s">
        <v>181</v>
      </c>
      <c r="H774" s="20" t="s">
        <v>213</v>
      </c>
      <c r="I774" s="9" t="s">
        <v>167</v>
      </c>
      <c r="J774" s="43">
        <v>2026.0</v>
      </c>
      <c r="K774" s="42" t="s">
        <v>227</v>
      </c>
    </row>
    <row r="775" ht="12.75" customHeight="1">
      <c r="A775" s="42" t="s">
        <v>1068</v>
      </c>
      <c r="B775" s="21">
        <v>46065.0</v>
      </c>
      <c r="C775" s="20" t="s">
        <v>173</v>
      </c>
      <c r="D775" s="21">
        <v>46061.0</v>
      </c>
      <c r="E775" s="21">
        <v>46067.0</v>
      </c>
      <c r="F775" s="20" t="s">
        <v>1064</v>
      </c>
      <c r="G775" s="42" t="s">
        <v>181</v>
      </c>
      <c r="H775" s="20" t="s">
        <v>213</v>
      </c>
      <c r="I775" s="9" t="s">
        <v>167</v>
      </c>
      <c r="J775" s="43">
        <v>2026.0</v>
      </c>
      <c r="K775" s="42" t="s">
        <v>227</v>
      </c>
    </row>
    <row r="776" ht="12.75" customHeight="1">
      <c r="A776" s="42" t="s">
        <v>1069</v>
      </c>
      <c r="B776" s="21">
        <v>46066.0</v>
      </c>
      <c r="C776" s="20" t="s">
        <v>175</v>
      </c>
      <c r="D776" s="21">
        <v>46061.0</v>
      </c>
      <c r="E776" s="21">
        <v>46067.0</v>
      </c>
      <c r="F776" s="20" t="s">
        <v>1064</v>
      </c>
      <c r="G776" s="42" t="s">
        <v>181</v>
      </c>
      <c r="H776" s="20" t="s">
        <v>213</v>
      </c>
      <c r="I776" s="9" t="s">
        <v>167</v>
      </c>
      <c r="J776" s="43">
        <v>2026.0</v>
      </c>
      <c r="K776" s="42" t="s">
        <v>227</v>
      </c>
    </row>
    <row r="777" ht="12.75" customHeight="1">
      <c r="A777" s="42" t="s">
        <v>1070</v>
      </c>
      <c r="B777" s="21">
        <v>46067.0</v>
      </c>
      <c r="C777" s="20" t="s">
        <v>177</v>
      </c>
      <c r="D777" s="21">
        <v>46061.0</v>
      </c>
      <c r="E777" s="21">
        <v>46067.0</v>
      </c>
      <c r="F777" s="20" t="s">
        <v>1064</v>
      </c>
      <c r="G777" s="42" t="s">
        <v>181</v>
      </c>
      <c r="H777" s="20" t="s">
        <v>213</v>
      </c>
      <c r="I777" s="9" t="s">
        <v>167</v>
      </c>
      <c r="J777" s="43">
        <v>2026.0</v>
      </c>
      <c r="K777" s="42" t="s">
        <v>227</v>
      </c>
    </row>
    <row r="778" ht="12.75" customHeight="1">
      <c r="A778" s="42" t="s">
        <v>1071</v>
      </c>
      <c r="B778" s="21">
        <v>46068.0</v>
      </c>
      <c r="C778" s="20" t="s">
        <v>179</v>
      </c>
      <c r="D778" s="21">
        <v>46068.0</v>
      </c>
      <c r="E778" s="21">
        <v>46074.0</v>
      </c>
      <c r="F778" s="20" t="s">
        <v>1072</v>
      </c>
      <c r="G778" s="42" t="s">
        <v>181</v>
      </c>
      <c r="H778" s="20" t="s">
        <v>213</v>
      </c>
      <c r="I778" s="9" t="s">
        <v>167</v>
      </c>
      <c r="J778" s="43">
        <v>2026.0</v>
      </c>
      <c r="K778" s="42" t="s">
        <v>236</v>
      </c>
    </row>
    <row r="779" ht="12.75" customHeight="1">
      <c r="A779" s="42" t="s">
        <v>1073</v>
      </c>
      <c r="B779" s="21">
        <v>46069.0</v>
      </c>
      <c r="C779" s="20" t="s">
        <v>163</v>
      </c>
      <c r="D779" s="21">
        <v>46068.0</v>
      </c>
      <c r="E779" s="21">
        <v>46074.0</v>
      </c>
      <c r="F779" s="20" t="s">
        <v>1072</v>
      </c>
      <c r="G779" s="42" t="s">
        <v>181</v>
      </c>
      <c r="H779" s="20" t="s">
        <v>213</v>
      </c>
      <c r="I779" s="9" t="s">
        <v>167</v>
      </c>
      <c r="J779" s="43">
        <v>2026.0</v>
      </c>
      <c r="K779" s="42" t="s">
        <v>236</v>
      </c>
    </row>
    <row r="780" ht="12.75" customHeight="1">
      <c r="A780" s="42" t="s">
        <v>1074</v>
      </c>
      <c r="B780" s="21">
        <v>46070.0</v>
      </c>
      <c r="C780" s="20" t="s">
        <v>169</v>
      </c>
      <c r="D780" s="21">
        <v>46068.0</v>
      </c>
      <c r="E780" s="21">
        <v>46074.0</v>
      </c>
      <c r="F780" s="20" t="s">
        <v>1072</v>
      </c>
      <c r="G780" s="42" t="s">
        <v>181</v>
      </c>
      <c r="H780" s="20" t="s">
        <v>213</v>
      </c>
      <c r="I780" s="9" t="s">
        <v>167</v>
      </c>
      <c r="J780" s="43">
        <v>2026.0</v>
      </c>
      <c r="K780" s="42" t="s">
        <v>236</v>
      </c>
    </row>
    <row r="781" ht="12.75" customHeight="1">
      <c r="A781" s="42" t="s">
        <v>1075</v>
      </c>
      <c r="B781" s="21">
        <v>46071.0</v>
      </c>
      <c r="C781" s="20" t="s">
        <v>171</v>
      </c>
      <c r="D781" s="21">
        <v>46068.0</v>
      </c>
      <c r="E781" s="21">
        <v>46074.0</v>
      </c>
      <c r="F781" s="20" t="s">
        <v>1072</v>
      </c>
      <c r="G781" s="42" t="s">
        <v>181</v>
      </c>
      <c r="H781" s="20" t="s">
        <v>213</v>
      </c>
      <c r="I781" s="9" t="s">
        <v>167</v>
      </c>
      <c r="J781" s="43">
        <v>2026.0</v>
      </c>
      <c r="K781" s="42" t="s">
        <v>236</v>
      </c>
    </row>
    <row r="782" ht="12.75" customHeight="1">
      <c r="A782" s="42" t="s">
        <v>1076</v>
      </c>
      <c r="B782" s="21">
        <v>46072.0</v>
      </c>
      <c r="C782" s="20" t="s">
        <v>173</v>
      </c>
      <c r="D782" s="21">
        <v>46068.0</v>
      </c>
      <c r="E782" s="21">
        <v>46074.0</v>
      </c>
      <c r="F782" s="20" t="s">
        <v>1072</v>
      </c>
      <c r="G782" s="42" t="s">
        <v>181</v>
      </c>
      <c r="H782" s="20" t="s">
        <v>213</v>
      </c>
      <c r="I782" s="9" t="s">
        <v>167</v>
      </c>
      <c r="J782" s="43">
        <v>2026.0</v>
      </c>
      <c r="K782" s="42" t="s">
        <v>236</v>
      </c>
    </row>
    <row r="783" ht="12.75" customHeight="1">
      <c r="A783" s="42" t="s">
        <v>1077</v>
      </c>
      <c r="B783" s="21">
        <v>46073.0</v>
      </c>
      <c r="C783" s="20" t="s">
        <v>175</v>
      </c>
      <c r="D783" s="21">
        <v>46068.0</v>
      </c>
      <c r="E783" s="21">
        <v>46074.0</v>
      </c>
      <c r="F783" s="20" t="s">
        <v>1072</v>
      </c>
      <c r="G783" s="42" t="s">
        <v>181</v>
      </c>
      <c r="H783" s="20" t="s">
        <v>213</v>
      </c>
      <c r="I783" s="9" t="s">
        <v>167</v>
      </c>
      <c r="J783" s="43">
        <v>2026.0</v>
      </c>
      <c r="K783" s="42" t="s">
        <v>236</v>
      </c>
    </row>
    <row r="784" ht="12.75" customHeight="1">
      <c r="A784" s="42" t="s">
        <v>1078</v>
      </c>
      <c r="B784" s="21">
        <v>46074.0</v>
      </c>
      <c r="C784" s="20" t="s">
        <v>177</v>
      </c>
      <c r="D784" s="21">
        <v>46068.0</v>
      </c>
      <c r="E784" s="21">
        <v>46074.0</v>
      </c>
      <c r="F784" s="20" t="s">
        <v>1072</v>
      </c>
      <c r="G784" s="42" t="s">
        <v>181</v>
      </c>
      <c r="H784" s="20" t="s">
        <v>213</v>
      </c>
      <c r="I784" s="9" t="s">
        <v>167</v>
      </c>
      <c r="J784" s="43">
        <v>2026.0</v>
      </c>
      <c r="K784" s="42" t="s">
        <v>236</v>
      </c>
    </row>
    <row r="785" ht="12.75" customHeight="1">
      <c r="A785" s="42" t="s">
        <v>1079</v>
      </c>
      <c r="B785" s="21">
        <v>46075.0</v>
      </c>
      <c r="C785" s="20" t="s">
        <v>179</v>
      </c>
      <c r="D785" s="21">
        <v>46075.0</v>
      </c>
      <c r="E785" s="21">
        <v>46081.0</v>
      </c>
      <c r="F785" s="20" t="s">
        <v>1080</v>
      </c>
      <c r="G785" s="42" t="s">
        <v>181</v>
      </c>
      <c r="H785" s="20" t="s">
        <v>213</v>
      </c>
      <c r="I785" s="9" t="s">
        <v>167</v>
      </c>
      <c r="J785" s="43">
        <v>2026.0</v>
      </c>
      <c r="K785" s="42" t="s">
        <v>245</v>
      </c>
    </row>
    <row r="786" ht="12.75" customHeight="1">
      <c r="A786" s="42" t="s">
        <v>1081</v>
      </c>
      <c r="B786" s="21">
        <v>46076.0</v>
      </c>
      <c r="C786" s="20" t="s">
        <v>163</v>
      </c>
      <c r="D786" s="21">
        <v>46075.0</v>
      </c>
      <c r="E786" s="21">
        <v>46081.0</v>
      </c>
      <c r="F786" s="20" t="s">
        <v>1080</v>
      </c>
      <c r="G786" s="42" t="s">
        <v>181</v>
      </c>
      <c r="H786" s="20" t="s">
        <v>213</v>
      </c>
      <c r="I786" s="9" t="s">
        <v>167</v>
      </c>
      <c r="J786" s="43">
        <v>2026.0</v>
      </c>
      <c r="K786" s="42" t="s">
        <v>245</v>
      </c>
    </row>
    <row r="787" ht="12.75" customHeight="1">
      <c r="A787" s="42" t="s">
        <v>1082</v>
      </c>
      <c r="B787" s="21">
        <v>46077.0</v>
      </c>
      <c r="C787" s="20" t="s">
        <v>169</v>
      </c>
      <c r="D787" s="21">
        <v>46075.0</v>
      </c>
      <c r="E787" s="21">
        <v>46081.0</v>
      </c>
      <c r="F787" s="20" t="s">
        <v>1080</v>
      </c>
      <c r="G787" s="42" t="s">
        <v>181</v>
      </c>
      <c r="H787" s="20" t="s">
        <v>213</v>
      </c>
      <c r="I787" s="9" t="s">
        <v>167</v>
      </c>
      <c r="J787" s="43">
        <v>2026.0</v>
      </c>
      <c r="K787" s="42" t="s">
        <v>245</v>
      </c>
    </row>
    <row r="788" ht="12.75" customHeight="1">
      <c r="A788" s="42" t="s">
        <v>1083</v>
      </c>
      <c r="B788" s="21">
        <v>46078.0</v>
      </c>
      <c r="C788" s="20" t="s">
        <v>171</v>
      </c>
      <c r="D788" s="21">
        <v>46075.0</v>
      </c>
      <c r="E788" s="21">
        <v>46081.0</v>
      </c>
      <c r="F788" s="20" t="s">
        <v>1080</v>
      </c>
      <c r="G788" s="42" t="s">
        <v>181</v>
      </c>
      <c r="H788" s="20" t="s">
        <v>213</v>
      </c>
      <c r="I788" s="9" t="s">
        <v>167</v>
      </c>
      <c r="J788" s="43">
        <v>2026.0</v>
      </c>
      <c r="K788" s="42" t="s">
        <v>245</v>
      </c>
    </row>
    <row r="789" ht="12.75" customHeight="1">
      <c r="A789" s="42" t="s">
        <v>1084</v>
      </c>
      <c r="B789" s="21">
        <v>46079.0</v>
      </c>
      <c r="C789" s="20" t="s">
        <v>173</v>
      </c>
      <c r="D789" s="21">
        <v>46075.0</v>
      </c>
      <c r="E789" s="21">
        <v>46081.0</v>
      </c>
      <c r="F789" s="20" t="s">
        <v>1080</v>
      </c>
      <c r="G789" s="42" t="s">
        <v>181</v>
      </c>
      <c r="H789" s="20" t="s">
        <v>213</v>
      </c>
      <c r="I789" s="9" t="s">
        <v>167</v>
      </c>
      <c r="J789" s="43">
        <v>2026.0</v>
      </c>
      <c r="K789" s="42" t="s">
        <v>245</v>
      </c>
    </row>
    <row r="790" ht="12.75" customHeight="1">
      <c r="A790" s="42" t="s">
        <v>1085</v>
      </c>
      <c r="B790" s="21">
        <v>46080.0</v>
      </c>
      <c r="C790" s="20" t="s">
        <v>175</v>
      </c>
      <c r="D790" s="21">
        <v>46075.0</v>
      </c>
      <c r="E790" s="21">
        <v>46081.0</v>
      </c>
      <c r="F790" s="20" t="s">
        <v>1080</v>
      </c>
      <c r="G790" s="42" t="s">
        <v>181</v>
      </c>
      <c r="H790" s="20" t="s">
        <v>213</v>
      </c>
      <c r="I790" s="9" t="s">
        <v>167</v>
      </c>
      <c r="J790" s="43">
        <v>2026.0</v>
      </c>
      <c r="K790" s="42" t="s">
        <v>245</v>
      </c>
    </row>
    <row r="791" ht="12.75" customHeight="1">
      <c r="A791" s="42" t="s">
        <v>1086</v>
      </c>
      <c r="B791" s="21">
        <v>46081.0</v>
      </c>
      <c r="C791" s="20" t="s">
        <v>177</v>
      </c>
      <c r="D791" s="21">
        <v>46075.0</v>
      </c>
      <c r="E791" s="21">
        <v>46081.0</v>
      </c>
      <c r="F791" s="20" t="s">
        <v>1080</v>
      </c>
      <c r="G791" s="42" t="s">
        <v>181</v>
      </c>
      <c r="H791" s="20" t="s">
        <v>213</v>
      </c>
      <c r="I791" s="9" t="s">
        <v>167</v>
      </c>
      <c r="J791" s="43">
        <v>2026.0</v>
      </c>
      <c r="K791" s="42" t="s">
        <v>245</v>
      </c>
    </row>
    <row r="792" ht="12.75" customHeight="1">
      <c r="A792" s="42" t="s">
        <v>1087</v>
      </c>
      <c r="B792" s="21">
        <v>46082.0</v>
      </c>
      <c r="C792" s="20" t="s">
        <v>179</v>
      </c>
      <c r="D792" s="21">
        <v>46082.0</v>
      </c>
      <c r="E792" s="21">
        <v>46088.0</v>
      </c>
      <c r="F792" s="20" t="s">
        <v>1088</v>
      </c>
      <c r="G792" s="42" t="s">
        <v>190</v>
      </c>
      <c r="H792" s="20" t="s">
        <v>69</v>
      </c>
      <c r="I792" s="9" t="s">
        <v>167</v>
      </c>
      <c r="J792" s="43">
        <v>2026.0</v>
      </c>
      <c r="K792" s="42" t="s">
        <v>96</v>
      </c>
    </row>
    <row r="793" ht="12.75" customHeight="1">
      <c r="A793" s="42" t="s">
        <v>1089</v>
      </c>
      <c r="B793" s="21">
        <v>46083.0</v>
      </c>
      <c r="C793" s="20" t="s">
        <v>163</v>
      </c>
      <c r="D793" s="21">
        <v>46082.0</v>
      </c>
      <c r="E793" s="21">
        <v>46088.0</v>
      </c>
      <c r="F793" s="20" t="s">
        <v>1088</v>
      </c>
      <c r="G793" s="42" t="s">
        <v>190</v>
      </c>
      <c r="H793" s="20" t="s">
        <v>69</v>
      </c>
      <c r="I793" s="9" t="s">
        <v>167</v>
      </c>
      <c r="J793" s="43">
        <v>2026.0</v>
      </c>
      <c r="K793" s="42" t="s">
        <v>96</v>
      </c>
    </row>
    <row r="794" ht="12.75" customHeight="1">
      <c r="A794" s="42" t="s">
        <v>1090</v>
      </c>
      <c r="B794" s="21">
        <v>46084.0</v>
      </c>
      <c r="C794" s="20" t="s">
        <v>169</v>
      </c>
      <c r="D794" s="21">
        <v>46082.0</v>
      </c>
      <c r="E794" s="21">
        <v>46088.0</v>
      </c>
      <c r="F794" s="20" t="s">
        <v>1088</v>
      </c>
      <c r="G794" s="42" t="s">
        <v>190</v>
      </c>
      <c r="H794" s="20" t="s">
        <v>69</v>
      </c>
      <c r="I794" s="9" t="s">
        <v>167</v>
      </c>
      <c r="J794" s="43">
        <v>2026.0</v>
      </c>
      <c r="K794" s="42" t="s">
        <v>96</v>
      </c>
    </row>
    <row r="795" ht="12.75" customHeight="1">
      <c r="A795" s="42" t="s">
        <v>1091</v>
      </c>
      <c r="B795" s="21">
        <v>46085.0</v>
      </c>
      <c r="C795" s="20" t="s">
        <v>171</v>
      </c>
      <c r="D795" s="21">
        <v>46082.0</v>
      </c>
      <c r="E795" s="21">
        <v>46088.0</v>
      </c>
      <c r="F795" s="20" t="s">
        <v>1088</v>
      </c>
      <c r="G795" s="42" t="s">
        <v>190</v>
      </c>
      <c r="H795" s="20" t="s">
        <v>69</v>
      </c>
      <c r="I795" s="9" t="s">
        <v>167</v>
      </c>
      <c r="J795" s="43">
        <v>2026.0</v>
      </c>
      <c r="K795" s="42" t="s">
        <v>96</v>
      </c>
    </row>
    <row r="796" ht="12.75" customHeight="1">
      <c r="A796" s="42" t="s">
        <v>1092</v>
      </c>
      <c r="B796" s="21">
        <v>46086.0</v>
      </c>
      <c r="C796" s="20" t="s">
        <v>173</v>
      </c>
      <c r="D796" s="21">
        <v>46082.0</v>
      </c>
      <c r="E796" s="21">
        <v>46088.0</v>
      </c>
      <c r="F796" s="20" t="s">
        <v>1088</v>
      </c>
      <c r="G796" s="42" t="s">
        <v>190</v>
      </c>
      <c r="H796" s="20" t="s">
        <v>69</v>
      </c>
      <c r="I796" s="9" t="s">
        <v>167</v>
      </c>
      <c r="J796" s="43">
        <v>2026.0</v>
      </c>
      <c r="K796" s="42" t="s">
        <v>96</v>
      </c>
    </row>
    <row r="797" ht="12.75" customHeight="1">
      <c r="A797" s="42" t="s">
        <v>1093</v>
      </c>
      <c r="B797" s="21">
        <v>46087.0</v>
      </c>
      <c r="C797" s="20" t="s">
        <v>175</v>
      </c>
      <c r="D797" s="21">
        <v>46082.0</v>
      </c>
      <c r="E797" s="21">
        <v>46088.0</v>
      </c>
      <c r="F797" s="20" t="s">
        <v>1088</v>
      </c>
      <c r="G797" s="42" t="s">
        <v>190</v>
      </c>
      <c r="H797" s="20" t="s">
        <v>69</v>
      </c>
      <c r="I797" s="9" t="s">
        <v>167</v>
      </c>
      <c r="J797" s="43">
        <v>2026.0</v>
      </c>
      <c r="K797" s="42" t="s">
        <v>96</v>
      </c>
    </row>
    <row r="798" ht="12.75" customHeight="1">
      <c r="A798" s="42" t="s">
        <v>1094</v>
      </c>
      <c r="B798" s="21">
        <v>46088.0</v>
      </c>
      <c r="C798" s="20" t="s">
        <v>177</v>
      </c>
      <c r="D798" s="21">
        <v>46082.0</v>
      </c>
      <c r="E798" s="21">
        <v>46088.0</v>
      </c>
      <c r="F798" s="20" t="s">
        <v>1088</v>
      </c>
      <c r="G798" s="42" t="s">
        <v>190</v>
      </c>
      <c r="H798" s="20" t="s">
        <v>69</v>
      </c>
      <c r="I798" s="9" t="s">
        <v>167</v>
      </c>
      <c r="J798" s="43">
        <v>2026.0</v>
      </c>
      <c r="K798" s="42" t="s">
        <v>96</v>
      </c>
    </row>
    <row r="799" ht="12.75" customHeight="1">
      <c r="A799" s="42" t="s">
        <v>1095</v>
      </c>
      <c r="B799" s="21">
        <v>46089.0</v>
      </c>
      <c r="C799" s="20" t="s">
        <v>179</v>
      </c>
      <c r="D799" s="21">
        <v>46089.0</v>
      </c>
      <c r="E799" s="21">
        <v>46095.0</v>
      </c>
      <c r="F799" s="20" t="s">
        <v>1096</v>
      </c>
      <c r="G799" s="42" t="s">
        <v>190</v>
      </c>
      <c r="H799" s="20" t="s">
        <v>69</v>
      </c>
      <c r="I799" s="9" t="s">
        <v>167</v>
      </c>
      <c r="J799" s="43">
        <v>2026.0</v>
      </c>
      <c r="K799" s="42" t="s">
        <v>97</v>
      </c>
    </row>
    <row r="800" ht="12.75" customHeight="1">
      <c r="A800" s="42" t="s">
        <v>1097</v>
      </c>
      <c r="B800" s="21">
        <v>46090.0</v>
      </c>
      <c r="C800" s="20" t="s">
        <v>163</v>
      </c>
      <c r="D800" s="21">
        <v>46089.0</v>
      </c>
      <c r="E800" s="21">
        <v>46095.0</v>
      </c>
      <c r="F800" s="20" t="s">
        <v>1096</v>
      </c>
      <c r="G800" s="42" t="s">
        <v>190</v>
      </c>
      <c r="H800" s="20" t="s">
        <v>69</v>
      </c>
      <c r="I800" s="9" t="s">
        <v>167</v>
      </c>
      <c r="J800" s="43">
        <v>2026.0</v>
      </c>
      <c r="K800" s="42" t="s">
        <v>97</v>
      </c>
    </row>
    <row r="801" ht="12.75" customHeight="1">
      <c r="A801" s="42" t="s">
        <v>1098</v>
      </c>
      <c r="B801" s="21">
        <v>46091.0</v>
      </c>
      <c r="C801" s="20" t="s">
        <v>169</v>
      </c>
      <c r="D801" s="21">
        <v>46089.0</v>
      </c>
      <c r="E801" s="21">
        <v>46095.0</v>
      </c>
      <c r="F801" s="20" t="s">
        <v>1096</v>
      </c>
      <c r="G801" s="42" t="s">
        <v>190</v>
      </c>
      <c r="H801" s="20" t="s">
        <v>69</v>
      </c>
      <c r="I801" s="9" t="s">
        <v>167</v>
      </c>
      <c r="J801" s="43">
        <v>2026.0</v>
      </c>
      <c r="K801" s="42" t="s">
        <v>97</v>
      </c>
    </row>
    <row r="802" ht="12.75" customHeight="1">
      <c r="A802" s="42" t="s">
        <v>1099</v>
      </c>
      <c r="B802" s="21">
        <v>46092.0</v>
      </c>
      <c r="C802" s="20" t="s">
        <v>171</v>
      </c>
      <c r="D802" s="21">
        <v>46089.0</v>
      </c>
      <c r="E802" s="21">
        <v>46095.0</v>
      </c>
      <c r="F802" s="20" t="s">
        <v>1096</v>
      </c>
      <c r="G802" s="42" t="s">
        <v>190</v>
      </c>
      <c r="H802" s="20" t="s">
        <v>69</v>
      </c>
      <c r="I802" s="9" t="s">
        <v>167</v>
      </c>
      <c r="J802" s="43">
        <v>2026.0</v>
      </c>
      <c r="K802" s="42" t="s">
        <v>97</v>
      </c>
    </row>
    <row r="803" ht="12.75" customHeight="1">
      <c r="A803" s="42" t="s">
        <v>1100</v>
      </c>
      <c r="B803" s="21">
        <v>46093.0</v>
      </c>
      <c r="C803" s="20" t="s">
        <v>173</v>
      </c>
      <c r="D803" s="21">
        <v>46089.0</v>
      </c>
      <c r="E803" s="21">
        <v>46095.0</v>
      </c>
      <c r="F803" s="20" t="s">
        <v>1096</v>
      </c>
      <c r="G803" s="42" t="s">
        <v>190</v>
      </c>
      <c r="H803" s="20" t="s">
        <v>69</v>
      </c>
      <c r="I803" s="9" t="s">
        <v>167</v>
      </c>
      <c r="J803" s="43">
        <v>2026.0</v>
      </c>
      <c r="K803" s="42" t="s">
        <v>97</v>
      </c>
    </row>
    <row r="804" ht="12.75" customHeight="1">
      <c r="A804" s="42" t="s">
        <v>1101</v>
      </c>
      <c r="B804" s="21">
        <v>46094.0</v>
      </c>
      <c r="C804" s="20" t="s">
        <v>175</v>
      </c>
      <c r="D804" s="21">
        <v>46089.0</v>
      </c>
      <c r="E804" s="21">
        <v>46095.0</v>
      </c>
      <c r="F804" s="20" t="s">
        <v>1096</v>
      </c>
      <c r="G804" s="42" t="s">
        <v>190</v>
      </c>
      <c r="H804" s="20" t="s">
        <v>69</v>
      </c>
      <c r="I804" s="9" t="s">
        <v>167</v>
      </c>
      <c r="J804" s="43">
        <v>2026.0</v>
      </c>
      <c r="K804" s="42" t="s">
        <v>97</v>
      </c>
    </row>
    <row r="805" ht="12.75" customHeight="1">
      <c r="A805" s="42" t="s">
        <v>1102</v>
      </c>
      <c r="B805" s="21">
        <v>46095.0</v>
      </c>
      <c r="C805" s="20" t="s">
        <v>177</v>
      </c>
      <c r="D805" s="21">
        <v>46089.0</v>
      </c>
      <c r="E805" s="21">
        <v>46095.0</v>
      </c>
      <c r="F805" s="20" t="s">
        <v>1096</v>
      </c>
      <c r="G805" s="42" t="s">
        <v>190</v>
      </c>
      <c r="H805" s="20" t="s">
        <v>69</v>
      </c>
      <c r="I805" s="9" t="s">
        <v>167</v>
      </c>
      <c r="J805" s="43">
        <v>2026.0</v>
      </c>
      <c r="K805" s="42" t="s">
        <v>97</v>
      </c>
    </row>
    <row r="806" ht="12.75" customHeight="1">
      <c r="A806" s="42" t="s">
        <v>1103</v>
      </c>
      <c r="B806" s="21">
        <v>46096.0</v>
      </c>
      <c r="C806" s="20" t="s">
        <v>179</v>
      </c>
      <c r="D806" s="21">
        <v>46096.0</v>
      </c>
      <c r="E806" s="21">
        <v>46102.0</v>
      </c>
      <c r="F806" s="20" t="s">
        <v>1104</v>
      </c>
      <c r="G806" s="42" t="s">
        <v>190</v>
      </c>
      <c r="H806" s="20" t="s">
        <v>69</v>
      </c>
      <c r="I806" s="9" t="s">
        <v>167</v>
      </c>
      <c r="J806" s="43">
        <v>2026.0</v>
      </c>
      <c r="K806" s="42" t="s">
        <v>98</v>
      </c>
    </row>
    <row r="807" ht="12.75" customHeight="1">
      <c r="A807" s="42" t="s">
        <v>1105</v>
      </c>
      <c r="B807" s="21">
        <v>46097.0</v>
      </c>
      <c r="C807" s="20" t="s">
        <v>163</v>
      </c>
      <c r="D807" s="21">
        <v>46096.0</v>
      </c>
      <c r="E807" s="21">
        <v>46102.0</v>
      </c>
      <c r="F807" s="20" t="s">
        <v>1104</v>
      </c>
      <c r="G807" s="42" t="s">
        <v>190</v>
      </c>
      <c r="H807" s="20" t="s">
        <v>69</v>
      </c>
      <c r="I807" s="9" t="s">
        <v>167</v>
      </c>
      <c r="J807" s="43">
        <v>2026.0</v>
      </c>
      <c r="K807" s="42" t="s">
        <v>98</v>
      </c>
    </row>
    <row r="808" ht="12.75" customHeight="1">
      <c r="A808" s="42" t="s">
        <v>1106</v>
      </c>
      <c r="B808" s="21">
        <v>46098.0</v>
      </c>
      <c r="C808" s="20" t="s">
        <v>169</v>
      </c>
      <c r="D808" s="21">
        <v>46096.0</v>
      </c>
      <c r="E808" s="21">
        <v>46102.0</v>
      </c>
      <c r="F808" s="20" t="s">
        <v>1104</v>
      </c>
      <c r="G808" s="42" t="s">
        <v>190</v>
      </c>
      <c r="H808" s="20" t="s">
        <v>69</v>
      </c>
      <c r="I808" s="9" t="s">
        <v>167</v>
      </c>
      <c r="J808" s="43">
        <v>2026.0</v>
      </c>
      <c r="K808" s="42" t="s">
        <v>98</v>
      </c>
    </row>
    <row r="809" ht="12.75" customHeight="1">
      <c r="A809" s="42" t="s">
        <v>1107</v>
      </c>
      <c r="B809" s="21">
        <v>46099.0</v>
      </c>
      <c r="C809" s="20" t="s">
        <v>171</v>
      </c>
      <c r="D809" s="21">
        <v>46096.0</v>
      </c>
      <c r="E809" s="21">
        <v>46102.0</v>
      </c>
      <c r="F809" s="20" t="s">
        <v>1104</v>
      </c>
      <c r="G809" s="42" t="s">
        <v>190</v>
      </c>
      <c r="H809" s="20" t="s">
        <v>69</v>
      </c>
      <c r="I809" s="9" t="s">
        <v>167</v>
      </c>
      <c r="J809" s="43">
        <v>2026.0</v>
      </c>
      <c r="K809" s="42" t="s">
        <v>98</v>
      </c>
    </row>
    <row r="810" ht="12.75" customHeight="1">
      <c r="A810" s="42" t="s">
        <v>1108</v>
      </c>
      <c r="B810" s="21">
        <v>46100.0</v>
      </c>
      <c r="C810" s="20" t="s">
        <v>173</v>
      </c>
      <c r="D810" s="21">
        <v>46096.0</v>
      </c>
      <c r="E810" s="21">
        <v>46102.0</v>
      </c>
      <c r="F810" s="20" t="s">
        <v>1104</v>
      </c>
      <c r="G810" s="42" t="s">
        <v>190</v>
      </c>
      <c r="H810" s="20" t="s">
        <v>69</v>
      </c>
      <c r="I810" s="9" t="s">
        <v>167</v>
      </c>
      <c r="J810" s="43">
        <v>2026.0</v>
      </c>
      <c r="K810" s="42" t="s">
        <v>98</v>
      </c>
    </row>
    <row r="811" ht="12.75" customHeight="1">
      <c r="A811" s="42" t="s">
        <v>1109</v>
      </c>
      <c r="B811" s="21">
        <v>46101.0</v>
      </c>
      <c r="C811" s="20" t="s">
        <v>175</v>
      </c>
      <c r="D811" s="21">
        <v>46096.0</v>
      </c>
      <c r="E811" s="21">
        <v>46102.0</v>
      </c>
      <c r="F811" s="20" t="s">
        <v>1104</v>
      </c>
      <c r="G811" s="42" t="s">
        <v>190</v>
      </c>
      <c r="H811" s="20" t="s">
        <v>69</v>
      </c>
      <c r="I811" s="9" t="s">
        <v>167</v>
      </c>
      <c r="J811" s="43">
        <v>2026.0</v>
      </c>
      <c r="K811" s="42" t="s">
        <v>98</v>
      </c>
    </row>
    <row r="812" ht="12.75" customHeight="1">
      <c r="A812" s="42" t="s">
        <v>1110</v>
      </c>
      <c r="B812" s="21">
        <v>46102.0</v>
      </c>
      <c r="C812" s="20" t="s">
        <v>177</v>
      </c>
      <c r="D812" s="21">
        <v>46096.0</v>
      </c>
      <c r="E812" s="21">
        <v>46102.0</v>
      </c>
      <c r="F812" s="20" t="s">
        <v>1104</v>
      </c>
      <c r="G812" s="42" t="s">
        <v>190</v>
      </c>
      <c r="H812" s="20" t="s">
        <v>69</v>
      </c>
      <c r="I812" s="9" t="s">
        <v>167</v>
      </c>
      <c r="J812" s="43">
        <v>2026.0</v>
      </c>
      <c r="K812" s="42" t="s">
        <v>98</v>
      </c>
    </row>
    <row r="813" ht="12.75" customHeight="1">
      <c r="A813" s="42" t="s">
        <v>1111</v>
      </c>
      <c r="B813" s="21">
        <v>46103.0</v>
      </c>
      <c r="C813" s="20" t="s">
        <v>179</v>
      </c>
      <c r="D813" s="21">
        <v>46103.0</v>
      </c>
      <c r="E813" s="21">
        <v>46109.0</v>
      </c>
      <c r="F813" s="20" t="s">
        <v>1112</v>
      </c>
      <c r="G813" s="42" t="s">
        <v>190</v>
      </c>
      <c r="H813" s="20" t="s">
        <v>69</v>
      </c>
      <c r="I813" s="9" t="s">
        <v>167</v>
      </c>
      <c r="J813" s="43">
        <v>2026.0</v>
      </c>
      <c r="K813" s="42" t="s">
        <v>99</v>
      </c>
    </row>
    <row r="814" ht="12.75" customHeight="1">
      <c r="A814" s="42" t="s">
        <v>1113</v>
      </c>
      <c r="B814" s="21">
        <v>46104.0</v>
      </c>
      <c r="C814" s="20" t="s">
        <v>163</v>
      </c>
      <c r="D814" s="21">
        <v>46103.0</v>
      </c>
      <c r="E814" s="21">
        <v>46109.0</v>
      </c>
      <c r="F814" s="20" t="s">
        <v>1112</v>
      </c>
      <c r="G814" s="42" t="s">
        <v>190</v>
      </c>
      <c r="H814" s="20" t="s">
        <v>69</v>
      </c>
      <c r="I814" s="9" t="s">
        <v>167</v>
      </c>
      <c r="J814" s="43">
        <v>2026.0</v>
      </c>
      <c r="K814" s="42" t="s">
        <v>99</v>
      </c>
    </row>
    <row r="815" ht="12.75" customHeight="1">
      <c r="A815" s="42" t="s">
        <v>1114</v>
      </c>
      <c r="B815" s="21">
        <v>46105.0</v>
      </c>
      <c r="C815" s="20" t="s">
        <v>169</v>
      </c>
      <c r="D815" s="21">
        <v>46103.0</v>
      </c>
      <c r="E815" s="21">
        <v>46109.0</v>
      </c>
      <c r="F815" s="20" t="s">
        <v>1112</v>
      </c>
      <c r="G815" s="42" t="s">
        <v>190</v>
      </c>
      <c r="H815" s="20" t="s">
        <v>69</v>
      </c>
      <c r="I815" s="9" t="s">
        <v>167</v>
      </c>
      <c r="J815" s="43">
        <v>2026.0</v>
      </c>
      <c r="K815" s="42" t="s">
        <v>99</v>
      </c>
    </row>
    <row r="816" ht="12.75" customHeight="1">
      <c r="A816" s="42" t="s">
        <v>1115</v>
      </c>
      <c r="B816" s="21">
        <v>46106.0</v>
      </c>
      <c r="C816" s="20" t="s">
        <v>171</v>
      </c>
      <c r="D816" s="21">
        <v>46103.0</v>
      </c>
      <c r="E816" s="21">
        <v>46109.0</v>
      </c>
      <c r="F816" s="20" t="s">
        <v>1112</v>
      </c>
      <c r="G816" s="42" t="s">
        <v>190</v>
      </c>
      <c r="H816" s="20" t="s">
        <v>69</v>
      </c>
      <c r="I816" s="9" t="s">
        <v>167</v>
      </c>
      <c r="J816" s="43">
        <v>2026.0</v>
      </c>
      <c r="K816" s="42" t="s">
        <v>99</v>
      </c>
    </row>
    <row r="817" ht="12.75" customHeight="1">
      <c r="A817" s="42" t="s">
        <v>1116</v>
      </c>
      <c r="B817" s="21">
        <v>46107.0</v>
      </c>
      <c r="C817" s="20" t="s">
        <v>173</v>
      </c>
      <c r="D817" s="21">
        <v>46103.0</v>
      </c>
      <c r="E817" s="21">
        <v>46109.0</v>
      </c>
      <c r="F817" s="20" t="s">
        <v>1112</v>
      </c>
      <c r="G817" s="42" t="s">
        <v>190</v>
      </c>
      <c r="H817" s="20" t="s">
        <v>69</v>
      </c>
      <c r="I817" s="9" t="s">
        <v>167</v>
      </c>
      <c r="J817" s="43">
        <v>2026.0</v>
      </c>
      <c r="K817" s="42" t="s">
        <v>99</v>
      </c>
    </row>
    <row r="818" ht="12.75" customHeight="1">
      <c r="A818" s="42" t="s">
        <v>1117</v>
      </c>
      <c r="B818" s="21">
        <v>46108.0</v>
      </c>
      <c r="C818" s="20" t="s">
        <v>175</v>
      </c>
      <c r="D818" s="21">
        <v>46103.0</v>
      </c>
      <c r="E818" s="21">
        <v>46109.0</v>
      </c>
      <c r="F818" s="20" t="s">
        <v>1112</v>
      </c>
      <c r="G818" s="42" t="s">
        <v>190</v>
      </c>
      <c r="H818" s="20" t="s">
        <v>69</v>
      </c>
      <c r="I818" s="9" t="s">
        <v>167</v>
      </c>
      <c r="J818" s="43">
        <v>2026.0</v>
      </c>
      <c r="K818" s="42" t="s">
        <v>99</v>
      </c>
    </row>
    <row r="819" ht="12.75" customHeight="1">
      <c r="A819" s="42" t="s">
        <v>1118</v>
      </c>
      <c r="B819" s="21">
        <v>46109.0</v>
      </c>
      <c r="C819" s="20" t="s">
        <v>177</v>
      </c>
      <c r="D819" s="21">
        <v>46103.0</v>
      </c>
      <c r="E819" s="21">
        <v>46109.0</v>
      </c>
      <c r="F819" s="20" t="s">
        <v>1112</v>
      </c>
      <c r="G819" s="42" t="s">
        <v>190</v>
      </c>
      <c r="H819" s="20" t="s">
        <v>69</v>
      </c>
      <c r="I819" s="9" t="s">
        <v>167</v>
      </c>
      <c r="J819" s="43">
        <v>2026.0</v>
      </c>
      <c r="K819" s="42" t="s">
        <v>99</v>
      </c>
    </row>
    <row r="820" ht="12.75" customHeight="1">
      <c r="A820" s="42" t="s">
        <v>1119</v>
      </c>
      <c r="B820" s="21">
        <v>46110.0</v>
      </c>
      <c r="C820" s="20" t="s">
        <v>179</v>
      </c>
      <c r="D820" s="21">
        <v>46110.0</v>
      </c>
      <c r="E820" s="21">
        <v>46116.0</v>
      </c>
      <c r="F820" s="20" t="s">
        <v>1120</v>
      </c>
      <c r="G820" s="42" t="s">
        <v>190</v>
      </c>
      <c r="H820" s="20" t="s">
        <v>69</v>
      </c>
      <c r="I820" s="9" t="s">
        <v>167</v>
      </c>
      <c r="J820" s="43">
        <v>2026.0</v>
      </c>
      <c r="K820" s="42" t="s">
        <v>100</v>
      </c>
    </row>
    <row r="821" ht="12.75" customHeight="1">
      <c r="A821" s="42" t="s">
        <v>1121</v>
      </c>
      <c r="B821" s="21">
        <v>46111.0</v>
      </c>
      <c r="C821" s="20" t="s">
        <v>163</v>
      </c>
      <c r="D821" s="21">
        <v>46110.0</v>
      </c>
      <c r="E821" s="21">
        <v>46116.0</v>
      </c>
      <c r="F821" s="20" t="s">
        <v>1120</v>
      </c>
      <c r="G821" s="42" t="s">
        <v>190</v>
      </c>
      <c r="H821" s="20" t="s">
        <v>69</v>
      </c>
      <c r="I821" s="9" t="s">
        <v>167</v>
      </c>
      <c r="J821" s="43">
        <v>2026.0</v>
      </c>
      <c r="K821" s="42" t="s">
        <v>100</v>
      </c>
    </row>
    <row r="822" ht="12.75" customHeight="1">
      <c r="A822" s="42" t="s">
        <v>1122</v>
      </c>
      <c r="B822" s="21">
        <v>46112.0</v>
      </c>
      <c r="C822" s="20" t="s">
        <v>169</v>
      </c>
      <c r="D822" s="21">
        <v>46110.0</v>
      </c>
      <c r="E822" s="21">
        <v>46116.0</v>
      </c>
      <c r="F822" s="20" t="s">
        <v>1120</v>
      </c>
      <c r="G822" s="42" t="s">
        <v>190</v>
      </c>
      <c r="H822" s="20" t="s">
        <v>69</v>
      </c>
      <c r="I822" s="9" t="s">
        <v>167</v>
      </c>
      <c r="J822" s="43">
        <v>2026.0</v>
      </c>
      <c r="K822" s="42" t="s">
        <v>100</v>
      </c>
    </row>
    <row r="823" ht="12.75" customHeight="1">
      <c r="A823" s="42" t="s">
        <v>1123</v>
      </c>
      <c r="B823" s="21">
        <v>46113.0</v>
      </c>
      <c r="C823" s="20" t="s">
        <v>171</v>
      </c>
      <c r="D823" s="21">
        <v>46110.0</v>
      </c>
      <c r="E823" s="21">
        <v>46116.0</v>
      </c>
      <c r="F823" s="20" t="s">
        <v>1120</v>
      </c>
      <c r="G823" s="42" t="s">
        <v>199</v>
      </c>
      <c r="H823" s="20" t="s">
        <v>64</v>
      </c>
      <c r="I823" s="9" t="s">
        <v>287</v>
      </c>
      <c r="J823" s="43">
        <v>2026.0</v>
      </c>
      <c r="K823" s="42" t="s">
        <v>100</v>
      </c>
    </row>
    <row r="824" ht="12.75" customHeight="1">
      <c r="A824" s="42" t="s">
        <v>1124</v>
      </c>
      <c r="B824" s="21">
        <v>46114.0</v>
      </c>
      <c r="C824" s="20" t="s">
        <v>173</v>
      </c>
      <c r="D824" s="21">
        <v>46110.0</v>
      </c>
      <c r="E824" s="21">
        <v>46116.0</v>
      </c>
      <c r="F824" s="20" t="s">
        <v>1120</v>
      </c>
      <c r="G824" s="42" t="s">
        <v>199</v>
      </c>
      <c r="H824" s="20" t="s">
        <v>64</v>
      </c>
      <c r="I824" s="9" t="s">
        <v>287</v>
      </c>
      <c r="J824" s="43">
        <v>2026.0</v>
      </c>
      <c r="K824" s="42" t="s">
        <v>100</v>
      </c>
    </row>
    <row r="825" ht="12.75" customHeight="1">
      <c r="A825" s="42" t="s">
        <v>1125</v>
      </c>
      <c r="B825" s="21">
        <v>46115.0</v>
      </c>
      <c r="C825" s="20" t="s">
        <v>175</v>
      </c>
      <c r="D825" s="21">
        <v>46110.0</v>
      </c>
      <c r="E825" s="21">
        <v>46116.0</v>
      </c>
      <c r="F825" s="20" t="s">
        <v>1120</v>
      </c>
      <c r="G825" s="42" t="s">
        <v>199</v>
      </c>
      <c r="H825" s="20" t="s">
        <v>64</v>
      </c>
      <c r="I825" s="9" t="s">
        <v>287</v>
      </c>
      <c r="J825" s="43">
        <v>2026.0</v>
      </c>
      <c r="K825" s="42" t="s">
        <v>100</v>
      </c>
    </row>
    <row r="826" ht="12.75" customHeight="1">
      <c r="A826" s="42" t="s">
        <v>1126</v>
      </c>
      <c r="B826" s="21">
        <v>46116.0</v>
      </c>
      <c r="C826" s="20" t="s">
        <v>177</v>
      </c>
      <c r="D826" s="21">
        <v>46110.0</v>
      </c>
      <c r="E826" s="21">
        <v>46116.0</v>
      </c>
      <c r="F826" s="20" t="s">
        <v>1120</v>
      </c>
      <c r="G826" s="42" t="s">
        <v>199</v>
      </c>
      <c r="H826" s="20" t="s">
        <v>64</v>
      </c>
      <c r="I826" s="9" t="s">
        <v>287</v>
      </c>
      <c r="J826" s="43">
        <v>2026.0</v>
      </c>
      <c r="K826" s="42" t="s">
        <v>100</v>
      </c>
    </row>
    <row r="827" ht="12.75" customHeight="1">
      <c r="A827" s="42" t="s">
        <v>1127</v>
      </c>
      <c r="B827" s="21">
        <v>46117.0</v>
      </c>
      <c r="C827" s="20" t="s">
        <v>179</v>
      </c>
      <c r="D827" s="21">
        <v>46117.0</v>
      </c>
      <c r="E827" s="21">
        <v>46123.0</v>
      </c>
      <c r="F827" s="20" t="s">
        <v>1128</v>
      </c>
      <c r="G827" s="42" t="s">
        <v>199</v>
      </c>
      <c r="H827" s="20" t="s">
        <v>64</v>
      </c>
      <c r="I827" s="9" t="s">
        <v>287</v>
      </c>
      <c r="J827" s="43">
        <v>2026.0</v>
      </c>
      <c r="K827" s="42" t="s">
        <v>74</v>
      </c>
    </row>
    <row r="828" ht="12.75" customHeight="1">
      <c r="A828" s="42" t="s">
        <v>1129</v>
      </c>
      <c r="B828" s="21">
        <v>46118.0</v>
      </c>
      <c r="C828" s="20" t="s">
        <v>163</v>
      </c>
      <c r="D828" s="21">
        <v>46117.0</v>
      </c>
      <c r="E828" s="21">
        <v>46123.0</v>
      </c>
      <c r="F828" s="20" t="s">
        <v>1128</v>
      </c>
      <c r="G828" s="42" t="s">
        <v>199</v>
      </c>
      <c r="H828" s="20" t="s">
        <v>64</v>
      </c>
      <c r="I828" s="9" t="s">
        <v>287</v>
      </c>
      <c r="J828" s="43">
        <v>2026.0</v>
      </c>
      <c r="K828" s="42" t="s">
        <v>74</v>
      </c>
    </row>
    <row r="829" ht="12.75" customHeight="1">
      <c r="A829" s="42" t="s">
        <v>1130</v>
      </c>
      <c r="B829" s="21">
        <v>46119.0</v>
      </c>
      <c r="C829" s="20" t="s">
        <v>169</v>
      </c>
      <c r="D829" s="21">
        <v>46117.0</v>
      </c>
      <c r="E829" s="21">
        <v>46123.0</v>
      </c>
      <c r="F829" s="20" t="s">
        <v>1128</v>
      </c>
      <c r="G829" s="42" t="s">
        <v>199</v>
      </c>
      <c r="H829" s="20" t="s">
        <v>64</v>
      </c>
      <c r="I829" s="9" t="s">
        <v>287</v>
      </c>
      <c r="J829" s="43">
        <v>2026.0</v>
      </c>
      <c r="K829" s="42" t="s">
        <v>74</v>
      </c>
    </row>
    <row r="830" ht="12.75" customHeight="1">
      <c r="A830" s="42" t="s">
        <v>1131</v>
      </c>
      <c r="B830" s="21">
        <v>46120.0</v>
      </c>
      <c r="C830" s="20" t="s">
        <v>171</v>
      </c>
      <c r="D830" s="21">
        <v>46117.0</v>
      </c>
      <c r="E830" s="21">
        <v>46123.0</v>
      </c>
      <c r="F830" s="20" t="s">
        <v>1128</v>
      </c>
      <c r="G830" s="42" t="s">
        <v>199</v>
      </c>
      <c r="H830" s="20" t="s">
        <v>64</v>
      </c>
      <c r="I830" s="9" t="s">
        <v>287</v>
      </c>
      <c r="J830" s="43">
        <v>2026.0</v>
      </c>
      <c r="K830" s="42" t="s">
        <v>74</v>
      </c>
    </row>
    <row r="831" ht="12.75" customHeight="1">
      <c r="A831" s="42" t="s">
        <v>1132</v>
      </c>
      <c r="B831" s="21">
        <v>46121.0</v>
      </c>
      <c r="C831" s="20" t="s">
        <v>173</v>
      </c>
      <c r="D831" s="21">
        <v>46117.0</v>
      </c>
      <c r="E831" s="21">
        <v>46123.0</v>
      </c>
      <c r="F831" s="20" t="s">
        <v>1128</v>
      </c>
      <c r="G831" s="42" t="s">
        <v>199</v>
      </c>
      <c r="H831" s="20" t="s">
        <v>64</v>
      </c>
      <c r="I831" s="9" t="s">
        <v>287</v>
      </c>
      <c r="J831" s="43">
        <v>2026.0</v>
      </c>
      <c r="K831" s="42" t="s">
        <v>74</v>
      </c>
    </row>
    <row r="832" ht="12.75" customHeight="1">
      <c r="A832" s="42" t="s">
        <v>1133</v>
      </c>
      <c r="B832" s="21">
        <v>46122.0</v>
      </c>
      <c r="C832" s="20" t="s">
        <v>175</v>
      </c>
      <c r="D832" s="21">
        <v>46117.0</v>
      </c>
      <c r="E832" s="21">
        <v>46123.0</v>
      </c>
      <c r="F832" s="20" t="s">
        <v>1128</v>
      </c>
      <c r="G832" s="42" t="s">
        <v>199</v>
      </c>
      <c r="H832" s="20" t="s">
        <v>64</v>
      </c>
      <c r="I832" s="9" t="s">
        <v>287</v>
      </c>
      <c r="J832" s="43">
        <v>2026.0</v>
      </c>
      <c r="K832" s="42" t="s">
        <v>74</v>
      </c>
    </row>
    <row r="833" ht="12.75" customHeight="1">
      <c r="A833" s="42" t="s">
        <v>1134</v>
      </c>
      <c r="B833" s="21">
        <v>46123.0</v>
      </c>
      <c r="C833" s="20" t="s">
        <v>177</v>
      </c>
      <c r="D833" s="21">
        <v>46117.0</v>
      </c>
      <c r="E833" s="21">
        <v>46123.0</v>
      </c>
      <c r="F833" s="20" t="s">
        <v>1128</v>
      </c>
      <c r="G833" s="42" t="s">
        <v>199</v>
      </c>
      <c r="H833" s="20" t="s">
        <v>64</v>
      </c>
      <c r="I833" s="9" t="s">
        <v>287</v>
      </c>
      <c r="J833" s="43">
        <v>2026.0</v>
      </c>
      <c r="K833" s="42" t="s">
        <v>74</v>
      </c>
    </row>
    <row r="834" ht="12.75" customHeight="1">
      <c r="A834" s="42" t="s">
        <v>1135</v>
      </c>
      <c r="B834" s="21">
        <v>46124.0</v>
      </c>
      <c r="C834" s="20" t="s">
        <v>179</v>
      </c>
      <c r="D834" s="21">
        <v>46124.0</v>
      </c>
      <c r="E834" s="21">
        <v>46130.0</v>
      </c>
      <c r="F834" s="20" t="s">
        <v>1136</v>
      </c>
      <c r="G834" s="42" t="s">
        <v>199</v>
      </c>
      <c r="H834" s="20" t="s">
        <v>64</v>
      </c>
      <c r="I834" s="9" t="s">
        <v>287</v>
      </c>
      <c r="J834" s="43">
        <v>2026.0</v>
      </c>
      <c r="K834" s="42" t="s">
        <v>75</v>
      </c>
    </row>
    <row r="835" ht="12.75" customHeight="1">
      <c r="A835" s="42" t="s">
        <v>1137</v>
      </c>
      <c r="B835" s="21">
        <v>46125.0</v>
      </c>
      <c r="C835" s="20" t="s">
        <v>163</v>
      </c>
      <c r="D835" s="21">
        <v>46124.0</v>
      </c>
      <c r="E835" s="21">
        <v>46130.0</v>
      </c>
      <c r="F835" s="20" t="s">
        <v>1136</v>
      </c>
      <c r="G835" s="42" t="s">
        <v>199</v>
      </c>
      <c r="H835" s="20" t="s">
        <v>64</v>
      </c>
      <c r="I835" s="9" t="s">
        <v>287</v>
      </c>
      <c r="J835" s="43">
        <v>2026.0</v>
      </c>
      <c r="K835" s="42" t="s">
        <v>75</v>
      </c>
    </row>
    <row r="836" ht="12.75" customHeight="1">
      <c r="A836" s="42" t="s">
        <v>1138</v>
      </c>
      <c r="B836" s="21">
        <v>46126.0</v>
      </c>
      <c r="C836" s="20" t="s">
        <v>169</v>
      </c>
      <c r="D836" s="21">
        <v>46124.0</v>
      </c>
      <c r="E836" s="21">
        <v>46130.0</v>
      </c>
      <c r="F836" s="20" t="s">
        <v>1136</v>
      </c>
      <c r="G836" s="42" t="s">
        <v>199</v>
      </c>
      <c r="H836" s="20" t="s">
        <v>64</v>
      </c>
      <c r="I836" s="9" t="s">
        <v>287</v>
      </c>
      <c r="J836" s="43">
        <v>2026.0</v>
      </c>
      <c r="K836" s="42" t="s">
        <v>75</v>
      </c>
    </row>
    <row r="837" ht="12.75" customHeight="1">
      <c r="A837" s="42" t="s">
        <v>1139</v>
      </c>
      <c r="B837" s="21">
        <v>46127.0</v>
      </c>
      <c r="C837" s="20" t="s">
        <v>171</v>
      </c>
      <c r="D837" s="21">
        <v>46124.0</v>
      </c>
      <c r="E837" s="21">
        <v>46130.0</v>
      </c>
      <c r="F837" s="20" t="s">
        <v>1136</v>
      </c>
      <c r="G837" s="42" t="s">
        <v>199</v>
      </c>
      <c r="H837" s="20" t="s">
        <v>64</v>
      </c>
      <c r="I837" s="9" t="s">
        <v>287</v>
      </c>
      <c r="J837" s="43">
        <v>2026.0</v>
      </c>
      <c r="K837" s="42" t="s">
        <v>75</v>
      </c>
    </row>
    <row r="838" ht="12.75" customHeight="1">
      <c r="A838" s="42" t="s">
        <v>1140</v>
      </c>
      <c r="B838" s="21">
        <v>46128.0</v>
      </c>
      <c r="C838" s="20" t="s">
        <v>173</v>
      </c>
      <c r="D838" s="21">
        <v>46124.0</v>
      </c>
      <c r="E838" s="21">
        <v>46130.0</v>
      </c>
      <c r="F838" s="20" t="s">
        <v>1136</v>
      </c>
      <c r="G838" s="42" t="s">
        <v>199</v>
      </c>
      <c r="H838" s="20" t="s">
        <v>64</v>
      </c>
      <c r="I838" s="9" t="s">
        <v>287</v>
      </c>
      <c r="J838" s="43">
        <v>2026.0</v>
      </c>
      <c r="K838" s="42" t="s">
        <v>75</v>
      </c>
    </row>
    <row r="839" ht="12.75" customHeight="1">
      <c r="A839" s="42" t="s">
        <v>1141</v>
      </c>
      <c r="B839" s="21">
        <v>46129.0</v>
      </c>
      <c r="C839" s="20" t="s">
        <v>175</v>
      </c>
      <c r="D839" s="21">
        <v>46124.0</v>
      </c>
      <c r="E839" s="21">
        <v>46130.0</v>
      </c>
      <c r="F839" s="20" t="s">
        <v>1136</v>
      </c>
      <c r="G839" s="42" t="s">
        <v>199</v>
      </c>
      <c r="H839" s="20" t="s">
        <v>64</v>
      </c>
      <c r="I839" s="9" t="s">
        <v>287</v>
      </c>
      <c r="J839" s="43">
        <v>2026.0</v>
      </c>
      <c r="K839" s="42" t="s">
        <v>75</v>
      </c>
    </row>
    <row r="840" ht="12.75" customHeight="1">
      <c r="A840" s="42" t="s">
        <v>1142</v>
      </c>
      <c r="B840" s="21">
        <v>46130.0</v>
      </c>
      <c r="C840" s="20" t="s">
        <v>177</v>
      </c>
      <c r="D840" s="21">
        <v>46124.0</v>
      </c>
      <c r="E840" s="21">
        <v>46130.0</v>
      </c>
      <c r="F840" s="20" t="s">
        <v>1136</v>
      </c>
      <c r="G840" s="42" t="s">
        <v>199</v>
      </c>
      <c r="H840" s="20" t="s">
        <v>64</v>
      </c>
      <c r="I840" s="9" t="s">
        <v>287</v>
      </c>
      <c r="J840" s="43">
        <v>2026.0</v>
      </c>
      <c r="K840" s="42" t="s">
        <v>75</v>
      </c>
    </row>
    <row r="841" ht="12.75" customHeight="1">
      <c r="A841" s="42" t="s">
        <v>1143</v>
      </c>
      <c r="B841" s="21">
        <v>46131.0</v>
      </c>
      <c r="C841" s="20" t="s">
        <v>179</v>
      </c>
      <c r="D841" s="21">
        <v>46131.0</v>
      </c>
      <c r="E841" s="21">
        <v>46137.0</v>
      </c>
      <c r="F841" s="20" t="s">
        <v>1144</v>
      </c>
      <c r="G841" s="42" t="s">
        <v>199</v>
      </c>
      <c r="H841" s="20" t="s">
        <v>64</v>
      </c>
      <c r="I841" s="9" t="s">
        <v>287</v>
      </c>
      <c r="J841" s="43">
        <v>2026.0</v>
      </c>
      <c r="K841" s="42" t="s">
        <v>76</v>
      </c>
    </row>
    <row r="842" ht="12.75" customHeight="1">
      <c r="A842" s="42" t="s">
        <v>1145</v>
      </c>
      <c r="B842" s="21">
        <v>46132.0</v>
      </c>
      <c r="C842" s="20" t="s">
        <v>163</v>
      </c>
      <c r="D842" s="21">
        <v>46131.0</v>
      </c>
      <c r="E842" s="21">
        <v>46137.0</v>
      </c>
      <c r="F842" s="20" t="s">
        <v>1144</v>
      </c>
      <c r="G842" s="42" t="s">
        <v>199</v>
      </c>
      <c r="H842" s="20" t="s">
        <v>64</v>
      </c>
      <c r="I842" s="9" t="s">
        <v>287</v>
      </c>
      <c r="J842" s="43">
        <v>2026.0</v>
      </c>
      <c r="K842" s="42" t="s">
        <v>76</v>
      </c>
    </row>
    <row r="843" ht="12.75" customHeight="1">
      <c r="A843" s="42" t="s">
        <v>1146</v>
      </c>
      <c r="B843" s="21">
        <v>46133.0</v>
      </c>
      <c r="C843" s="20" t="s">
        <v>169</v>
      </c>
      <c r="D843" s="21">
        <v>46131.0</v>
      </c>
      <c r="E843" s="21">
        <v>46137.0</v>
      </c>
      <c r="F843" s="20" t="s">
        <v>1144</v>
      </c>
      <c r="G843" s="42" t="s">
        <v>199</v>
      </c>
      <c r="H843" s="20" t="s">
        <v>64</v>
      </c>
      <c r="I843" s="9" t="s">
        <v>287</v>
      </c>
      <c r="J843" s="43">
        <v>2026.0</v>
      </c>
      <c r="K843" s="42" t="s">
        <v>76</v>
      </c>
    </row>
    <row r="844" ht="12.75" customHeight="1">
      <c r="A844" s="42" t="s">
        <v>1147</v>
      </c>
      <c r="B844" s="21">
        <v>46134.0</v>
      </c>
      <c r="C844" s="20" t="s">
        <v>171</v>
      </c>
      <c r="D844" s="21">
        <v>46131.0</v>
      </c>
      <c r="E844" s="21">
        <v>46137.0</v>
      </c>
      <c r="F844" s="20" t="s">
        <v>1144</v>
      </c>
      <c r="G844" s="42" t="s">
        <v>199</v>
      </c>
      <c r="H844" s="20" t="s">
        <v>64</v>
      </c>
      <c r="I844" s="9" t="s">
        <v>287</v>
      </c>
      <c r="J844" s="43">
        <v>2026.0</v>
      </c>
      <c r="K844" s="42" t="s">
        <v>76</v>
      </c>
    </row>
    <row r="845" ht="12.75" customHeight="1">
      <c r="A845" s="42" t="s">
        <v>1148</v>
      </c>
      <c r="B845" s="21">
        <v>46135.0</v>
      </c>
      <c r="C845" s="20" t="s">
        <v>173</v>
      </c>
      <c r="D845" s="21">
        <v>46131.0</v>
      </c>
      <c r="E845" s="21">
        <v>46137.0</v>
      </c>
      <c r="F845" s="20" t="s">
        <v>1144</v>
      </c>
      <c r="G845" s="42" t="s">
        <v>199</v>
      </c>
      <c r="H845" s="20" t="s">
        <v>64</v>
      </c>
      <c r="I845" s="9" t="s">
        <v>287</v>
      </c>
      <c r="J845" s="43">
        <v>2026.0</v>
      </c>
      <c r="K845" s="42" t="s">
        <v>76</v>
      </c>
    </row>
    <row r="846" ht="12.75" customHeight="1">
      <c r="A846" s="42" t="s">
        <v>1149</v>
      </c>
      <c r="B846" s="21">
        <v>46136.0</v>
      </c>
      <c r="C846" s="20" t="s">
        <v>175</v>
      </c>
      <c r="D846" s="21">
        <v>46131.0</v>
      </c>
      <c r="E846" s="21">
        <v>46137.0</v>
      </c>
      <c r="F846" s="20" t="s">
        <v>1144</v>
      </c>
      <c r="G846" s="42" t="s">
        <v>199</v>
      </c>
      <c r="H846" s="20" t="s">
        <v>64</v>
      </c>
      <c r="I846" s="9" t="s">
        <v>287</v>
      </c>
      <c r="J846" s="43">
        <v>2026.0</v>
      </c>
      <c r="K846" s="42" t="s">
        <v>76</v>
      </c>
    </row>
    <row r="847" ht="12.75" customHeight="1">
      <c r="A847" s="42" t="s">
        <v>1150</v>
      </c>
      <c r="B847" s="21">
        <v>46137.0</v>
      </c>
      <c r="C847" s="20" t="s">
        <v>177</v>
      </c>
      <c r="D847" s="21">
        <v>46131.0</v>
      </c>
      <c r="E847" s="21">
        <v>46137.0</v>
      </c>
      <c r="F847" s="20" t="s">
        <v>1144</v>
      </c>
      <c r="G847" s="42" t="s">
        <v>199</v>
      </c>
      <c r="H847" s="20" t="s">
        <v>64</v>
      </c>
      <c r="I847" s="9" t="s">
        <v>287</v>
      </c>
      <c r="J847" s="43">
        <v>2026.0</v>
      </c>
      <c r="K847" s="42" t="s">
        <v>76</v>
      </c>
    </row>
    <row r="848" ht="12.75" customHeight="1">
      <c r="A848" s="42" t="s">
        <v>1151</v>
      </c>
      <c r="B848" s="21">
        <v>46138.0</v>
      </c>
      <c r="C848" s="20" t="s">
        <v>179</v>
      </c>
      <c r="D848" s="21">
        <v>46138.0</v>
      </c>
      <c r="E848" s="21">
        <v>46144.0</v>
      </c>
      <c r="F848" s="20" t="s">
        <v>1152</v>
      </c>
      <c r="G848" s="42" t="s">
        <v>199</v>
      </c>
      <c r="H848" s="20" t="s">
        <v>64</v>
      </c>
      <c r="I848" s="9" t="s">
        <v>287</v>
      </c>
      <c r="J848" s="43">
        <v>2026.0</v>
      </c>
      <c r="K848" s="42" t="s">
        <v>77</v>
      </c>
    </row>
    <row r="849" ht="12.75" customHeight="1">
      <c r="A849" s="42" t="s">
        <v>1153</v>
      </c>
      <c r="B849" s="21">
        <v>46139.0</v>
      </c>
      <c r="C849" s="20" t="s">
        <v>163</v>
      </c>
      <c r="D849" s="21">
        <v>46138.0</v>
      </c>
      <c r="E849" s="21">
        <v>46144.0</v>
      </c>
      <c r="F849" s="20" t="s">
        <v>1152</v>
      </c>
      <c r="G849" s="42" t="s">
        <v>199</v>
      </c>
      <c r="H849" s="20" t="s">
        <v>64</v>
      </c>
      <c r="I849" s="9" t="s">
        <v>287</v>
      </c>
      <c r="J849" s="43">
        <v>2026.0</v>
      </c>
      <c r="K849" s="42" t="s">
        <v>77</v>
      </c>
    </row>
    <row r="850" ht="12.75" customHeight="1">
      <c r="A850" s="42" t="s">
        <v>1154</v>
      </c>
      <c r="B850" s="21">
        <v>46140.0</v>
      </c>
      <c r="C850" s="20" t="s">
        <v>169</v>
      </c>
      <c r="D850" s="21">
        <v>46138.0</v>
      </c>
      <c r="E850" s="21">
        <v>46144.0</v>
      </c>
      <c r="F850" s="20" t="s">
        <v>1152</v>
      </c>
      <c r="G850" s="42" t="s">
        <v>199</v>
      </c>
      <c r="H850" s="20" t="s">
        <v>64</v>
      </c>
      <c r="I850" s="9" t="s">
        <v>287</v>
      </c>
      <c r="J850" s="43">
        <v>2026.0</v>
      </c>
      <c r="K850" s="42" t="s">
        <v>77</v>
      </c>
    </row>
    <row r="851" ht="12.75" customHeight="1">
      <c r="A851" s="42" t="s">
        <v>1155</v>
      </c>
      <c r="B851" s="21">
        <v>46141.0</v>
      </c>
      <c r="C851" s="20" t="s">
        <v>171</v>
      </c>
      <c r="D851" s="21">
        <v>46138.0</v>
      </c>
      <c r="E851" s="21">
        <v>46144.0</v>
      </c>
      <c r="F851" s="20" t="s">
        <v>1152</v>
      </c>
      <c r="G851" s="42" t="s">
        <v>199</v>
      </c>
      <c r="H851" s="20" t="s">
        <v>64</v>
      </c>
      <c r="I851" s="9" t="s">
        <v>287</v>
      </c>
      <c r="J851" s="43">
        <v>2026.0</v>
      </c>
      <c r="K851" s="42" t="s">
        <v>77</v>
      </c>
    </row>
    <row r="852" ht="12.75" customHeight="1">
      <c r="A852" s="42" t="s">
        <v>1156</v>
      </c>
      <c r="B852" s="21">
        <v>46142.0</v>
      </c>
      <c r="C852" s="20" t="s">
        <v>173</v>
      </c>
      <c r="D852" s="21">
        <v>46138.0</v>
      </c>
      <c r="E852" s="21">
        <v>46144.0</v>
      </c>
      <c r="F852" s="20" t="s">
        <v>1152</v>
      </c>
      <c r="G852" s="42" t="s">
        <v>199</v>
      </c>
      <c r="H852" s="20" t="s">
        <v>64</v>
      </c>
      <c r="I852" s="9" t="s">
        <v>287</v>
      </c>
      <c r="J852" s="43">
        <v>2026.0</v>
      </c>
      <c r="K852" s="42" t="s">
        <v>77</v>
      </c>
    </row>
    <row r="853" ht="12.75" customHeight="1">
      <c r="A853" s="42" t="s">
        <v>1157</v>
      </c>
      <c r="B853" s="21">
        <v>46143.0</v>
      </c>
      <c r="C853" s="20" t="s">
        <v>175</v>
      </c>
      <c r="D853" s="21">
        <v>46138.0</v>
      </c>
      <c r="E853" s="21">
        <v>46144.0</v>
      </c>
      <c r="F853" s="20" t="s">
        <v>1152</v>
      </c>
      <c r="G853" s="42" t="s">
        <v>208</v>
      </c>
      <c r="H853" s="20" t="s">
        <v>70</v>
      </c>
      <c r="I853" s="9" t="s">
        <v>287</v>
      </c>
      <c r="J853" s="43">
        <v>2026.0</v>
      </c>
      <c r="K853" s="42" t="s">
        <v>77</v>
      </c>
    </row>
    <row r="854" ht="12.75" customHeight="1">
      <c r="A854" s="42" t="s">
        <v>1158</v>
      </c>
      <c r="B854" s="21">
        <v>46144.0</v>
      </c>
      <c r="C854" s="20" t="s">
        <v>177</v>
      </c>
      <c r="D854" s="21">
        <v>46138.0</v>
      </c>
      <c r="E854" s="21">
        <v>46144.0</v>
      </c>
      <c r="F854" s="20" t="s">
        <v>1152</v>
      </c>
      <c r="G854" s="42" t="s">
        <v>208</v>
      </c>
      <c r="H854" s="20" t="s">
        <v>70</v>
      </c>
      <c r="I854" s="9" t="s">
        <v>287</v>
      </c>
      <c r="J854" s="43">
        <v>2026.0</v>
      </c>
      <c r="K854" s="42" t="s">
        <v>77</v>
      </c>
    </row>
    <row r="855" ht="12.75" customHeight="1">
      <c r="A855" s="42" t="s">
        <v>1159</v>
      </c>
      <c r="B855" s="21">
        <v>46145.0</v>
      </c>
      <c r="C855" s="20" t="s">
        <v>179</v>
      </c>
      <c r="D855" s="21">
        <v>46145.0</v>
      </c>
      <c r="E855" s="21">
        <v>46151.0</v>
      </c>
      <c r="F855" s="20" t="s">
        <v>1160</v>
      </c>
      <c r="G855" s="42" t="s">
        <v>208</v>
      </c>
      <c r="H855" s="20" t="s">
        <v>70</v>
      </c>
      <c r="I855" s="9" t="s">
        <v>287</v>
      </c>
      <c r="J855" s="43">
        <v>2026.0</v>
      </c>
      <c r="K855" s="42" t="s">
        <v>101</v>
      </c>
    </row>
    <row r="856" ht="12.75" customHeight="1">
      <c r="A856" s="42" t="s">
        <v>1161</v>
      </c>
      <c r="B856" s="21">
        <v>46146.0</v>
      </c>
      <c r="C856" s="20" t="s">
        <v>163</v>
      </c>
      <c r="D856" s="21">
        <v>46145.0</v>
      </c>
      <c r="E856" s="21">
        <v>46151.0</v>
      </c>
      <c r="F856" s="20" t="s">
        <v>1160</v>
      </c>
      <c r="G856" s="42" t="s">
        <v>208</v>
      </c>
      <c r="H856" s="20" t="s">
        <v>70</v>
      </c>
      <c r="I856" s="9" t="s">
        <v>287</v>
      </c>
      <c r="J856" s="43">
        <v>2026.0</v>
      </c>
      <c r="K856" s="42" t="s">
        <v>101</v>
      </c>
    </row>
    <row r="857" ht="12.75" customHeight="1">
      <c r="A857" s="42" t="s">
        <v>1162</v>
      </c>
      <c r="B857" s="21">
        <v>46147.0</v>
      </c>
      <c r="C857" s="20" t="s">
        <v>169</v>
      </c>
      <c r="D857" s="21">
        <v>46145.0</v>
      </c>
      <c r="E857" s="21">
        <v>46151.0</v>
      </c>
      <c r="F857" s="20" t="s">
        <v>1160</v>
      </c>
      <c r="G857" s="42" t="s">
        <v>208</v>
      </c>
      <c r="H857" s="20" t="s">
        <v>70</v>
      </c>
      <c r="I857" s="9" t="s">
        <v>287</v>
      </c>
      <c r="J857" s="43">
        <v>2026.0</v>
      </c>
      <c r="K857" s="42" t="s">
        <v>101</v>
      </c>
    </row>
    <row r="858" ht="12.75" customHeight="1">
      <c r="A858" s="42" t="s">
        <v>1163</v>
      </c>
      <c r="B858" s="21">
        <v>46148.0</v>
      </c>
      <c r="C858" s="20" t="s">
        <v>171</v>
      </c>
      <c r="D858" s="21">
        <v>46145.0</v>
      </c>
      <c r="E858" s="21">
        <v>46151.0</v>
      </c>
      <c r="F858" s="20" t="s">
        <v>1160</v>
      </c>
      <c r="G858" s="42" t="s">
        <v>208</v>
      </c>
      <c r="H858" s="20" t="s">
        <v>70</v>
      </c>
      <c r="I858" s="9" t="s">
        <v>287</v>
      </c>
      <c r="J858" s="43">
        <v>2026.0</v>
      </c>
      <c r="K858" s="42" t="s">
        <v>101</v>
      </c>
    </row>
    <row r="859" ht="12.75" customHeight="1">
      <c r="A859" s="42" t="s">
        <v>1164</v>
      </c>
      <c r="B859" s="21">
        <v>46149.0</v>
      </c>
      <c r="C859" s="20" t="s">
        <v>173</v>
      </c>
      <c r="D859" s="21">
        <v>46145.0</v>
      </c>
      <c r="E859" s="21">
        <v>46151.0</v>
      </c>
      <c r="F859" s="20" t="s">
        <v>1160</v>
      </c>
      <c r="G859" s="42" t="s">
        <v>208</v>
      </c>
      <c r="H859" s="20" t="s">
        <v>70</v>
      </c>
      <c r="I859" s="9" t="s">
        <v>287</v>
      </c>
      <c r="J859" s="43">
        <v>2026.0</v>
      </c>
      <c r="K859" s="42" t="s">
        <v>101</v>
      </c>
    </row>
    <row r="860" ht="12.75" customHeight="1">
      <c r="A860" s="42" t="s">
        <v>1165</v>
      </c>
      <c r="B860" s="21">
        <v>46150.0</v>
      </c>
      <c r="C860" s="20" t="s">
        <v>175</v>
      </c>
      <c r="D860" s="21">
        <v>46145.0</v>
      </c>
      <c r="E860" s="21">
        <v>46151.0</v>
      </c>
      <c r="F860" s="20" t="s">
        <v>1160</v>
      </c>
      <c r="G860" s="42" t="s">
        <v>208</v>
      </c>
      <c r="H860" s="20" t="s">
        <v>70</v>
      </c>
      <c r="I860" s="9" t="s">
        <v>287</v>
      </c>
      <c r="J860" s="43">
        <v>2026.0</v>
      </c>
      <c r="K860" s="42" t="s">
        <v>101</v>
      </c>
    </row>
    <row r="861" ht="12.75" customHeight="1">
      <c r="A861" s="42" t="s">
        <v>1166</v>
      </c>
      <c r="B861" s="21">
        <v>46151.0</v>
      </c>
      <c r="C861" s="20" t="s">
        <v>177</v>
      </c>
      <c r="D861" s="21">
        <v>46145.0</v>
      </c>
      <c r="E861" s="21">
        <v>46151.0</v>
      </c>
      <c r="F861" s="20" t="s">
        <v>1160</v>
      </c>
      <c r="G861" s="42" t="s">
        <v>208</v>
      </c>
      <c r="H861" s="20" t="s">
        <v>70</v>
      </c>
      <c r="I861" s="9" t="s">
        <v>287</v>
      </c>
      <c r="J861" s="43">
        <v>2026.0</v>
      </c>
      <c r="K861" s="42" t="s">
        <v>101</v>
      </c>
    </row>
    <row r="862" ht="12.75" customHeight="1">
      <c r="A862" s="42" t="s">
        <v>1167</v>
      </c>
      <c r="B862" s="21">
        <v>46152.0</v>
      </c>
      <c r="C862" s="20" t="s">
        <v>179</v>
      </c>
      <c r="D862" s="21">
        <v>46152.0</v>
      </c>
      <c r="E862" s="21">
        <v>46158.0</v>
      </c>
      <c r="F862" s="20" t="s">
        <v>1168</v>
      </c>
      <c r="G862" s="42" t="s">
        <v>208</v>
      </c>
      <c r="H862" s="20" t="s">
        <v>70</v>
      </c>
      <c r="I862" s="9" t="s">
        <v>287</v>
      </c>
      <c r="J862" s="43">
        <v>2026.0</v>
      </c>
      <c r="K862" s="42" t="s">
        <v>102</v>
      </c>
    </row>
    <row r="863" ht="12.75" customHeight="1">
      <c r="A863" s="42" t="s">
        <v>1169</v>
      </c>
      <c r="B863" s="21">
        <v>46153.0</v>
      </c>
      <c r="C863" s="20" t="s">
        <v>163</v>
      </c>
      <c r="D863" s="21">
        <v>46152.0</v>
      </c>
      <c r="E863" s="21">
        <v>46158.0</v>
      </c>
      <c r="F863" s="20" t="s">
        <v>1168</v>
      </c>
      <c r="G863" s="42" t="s">
        <v>208</v>
      </c>
      <c r="H863" s="20" t="s">
        <v>70</v>
      </c>
      <c r="I863" s="9" t="s">
        <v>287</v>
      </c>
      <c r="J863" s="43">
        <v>2026.0</v>
      </c>
      <c r="K863" s="42" t="s">
        <v>102</v>
      </c>
    </row>
    <row r="864" ht="12.75" customHeight="1">
      <c r="A864" s="42" t="s">
        <v>1170</v>
      </c>
      <c r="B864" s="21">
        <v>46154.0</v>
      </c>
      <c r="C864" s="20" t="s">
        <v>169</v>
      </c>
      <c r="D864" s="21">
        <v>46152.0</v>
      </c>
      <c r="E864" s="21">
        <v>46158.0</v>
      </c>
      <c r="F864" s="20" t="s">
        <v>1168</v>
      </c>
      <c r="G864" s="42" t="s">
        <v>208</v>
      </c>
      <c r="H864" s="20" t="s">
        <v>70</v>
      </c>
      <c r="I864" s="9" t="s">
        <v>287</v>
      </c>
      <c r="J864" s="43">
        <v>2026.0</v>
      </c>
      <c r="K864" s="42" t="s">
        <v>102</v>
      </c>
    </row>
    <row r="865" ht="12.75" customHeight="1">
      <c r="A865" s="42" t="s">
        <v>1171</v>
      </c>
      <c r="B865" s="21">
        <v>46155.0</v>
      </c>
      <c r="C865" s="20" t="s">
        <v>171</v>
      </c>
      <c r="D865" s="21">
        <v>46152.0</v>
      </c>
      <c r="E865" s="21">
        <v>46158.0</v>
      </c>
      <c r="F865" s="20" t="s">
        <v>1168</v>
      </c>
      <c r="G865" s="42" t="s">
        <v>208</v>
      </c>
      <c r="H865" s="20" t="s">
        <v>70</v>
      </c>
      <c r="I865" s="9" t="s">
        <v>287</v>
      </c>
      <c r="J865" s="43">
        <v>2026.0</v>
      </c>
      <c r="K865" s="42" t="s">
        <v>102</v>
      </c>
    </row>
    <row r="866" ht="12.75" customHeight="1">
      <c r="A866" s="42" t="s">
        <v>1172</v>
      </c>
      <c r="B866" s="21">
        <v>46156.0</v>
      </c>
      <c r="C866" s="20" t="s">
        <v>173</v>
      </c>
      <c r="D866" s="21">
        <v>46152.0</v>
      </c>
      <c r="E866" s="21">
        <v>46158.0</v>
      </c>
      <c r="F866" s="20" t="s">
        <v>1168</v>
      </c>
      <c r="G866" s="42" t="s">
        <v>208</v>
      </c>
      <c r="H866" s="20" t="s">
        <v>70</v>
      </c>
      <c r="I866" s="9" t="s">
        <v>287</v>
      </c>
      <c r="J866" s="43">
        <v>2026.0</v>
      </c>
      <c r="K866" s="42" t="s">
        <v>102</v>
      </c>
    </row>
    <row r="867" ht="12.75" customHeight="1">
      <c r="A867" s="42" t="s">
        <v>1173</v>
      </c>
      <c r="B867" s="21">
        <v>46157.0</v>
      </c>
      <c r="C867" s="20" t="s">
        <v>175</v>
      </c>
      <c r="D867" s="21">
        <v>46152.0</v>
      </c>
      <c r="E867" s="21">
        <v>46158.0</v>
      </c>
      <c r="F867" s="20" t="s">
        <v>1168</v>
      </c>
      <c r="G867" s="42" t="s">
        <v>208</v>
      </c>
      <c r="H867" s="20" t="s">
        <v>70</v>
      </c>
      <c r="I867" s="9" t="s">
        <v>287</v>
      </c>
      <c r="J867" s="43">
        <v>2026.0</v>
      </c>
      <c r="K867" s="42" t="s">
        <v>102</v>
      </c>
    </row>
    <row r="868" ht="12.75" customHeight="1">
      <c r="A868" s="42" t="s">
        <v>1174</v>
      </c>
      <c r="B868" s="21">
        <v>46158.0</v>
      </c>
      <c r="C868" s="20" t="s">
        <v>177</v>
      </c>
      <c r="D868" s="21">
        <v>46152.0</v>
      </c>
      <c r="E868" s="21">
        <v>46158.0</v>
      </c>
      <c r="F868" s="20" t="s">
        <v>1168</v>
      </c>
      <c r="G868" s="42" t="s">
        <v>208</v>
      </c>
      <c r="H868" s="20" t="s">
        <v>70</v>
      </c>
      <c r="I868" s="9" t="s">
        <v>287</v>
      </c>
      <c r="J868" s="43">
        <v>2026.0</v>
      </c>
      <c r="K868" s="42" t="s">
        <v>102</v>
      </c>
    </row>
    <row r="869" ht="12.75" customHeight="1">
      <c r="A869" s="42" t="s">
        <v>1175</v>
      </c>
      <c r="B869" s="21">
        <v>46159.0</v>
      </c>
      <c r="C869" s="20" t="s">
        <v>179</v>
      </c>
      <c r="D869" s="21">
        <v>46159.0</v>
      </c>
      <c r="E869" s="21">
        <v>46165.0</v>
      </c>
      <c r="F869" s="20" t="s">
        <v>1176</v>
      </c>
      <c r="G869" s="42" t="s">
        <v>208</v>
      </c>
      <c r="H869" s="20" t="s">
        <v>70</v>
      </c>
      <c r="I869" s="9" t="s">
        <v>287</v>
      </c>
      <c r="J869" s="43">
        <v>2026.0</v>
      </c>
      <c r="K869" s="42" t="s">
        <v>103</v>
      </c>
    </row>
    <row r="870" ht="12.75" customHeight="1">
      <c r="A870" s="42" t="s">
        <v>1177</v>
      </c>
      <c r="B870" s="21">
        <v>46160.0</v>
      </c>
      <c r="C870" s="20" t="s">
        <v>163</v>
      </c>
      <c r="D870" s="21">
        <v>46159.0</v>
      </c>
      <c r="E870" s="21">
        <v>46165.0</v>
      </c>
      <c r="F870" s="20" t="s">
        <v>1176</v>
      </c>
      <c r="G870" s="42" t="s">
        <v>208</v>
      </c>
      <c r="H870" s="20" t="s">
        <v>70</v>
      </c>
      <c r="I870" s="9" t="s">
        <v>287</v>
      </c>
      <c r="J870" s="43">
        <v>2026.0</v>
      </c>
      <c r="K870" s="42" t="s">
        <v>103</v>
      </c>
    </row>
    <row r="871" ht="12.75" customHeight="1">
      <c r="A871" s="42" t="s">
        <v>1178</v>
      </c>
      <c r="B871" s="21">
        <v>46161.0</v>
      </c>
      <c r="C871" s="20" t="s">
        <v>169</v>
      </c>
      <c r="D871" s="21">
        <v>46159.0</v>
      </c>
      <c r="E871" s="21">
        <v>46165.0</v>
      </c>
      <c r="F871" s="20" t="s">
        <v>1176</v>
      </c>
      <c r="G871" s="42" t="s">
        <v>208</v>
      </c>
      <c r="H871" s="20" t="s">
        <v>70</v>
      </c>
      <c r="I871" s="9" t="s">
        <v>287</v>
      </c>
      <c r="J871" s="43">
        <v>2026.0</v>
      </c>
      <c r="K871" s="42" t="s">
        <v>103</v>
      </c>
    </row>
    <row r="872" ht="12.75" customHeight="1">
      <c r="A872" s="42" t="s">
        <v>1179</v>
      </c>
      <c r="B872" s="21">
        <v>46162.0</v>
      </c>
      <c r="C872" s="20" t="s">
        <v>171</v>
      </c>
      <c r="D872" s="21">
        <v>46159.0</v>
      </c>
      <c r="E872" s="21">
        <v>46165.0</v>
      </c>
      <c r="F872" s="20" t="s">
        <v>1176</v>
      </c>
      <c r="G872" s="42" t="s">
        <v>208</v>
      </c>
      <c r="H872" s="20" t="s">
        <v>70</v>
      </c>
      <c r="I872" s="9" t="s">
        <v>287</v>
      </c>
      <c r="J872" s="43">
        <v>2026.0</v>
      </c>
      <c r="K872" s="42" t="s">
        <v>103</v>
      </c>
    </row>
    <row r="873" ht="12.75" customHeight="1">
      <c r="A873" s="42" t="s">
        <v>1180</v>
      </c>
      <c r="B873" s="21">
        <v>46163.0</v>
      </c>
      <c r="C873" s="20" t="s">
        <v>173</v>
      </c>
      <c r="D873" s="21">
        <v>46159.0</v>
      </c>
      <c r="E873" s="21">
        <v>46165.0</v>
      </c>
      <c r="F873" s="20" t="s">
        <v>1176</v>
      </c>
      <c r="G873" s="42" t="s">
        <v>208</v>
      </c>
      <c r="H873" s="20" t="s">
        <v>70</v>
      </c>
      <c r="I873" s="9" t="s">
        <v>287</v>
      </c>
      <c r="J873" s="43">
        <v>2026.0</v>
      </c>
      <c r="K873" s="42" t="s">
        <v>103</v>
      </c>
    </row>
    <row r="874" ht="12.75" customHeight="1">
      <c r="A874" s="42" t="s">
        <v>1181</v>
      </c>
      <c r="B874" s="21">
        <v>46164.0</v>
      </c>
      <c r="C874" s="20" t="s">
        <v>175</v>
      </c>
      <c r="D874" s="21">
        <v>46159.0</v>
      </c>
      <c r="E874" s="21">
        <v>46165.0</v>
      </c>
      <c r="F874" s="20" t="s">
        <v>1176</v>
      </c>
      <c r="G874" s="42" t="s">
        <v>208</v>
      </c>
      <c r="H874" s="20" t="s">
        <v>70</v>
      </c>
      <c r="I874" s="9" t="s">
        <v>287</v>
      </c>
      <c r="J874" s="43">
        <v>2026.0</v>
      </c>
      <c r="K874" s="42" t="s">
        <v>103</v>
      </c>
    </row>
    <row r="875" ht="12.75" customHeight="1">
      <c r="A875" s="42" t="s">
        <v>1182</v>
      </c>
      <c r="B875" s="21">
        <v>46165.0</v>
      </c>
      <c r="C875" s="20" t="s">
        <v>177</v>
      </c>
      <c r="D875" s="21">
        <v>46159.0</v>
      </c>
      <c r="E875" s="21">
        <v>46165.0</v>
      </c>
      <c r="F875" s="20" t="s">
        <v>1176</v>
      </c>
      <c r="G875" s="42" t="s">
        <v>208</v>
      </c>
      <c r="H875" s="20" t="s">
        <v>70</v>
      </c>
      <c r="I875" s="9" t="s">
        <v>287</v>
      </c>
      <c r="J875" s="43">
        <v>2026.0</v>
      </c>
      <c r="K875" s="42" t="s">
        <v>103</v>
      </c>
    </row>
    <row r="876" ht="12.75" customHeight="1">
      <c r="A876" s="42" t="s">
        <v>1183</v>
      </c>
      <c r="B876" s="21">
        <v>46166.0</v>
      </c>
      <c r="C876" s="20" t="s">
        <v>179</v>
      </c>
      <c r="D876" s="21">
        <v>46166.0</v>
      </c>
      <c r="E876" s="21">
        <v>46172.0</v>
      </c>
      <c r="F876" s="20" t="s">
        <v>1184</v>
      </c>
      <c r="G876" s="42" t="s">
        <v>208</v>
      </c>
      <c r="H876" s="20" t="s">
        <v>70</v>
      </c>
      <c r="I876" s="9" t="s">
        <v>287</v>
      </c>
      <c r="J876" s="43">
        <v>2026.0</v>
      </c>
      <c r="K876" s="42" t="s">
        <v>104</v>
      </c>
    </row>
    <row r="877" ht="12.75" customHeight="1">
      <c r="A877" s="42" t="s">
        <v>1185</v>
      </c>
      <c r="B877" s="21">
        <v>46167.0</v>
      </c>
      <c r="C877" s="20" t="s">
        <v>163</v>
      </c>
      <c r="D877" s="21">
        <v>46166.0</v>
      </c>
      <c r="E877" s="21">
        <v>46172.0</v>
      </c>
      <c r="F877" s="20" t="s">
        <v>1184</v>
      </c>
      <c r="G877" s="42" t="s">
        <v>208</v>
      </c>
      <c r="H877" s="20" t="s">
        <v>70</v>
      </c>
      <c r="I877" s="9" t="s">
        <v>287</v>
      </c>
      <c r="J877" s="43">
        <v>2026.0</v>
      </c>
      <c r="K877" s="42" t="s">
        <v>104</v>
      </c>
    </row>
    <row r="878" ht="12.75" customHeight="1">
      <c r="A878" s="42" t="s">
        <v>1186</v>
      </c>
      <c r="B878" s="21">
        <v>46168.0</v>
      </c>
      <c r="C878" s="20" t="s">
        <v>169</v>
      </c>
      <c r="D878" s="21">
        <v>46166.0</v>
      </c>
      <c r="E878" s="21">
        <v>46172.0</v>
      </c>
      <c r="F878" s="20" t="s">
        <v>1184</v>
      </c>
      <c r="G878" s="42" t="s">
        <v>208</v>
      </c>
      <c r="H878" s="20" t="s">
        <v>70</v>
      </c>
      <c r="I878" s="9" t="s">
        <v>287</v>
      </c>
      <c r="J878" s="43">
        <v>2026.0</v>
      </c>
      <c r="K878" s="42" t="s">
        <v>104</v>
      </c>
    </row>
    <row r="879" ht="12.75" customHeight="1">
      <c r="A879" s="42" t="s">
        <v>1187</v>
      </c>
      <c r="B879" s="21">
        <v>46169.0</v>
      </c>
      <c r="C879" s="20" t="s">
        <v>171</v>
      </c>
      <c r="D879" s="21">
        <v>46166.0</v>
      </c>
      <c r="E879" s="21">
        <v>46172.0</v>
      </c>
      <c r="F879" s="20" t="s">
        <v>1184</v>
      </c>
      <c r="G879" s="42" t="s">
        <v>208</v>
      </c>
      <c r="H879" s="20" t="s">
        <v>70</v>
      </c>
      <c r="I879" s="9" t="s">
        <v>287</v>
      </c>
      <c r="J879" s="43">
        <v>2026.0</v>
      </c>
      <c r="K879" s="42" t="s">
        <v>104</v>
      </c>
    </row>
    <row r="880" ht="12.75" customHeight="1">
      <c r="A880" s="42" t="s">
        <v>1188</v>
      </c>
      <c r="B880" s="21">
        <v>46170.0</v>
      </c>
      <c r="C880" s="20" t="s">
        <v>173</v>
      </c>
      <c r="D880" s="21">
        <v>46166.0</v>
      </c>
      <c r="E880" s="21">
        <v>46172.0</v>
      </c>
      <c r="F880" s="20" t="s">
        <v>1184</v>
      </c>
      <c r="G880" s="42" t="s">
        <v>208</v>
      </c>
      <c r="H880" s="20" t="s">
        <v>70</v>
      </c>
      <c r="I880" s="9" t="s">
        <v>287</v>
      </c>
      <c r="J880" s="43">
        <v>2026.0</v>
      </c>
      <c r="K880" s="42" t="s">
        <v>104</v>
      </c>
    </row>
    <row r="881" ht="12.75" customHeight="1">
      <c r="A881" s="42" t="s">
        <v>1189</v>
      </c>
      <c r="B881" s="21">
        <v>46171.0</v>
      </c>
      <c r="C881" s="20" t="s">
        <v>175</v>
      </c>
      <c r="D881" s="21">
        <v>46166.0</v>
      </c>
      <c r="E881" s="21">
        <v>46172.0</v>
      </c>
      <c r="F881" s="20" t="s">
        <v>1184</v>
      </c>
      <c r="G881" s="42" t="s">
        <v>208</v>
      </c>
      <c r="H881" s="20" t="s">
        <v>70</v>
      </c>
      <c r="I881" s="9" t="s">
        <v>287</v>
      </c>
      <c r="J881" s="43">
        <v>2026.0</v>
      </c>
      <c r="K881" s="42" t="s">
        <v>104</v>
      </c>
    </row>
    <row r="882" ht="12.75" customHeight="1">
      <c r="A882" s="42" t="s">
        <v>1190</v>
      </c>
      <c r="B882" s="21">
        <v>46172.0</v>
      </c>
      <c r="C882" s="20" t="s">
        <v>177</v>
      </c>
      <c r="D882" s="21">
        <v>46166.0</v>
      </c>
      <c r="E882" s="21">
        <v>46172.0</v>
      </c>
      <c r="F882" s="20" t="s">
        <v>1184</v>
      </c>
      <c r="G882" s="42" t="s">
        <v>208</v>
      </c>
      <c r="H882" s="20" t="s">
        <v>70</v>
      </c>
      <c r="I882" s="9" t="s">
        <v>287</v>
      </c>
      <c r="J882" s="43">
        <v>2026.0</v>
      </c>
      <c r="K882" s="42" t="s">
        <v>104</v>
      </c>
    </row>
    <row r="883" ht="12.75" customHeight="1">
      <c r="A883" s="42" t="s">
        <v>1191</v>
      </c>
      <c r="B883" s="21">
        <v>46173.0</v>
      </c>
      <c r="C883" s="20" t="s">
        <v>179</v>
      </c>
      <c r="D883" s="21">
        <v>46173.0</v>
      </c>
      <c r="E883" s="21">
        <v>46179.0</v>
      </c>
      <c r="F883" s="20" t="s">
        <v>1192</v>
      </c>
      <c r="G883" s="42" t="s">
        <v>208</v>
      </c>
      <c r="H883" s="20" t="s">
        <v>70</v>
      </c>
      <c r="I883" s="9" t="s">
        <v>287</v>
      </c>
      <c r="J883" s="43">
        <v>2026.0</v>
      </c>
      <c r="K883" s="42" t="s">
        <v>91</v>
      </c>
    </row>
    <row r="884" ht="12.75" customHeight="1">
      <c r="A884" s="42" t="s">
        <v>1193</v>
      </c>
      <c r="B884" s="21">
        <v>46174.0</v>
      </c>
      <c r="C884" s="20" t="s">
        <v>163</v>
      </c>
      <c r="D884" s="21">
        <v>46173.0</v>
      </c>
      <c r="E884" s="21">
        <v>46179.0</v>
      </c>
      <c r="F884" s="20" t="s">
        <v>1192</v>
      </c>
      <c r="G884" s="42" t="s">
        <v>218</v>
      </c>
      <c r="H884" s="20" t="s">
        <v>68</v>
      </c>
      <c r="I884" s="9" t="s">
        <v>287</v>
      </c>
      <c r="J884" s="43">
        <v>2026.0</v>
      </c>
      <c r="K884" s="42" t="s">
        <v>91</v>
      </c>
    </row>
    <row r="885" ht="12.75" customHeight="1">
      <c r="A885" s="42" t="s">
        <v>1194</v>
      </c>
      <c r="B885" s="21">
        <v>46175.0</v>
      </c>
      <c r="C885" s="20" t="s">
        <v>169</v>
      </c>
      <c r="D885" s="21">
        <v>46173.0</v>
      </c>
      <c r="E885" s="21">
        <v>46179.0</v>
      </c>
      <c r="F885" s="20" t="s">
        <v>1192</v>
      </c>
      <c r="G885" s="42" t="s">
        <v>218</v>
      </c>
      <c r="H885" s="20" t="s">
        <v>68</v>
      </c>
      <c r="I885" s="9" t="s">
        <v>287</v>
      </c>
      <c r="J885" s="43">
        <v>2026.0</v>
      </c>
      <c r="K885" s="42" t="s">
        <v>91</v>
      </c>
    </row>
    <row r="886" ht="12.75" customHeight="1">
      <c r="A886" s="42" t="s">
        <v>1195</v>
      </c>
      <c r="B886" s="21">
        <v>46176.0</v>
      </c>
      <c r="C886" s="20" t="s">
        <v>171</v>
      </c>
      <c r="D886" s="21">
        <v>46173.0</v>
      </c>
      <c r="E886" s="21">
        <v>46179.0</v>
      </c>
      <c r="F886" s="20" t="s">
        <v>1192</v>
      </c>
      <c r="G886" s="42" t="s">
        <v>218</v>
      </c>
      <c r="H886" s="20" t="s">
        <v>68</v>
      </c>
      <c r="I886" s="9" t="s">
        <v>287</v>
      </c>
      <c r="J886" s="43">
        <v>2026.0</v>
      </c>
      <c r="K886" s="42" t="s">
        <v>91</v>
      </c>
    </row>
    <row r="887" ht="12.75" customHeight="1">
      <c r="A887" s="42" t="s">
        <v>1196</v>
      </c>
      <c r="B887" s="21">
        <v>46177.0</v>
      </c>
      <c r="C887" s="20" t="s">
        <v>173</v>
      </c>
      <c r="D887" s="21">
        <v>46173.0</v>
      </c>
      <c r="E887" s="21">
        <v>46179.0</v>
      </c>
      <c r="F887" s="20" t="s">
        <v>1192</v>
      </c>
      <c r="G887" s="42" t="s">
        <v>218</v>
      </c>
      <c r="H887" s="20" t="s">
        <v>68</v>
      </c>
      <c r="I887" s="9" t="s">
        <v>287</v>
      </c>
      <c r="J887" s="43">
        <v>2026.0</v>
      </c>
      <c r="K887" s="42" t="s">
        <v>91</v>
      </c>
    </row>
    <row r="888" ht="12.75" customHeight="1">
      <c r="A888" s="42" t="s">
        <v>1197</v>
      </c>
      <c r="B888" s="21">
        <v>46178.0</v>
      </c>
      <c r="C888" s="20" t="s">
        <v>175</v>
      </c>
      <c r="D888" s="21">
        <v>46173.0</v>
      </c>
      <c r="E888" s="21">
        <v>46179.0</v>
      </c>
      <c r="F888" s="20" t="s">
        <v>1192</v>
      </c>
      <c r="G888" s="42" t="s">
        <v>218</v>
      </c>
      <c r="H888" s="20" t="s">
        <v>68</v>
      </c>
      <c r="I888" s="9" t="s">
        <v>287</v>
      </c>
      <c r="J888" s="43">
        <v>2026.0</v>
      </c>
      <c r="K888" s="42" t="s">
        <v>91</v>
      </c>
    </row>
    <row r="889" ht="12.75" customHeight="1">
      <c r="A889" s="42" t="s">
        <v>1198</v>
      </c>
      <c r="B889" s="21">
        <v>46179.0</v>
      </c>
      <c r="C889" s="20" t="s">
        <v>177</v>
      </c>
      <c r="D889" s="21">
        <v>46173.0</v>
      </c>
      <c r="E889" s="21">
        <v>46179.0</v>
      </c>
      <c r="F889" s="20" t="s">
        <v>1192</v>
      </c>
      <c r="G889" s="42" t="s">
        <v>218</v>
      </c>
      <c r="H889" s="20" t="s">
        <v>68</v>
      </c>
      <c r="I889" s="9" t="s">
        <v>287</v>
      </c>
      <c r="J889" s="43">
        <v>2026.0</v>
      </c>
      <c r="K889" s="42" t="s">
        <v>91</v>
      </c>
    </row>
    <row r="890" ht="12.75" customHeight="1">
      <c r="A890" s="42" t="s">
        <v>1199</v>
      </c>
      <c r="B890" s="21">
        <v>46180.0</v>
      </c>
      <c r="C890" s="20" t="s">
        <v>179</v>
      </c>
      <c r="D890" s="21">
        <v>46180.0</v>
      </c>
      <c r="E890" s="21">
        <v>46186.0</v>
      </c>
      <c r="F890" s="20" t="s">
        <v>1200</v>
      </c>
      <c r="G890" s="42" t="s">
        <v>218</v>
      </c>
      <c r="H890" s="20" t="s">
        <v>68</v>
      </c>
      <c r="I890" s="9" t="s">
        <v>287</v>
      </c>
      <c r="J890" s="43">
        <v>2026.0</v>
      </c>
      <c r="K890" s="42" t="s">
        <v>92</v>
      </c>
    </row>
    <row r="891" ht="12.75" customHeight="1">
      <c r="A891" s="42" t="s">
        <v>1201</v>
      </c>
      <c r="B891" s="21">
        <v>46181.0</v>
      </c>
      <c r="C891" s="20" t="s">
        <v>163</v>
      </c>
      <c r="D891" s="21">
        <v>46180.0</v>
      </c>
      <c r="E891" s="21">
        <v>46186.0</v>
      </c>
      <c r="F891" s="20" t="s">
        <v>1200</v>
      </c>
      <c r="G891" s="42" t="s">
        <v>218</v>
      </c>
      <c r="H891" s="20" t="s">
        <v>68</v>
      </c>
      <c r="I891" s="9" t="s">
        <v>287</v>
      </c>
      <c r="J891" s="43">
        <v>2026.0</v>
      </c>
      <c r="K891" s="42" t="s">
        <v>92</v>
      </c>
    </row>
    <row r="892" ht="12.75" customHeight="1">
      <c r="A892" s="42" t="s">
        <v>1202</v>
      </c>
      <c r="B892" s="21">
        <v>46182.0</v>
      </c>
      <c r="C892" s="20" t="s">
        <v>169</v>
      </c>
      <c r="D892" s="21">
        <v>46180.0</v>
      </c>
      <c r="E892" s="21">
        <v>46186.0</v>
      </c>
      <c r="F892" s="20" t="s">
        <v>1200</v>
      </c>
      <c r="G892" s="42" t="s">
        <v>218</v>
      </c>
      <c r="H892" s="20" t="s">
        <v>68</v>
      </c>
      <c r="I892" s="9" t="s">
        <v>287</v>
      </c>
      <c r="J892" s="43">
        <v>2026.0</v>
      </c>
      <c r="K892" s="42" t="s">
        <v>92</v>
      </c>
    </row>
    <row r="893" ht="12.75" customHeight="1">
      <c r="A893" s="42" t="s">
        <v>1203</v>
      </c>
      <c r="B893" s="21">
        <v>46183.0</v>
      </c>
      <c r="C893" s="20" t="s">
        <v>171</v>
      </c>
      <c r="D893" s="21">
        <v>46180.0</v>
      </c>
      <c r="E893" s="21">
        <v>46186.0</v>
      </c>
      <c r="F893" s="20" t="s">
        <v>1200</v>
      </c>
      <c r="G893" s="42" t="s">
        <v>218</v>
      </c>
      <c r="H893" s="20" t="s">
        <v>68</v>
      </c>
      <c r="I893" s="9" t="s">
        <v>287</v>
      </c>
      <c r="J893" s="43">
        <v>2026.0</v>
      </c>
      <c r="K893" s="42" t="s">
        <v>92</v>
      </c>
    </row>
    <row r="894" ht="12.75" customHeight="1">
      <c r="A894" s="42" t="s">
        <v>1204</v>
      </c>
      <c r="B894" s="21">
        <v>46184.0</v>
      </c>
      <c r="C894" s="20" t="s">
        <v>173</v>
      </c>
      <c r="D894" s="21">
        <v>46180.0</v>
      </c>
      <c r="E894" s="21">
        <v>46186.0</v>
      </c>
      <c r="F894" s="20" t="s">
        <v>1200</v>
      </c>
      <c r="G894" s="42" t="s">
        <v>218</v>
      </c>
      <c r="H894" s="20" t="s">
        <v>68</v>
      </c>
      <c r="I894" s="9" t="s">
        <v>287</v>
      </c>
      <c r="J894" s="43">
        <v>2026.0</v>
      </c>
      <c r="K894" s="42" t="s">
        <v>92</v>
      </c>
    </row>
    <row r="895" ht="12.75" customHeight="1">
      <c r="A895" s="42" t="s">
        <v>1205</v>
      </c>
      <c r="B895" s="21">
        <v>46185.0</v>
      </c>
      <c r="C895" s="20" t="s">
        <v>175</v>
      </c>
      <c r="D895" s="21">
        <v>46180.0</v>
      </c>
      <c r="E895" s="21">
        <v>46186.0</v>
      </c>
      <c r="F895" s="20" t="s">
        <v>1200</v>
      </c>
      <c r="G895" s="42" t="s">
        <v>218</v>
      </c>
      <c r="H895" s="20" t="s">
        <v>68</v>
      </c>
      <c r="I895" s="9" t="s">
        <v>287</v>
      </c>
      <c r="J895" s="43">
        <v>2026.0</v>
      </c>
      <c r="K895" s="42" t="s">
        <v>92</v>
      </c>
    </row>
    <row r="896" ht="12.75" customHeight="1">
      <c r="A896" s="42" t="s">
        <v>1206</v>
      </c>
      <c r="B896" s="21">
        <v>46186.0</v>
      </c>
      <c r="C896" s="20" t="s">
        <v>177</v>
      </c>
      <c r="D896" s="21">
        <v>46180.0</v>
      </c>
      <c r="E896" s="21">
        <v>46186.0</v>
      </c>
      <c r="F896" s="20" t="s">
        <v>1200</v>
      </c>
      <c r="G896" s="42" t="s">
        <v>218</v>
      </c>
      <c r="H896" s="20" t="s">
        <v>68</v>
      </c>
      <c r="I896" s="9" t="s">
        <v>287</v>
      </c>
      <c r="J896" s="43">
        <v>2026.0</v>
      </c>
      <c r="K896" s="42" t="s">
        <v>92</v>
      </c>
    </row>
    <row r="897" ht="12.75" customHeight="1">
      <c r="A897" s="42" t="s">
        <v>1207</v>
      </c>
      <c r="B897" s="21">
        <v>46187.0</v>
      </c>
      <c r="C897" s="20" t="s">
        <v>179</v>
      </c>
      <c r="D897" s="21">
        <v>46187.0</v>
      </c>
      <c r="E897" s="21">
        <v>46193.0</v>
      </c>
      <c r="F897" s="20" t="s">
        <v>1208</v>
      </c>
      <c r="G897" s="42" t="s">
        <v>218</v>
      </c>
      <c r="H897" s="20" t="s">
        <v>68</v>
      </c>
      <c r="I897" s="9" t="s">
        <v>287</v>
      </c>
      <c r="J897" s="43">
        <v>2026.0</v>
      </c>
      <c r="K897" s="42" t="s">
        <v>93</v>
      </c>
    </row>
    <row r="898" ht="12.75" customHeight="1">
      <c r="A898" s="42" t="s">
        <v>1209</v>
      </c>
      <c r="B898" s="21">
        <v>46188.0</v>
      </c>
      <c r="C898" s="20" t="s">
        <v>163</v>
      </c>
      <c r="D898" s="21">
        <v>46187.0</v>
      </c>
      <c r="E898" s="21">
        <v>46193.0</v>
      </c>
      <c r="F898" s="20" t="s">
        <v>1208</v>
      </c>
      <c r="G898" s="42" t="s">
        <v>218</v>
      </c>
      <c r="H898" s="20" t="s">
        <v>68</v>
      </c>
      <c r="I898" s="9" t="s">
        <v>287</v>
      </c>
      <c r="J898" s="43">
        <v>2026.0</v>
      </c>
      <c r="K898" s="42" t="s">
        <v>93</v>
      </c>
    </row>
    <row r="899" ht="12.75" customHeight="1">
      <c r="A899" s="42" t="s">
        <v>1210</v>
      </c>
      <c r="B899" s="21">
        <v>46189.0</v>
      </c>
      <c r="C899" s="20" t="s">
        <v>169</v>
      </c>
      <c r="D899" s="21">
        <v>46187.0</v>
      </c>
      <c r="E899" s="21">
        <v>46193.0</v>
      </c>
      <c r="F899" s="20" t="s">
        <v>1208</v>
      </c>
      <c r="G899" s="42" t="s">
        <v>218</v>
      </c>
      <c r="H899" s="20" t="s">
        <v>68</v>
      </c>
      <c r="I899" s="9" t="s">
        <v>287</v>
      </c>
      <c r="J899" s="43">
        <v>2026.0</v>
      </c>
      <c r="K899" s="42" t="s">
        <v>93</v>
      </c>
    </row>
    <row r="900" ht="12.75" customHeight="1">
      <c r="A900" s="42" t="s">
        <v>1211</v>
      </c>
      <c r="B900" s="21">
        <v>46190.0</v>
      </c>
      <c r="C900" s="20" t="s">
        <v>171</v>
      </c>
      <c r="D900" s="21">
        <v>46187.0</v>
      </c>
      <c r="E900" s="21">
        <v>46193.0</v>
      </c>
      <c r="F900" s="20" t="s">
        <v>1208</v>
      </c>
      <c r="G900" s="42" t="s">
        <v>218</v>
      </c>
      <c r="H900" s="20" t="s">
        <v>68</v>
      </c>
      <c r="I900" s="9" t="s">
        <v>287</v>
      </c>
      <c r="J900" s="43">
        <v>2026.0</v>
      </c>
      <c r="K900" s="42" t="s">
        <v>93</v>
      </c>
    </row>
    <row r="901" ht="12.75" customHeight="1">
      <c r="A901" s="42" t="s">
        <v>1212</v>
      </c>
      <c r="B901" s="21">
        <v>46191.0</v>
      </c>
      <c r="C901" s="20" t="s">
        <v>173</v>
      </c>
      <c r="D901" s="21">
        <v>46187.0</v>
      </c>
      <c r="E901" s="21">
        <v>46193.0</v>
      </c>
      <c r="F901" s="20" t="s">
        <v>1208</v>
      </c>
      <c r="G901" s="42" t="s">
        <v>218</v>
      </c>
      <c r="H901" s="20" t="s">
        <v>68</v>
      </c>
      <c r="I901" s="9" t="s">
        <v>287</v>
      </c>
      <c r="J901" s="43">
        <v>2026.0</v>
      </c>
      <c r="K901" s="42" t="s">
        <v>93</v>
      </c>
    </row>
    <row r="902" ht="12.75" customHeight="1">
      <c r="A902" s="42" t="s">
        <v>1213</v>
      </c>
      <c r="B902" s="21">
        <v>46192.0</v>
      </c>
      <c r="C902" s="20" t="s">
        <v>175</v>
      </c>
      <c r="D902" s="21">
        <v>46187.0</v>
      </c>
      <c r="E902" s="21">
        <v>46193.0</v>
      </c>
      <c r="F902" s="20" t="s">
        <v>1208</v>
      </c>
      <c r="G902" s="42" t="s">
        <v>218</v>
      </c>
      <c r="H902" s="20" t="s">
        <v>68</v>
      </c>
      <c r="I902" s="9" t="s">
        <v>287</v>
      </c>
      <c r="J902" s="43">
        <v>2026.0</v>
      </c>
      <c r="K902" s="42" t="s">
        <v>93</v>
      </c>
    </row>
    <row r="903" ht="12.75" customHeight="1">
      <c r="A903" s="42" t="s">
        <v>1214</v>
      </c>
      <c r="B903" s="21">
        <v>46193.0</v>
      </c>
      <c r="C903" s="20" t="s">
        <v>177</v>
      </c>
      <c r="D903" s="21">
        <v>46187.0</v>
      </c>
      <c r="E903" s="21">
        <v>46193.0</v>
      </c>
      <c r="F903" s="20" t="s">
        <v>1208</v>
      </c>
      <c r="G903" s="42" t="s">
        <v>218</v>
      </c>
      <c r="H903" s="20" t="s">
        <v>68</v>
      </c>
      <c r="I903" s="9" t="s">
        <v>287</v>
      </c>
      <c r="J903" s="43">
        <v>2026.0</v>
      </c>
      <c r="K903" s="42" t="s">
        <v>93</v>
      </c>
    </row>
    <row r="904" ht="12.75" customHeight="1">
      <c r="A904" s="42" t="s">
        <v>1215</v>
      </c>
      <c r="B904" s="21">
        <v>46194.0</v>
      </c>
      <c r="C904" s="20" t="s">
        <v>179</v>
      </c>
      <c r="D904" s="21">
        <v>46194.0</v>
      </c>
      <c r="E904" s="21">
        <v>46200.0</v>
      </c>
      <c r="F904" s="20" t="s">
        <v>1216</v>
      </c>
      <c r="G904" s="42" t="s">
        <v>218</v>
      </c>
      <c r="H904" s="20" t="s">
        <v>68</v>
      </c>
      <c r="I904" s="9" t="s">
        <v>287</v>
      </c>
      <c r="J904" s="43">
        <v>2026.0</v>
      </c>
      <c r="K904" s="42" t="s">
        <v>94</v>
      </c>
    </row>
    <row r="905" ht="12.75" customHeight="1">
      <c r="A905" s="42" t="s">
        <v>1217</v>
      </c>
      <c r="B905" s="21">
        <v>46195.0</v>
      </c>
      <c r="C905" s="20" t="s">
        <v>163</v>
      </c>
      <c r="D905" s="21">
        <v>46194.0</v>
      </c>
      <c r="E905" s="21">
        <v>46200.0</v>
      </c>
      <c r="F905" s="20" t="s">
        <v>1216</v>
      </c>
      <c r="G905" s="42" t="s">
        <v>218</v>
      </c>
      <c r="H905" s="20" t="s">
        <v>68</v>
      </c>
      <c r="I905" s="9" t="s">
        <v>287</v>
      </c>
      <c r="J905" s="43">
        <v>2026.0</v>
      </c>
      <c r="K905" s="42" t="s">
        <v>94</v>
      </c>
    </row>
    <row r="906" ht="12.75" customHeight="1">
      <c r="A906" s="42" t="s">
        <v>1218</v>
      </c>
      <c r="B906" s="21">
        <v>46196.0</v>
      </c>
      <c r="C906" s="20" t="s">
        <v>169</v>
      </c>
      <c r="D906" s="21">
        <v>46194.0</v>
      </c>
      <c r="E906" s="21">
        <v>46200.0</v>
      </c>
      <c r="F906" s="20" t="s">
        <v>1216</v>
      </c>
      <c r="G906" s="42" t="s">
        <v>218</v>
      </c>
      <c r="H906" s="20" t="s">
        <v>68</v>
      </c>
      <c r="I906" s="9" t="s">
        <v>287</v>
      </c>
      <c r="J906" s="43">
        <v>2026.0</v>
      </c>
      <c r="K906" s="42" t="s">
        <v>94</v>
      </c>
    </row>
    <row r="907" ht="12.75" customHeight="1">
      <c r="A907" s="42" t="s">
        <v>1219</v>
      </c>
      <c r="B907" s="21">
        <v>46197.0</v>
      </c>
      <c r="C907" s="20" t="s">
        <v>171</v>
      </c>
      <c r="D907" s="21">
        <v>46194.0</v>
      </c>
      <c r="E907" s="21">
        <v>46200.0</v>
      </c>
      <c r="F907" s="20" t="s">
        <v>1216</v>
      </c>
      <c r="G907" s="42" t="s">
        <v>218</v>
      </c>
      <c r="H907" s="20" t="s">
        <v>68</v>
      </c>
      <c r="I907" s="9" t="s">
        <v>287</v>
      </c>
      <c r="J907" s="43">
        <v>2026.0</v>
      </c>
      <c r="K907" s="42" t="s">
        <v>94</v>
      </c>
    </row>
    <row r="908" ht="12.75" customHeight="1">
      <c r="A908" s="42" t="s">
        <v>1220</v>
      </c>
      <c r="B908" s="21">
        <v>46198.0</v>
      </c>
      <c r="C908" s="20" t="s">
        <v>173</v>
      </c>
      <c r="D908" s="21">
        <v>46194.0</v>
      </c>
      <c r="E908" s="21">
        <v>46200.0</v>
      </c>
      <c r="F908" s="20" t="s">
        <v>1216</v>
      </c>
      <c r="G908" s="42" t="s">
        <v>218</v>
      </c>
      <c r="H908" s="20" t="s">
        <v>68</v>
      </c>
      <c r="I908" s="9" t="s">
        <v>287</v>
      </c>
      <c r="J908" s="43">
        <v>2026.0</v>
      </c>
      <c r="K908" s="42" t="s">
        <v>94</v>
      </c>
    </row>
    <row r="909" ht="12.75" customHeight="1">
      <c r="A909" s="42" t="s">
        <v>1221</v>
      </c>
      <c r="B909" s="21">
        <v>46199.0</v>
      </c>
      <c r="C909" s="20" t="s">
        <v>175</v>
      </c>
      <c r="D909" s="21">
        <v>46194.0</v>
      </c>
      <c r="E909" s="21">
        <v>46200.0</v>
      </c>
      <c r="F909" s="20" t="s">
        <v>1216</v>
      </c>
      <c r="G909" s="42" t="s">
        <v>218</v>
      </c>
      <c r="H909" s="20" t="s">
        <v>68</v>
      </c>
      <c r="I909" s="9" t="s">
        <v>287</v>
      </c>
      <c r="J909" s="43">
        <v>2026.0</v>
      </c>
      <c r="K909" s="42" t="s">
        <v>94</v>
      </c>
    </row>
    <row r="910" ht="12.75" customHeight="1">
      <c r="A910" s="42" t="s">
        <v>1222</v>
      </c>
      <c r="B910" s="21">
        <v>46200.0</v>
      </c>
      <c r="C910" s="20" t="s">
        <v>177</v>
      </c>
      <c r="D910" s="21">
        <v>46194.0</v>
      </c>
      <c r="E910" s="21">
        <v>46200.0</v>
      </c>
      <c r="F910" s="20" t="s">
        <v>1216</v>
      </c>
      <c r="G910" s="42" t="s">
        <v>218</v>
      </c>
      <c r="H910" s="20" t="s">
        <v>68</v>
      </c>
      <c r="I910" s="9" t="s">
        <v>287</v>
      </c>
      <c r="J910" s="43">
        <v>2026.0</v>
      </c>
      <c r="K910" s="42" t="s">
        <v>94</v>
      </c>
    </row>
    <row r="911" ht="12.75" customHeight="1">
      <c r="A911" s="42" t="s">
        <v>1223</v>
      </c>
      <c r="B911" s="21">
        <v>46201.0</v>
      </c>
      <c r="C911" s="20" t="s">
        <v>179</v>
      </c>
      <c r="D911" s="21">
        <v>46201.0</v>
      </c>
      <c r="E911" s="21">
        <v>46207.0</v>
      </c>
      <c r="F911" s="20" t="s">
        <v>1224</v>
      </c>
      <c r="G911" s="42" t="s">
        <v>218</v>
      </c>
      <c r="H911" s="20" t="s">
        <v>68</v>
      </c>
      <c r="I911" s="9" t="s">
        <v>287</v>
      </c>
      <c r="J911" s="43">
        <v>2026.0</v>
      </c>
      <c r="K911" s="42" t="s">
        <v>95</v>
      </c>
    </row>
    <row r="912" ht="12.75" customHeight="1">
      <c r="A912" s="42" t="s">
        <v>1225</v>
      </c>
      <c r="B912" s="21">
        <v>46202.0</v>
      </c>
      <c r="C912" s="20" t="s">
        <v>163</v>
      </c>
      <c r="D912" s="21">
        <v>46201.0</v>
      </c>
      <c r="E912" s="21">
        <v>46207.0</v>
      </c>
      <c r="F912" s="20" t="s">
        <v>1224</v>
      </c>
      <c r="G912" s="42" t="s">
        <v>218</v>
      </c>
      <c r="H912" s="20" t="s">
        <v>68</v>
      </c>
      <c r="I912" s="9" t="s">
        <v>287</v>
      </c>
      <c r="J912" s="43">
        <v>2026.0</v>
      </c>
      <c r="K912" s="42" t="s">
        <v>95</v>
      </c>
    </row>
    <row r="913" ht="12.75" customHeight="1">
      <c r="A913" s="42" t="s">
        <v>1226</v>
      </c>
      <c r="B913" s="21">
        <v>46203.0</v>
      </c>
      <c r="C913" s="20" t="s">
        <v>169</v>
      </c>
      <c r="D913" s="21">
        <v>46201.0</v>
      </c>
      <c r="E913" s="21">
        <v>46207.0</v>
      </c>
      <c r="F913" s="20" t="s">
        <v>1224</v>
      </c>
      <c r="G913" s="42" t="s">
        <v>218</v>
      </c>
      <c r="H913" s="20" t="s">
        <v>68</v>
      </c>
      <c r="I913" s="9" t="s">
        <v>287</v>
      </c>
      <c r="J913" s="43">
        <v>2026.0</v>
      </c>
      <c r="K913" s="42" t="s">
        <v>95</v>
      </c>
    </row>
    <row r="914" ht="12.75" customHeight="1">
      <c r="A914" s="42" t="s">
        <v>1227</v>
      </c>
      <c r="B914" s="21">
        <v>46204.0</v>
      </c>
      <c r="C914" s="20" t="s">
        <v>171</v>
      </c>
      <c r="D914" s="21">
        <v>46201.0</v>
      </c>
      <c r="E914" s="21">
        <v>46207.0</v>
      </c>
      <c r="F914" s="20" t="s">
        <v>1224</v>
      </c>
      <c r="G914" s="42" t="s">
        <v>227</v>
      </c>
      <c r="H914" s="20" t="s">
        <v>67</v>
      </c>
      <c r="I914" s="9" t="s">
        <v>392</v>
      </c>
      <c r="J914" s="43">
        <v>2026.0</v>
      </c>
      <c r="K914" s="42" t="s">
        <v>95</v>
      </c>
    </row>
    <row r="915" ht="12.75" customHeight="1">
      <c r="A915" s="42" t="s">
        <v>1228</v>
      </c>
      <c r="B915" s="21">
        <v>46205.0</v>
      </c>
      <c r="C915" s="20" t="s">
        <v>173</v>
      </c>
      <c r="D915" s="21">
        <v>46201.0</v>
      </c>
      <c r="E915" s="21">
        <v>46207.0</v>
      </c>
      <c r="F915" s="20" t="s">
        <v>1224</v>
      </c>
      <c r="G915" s="42" t="s">
        <v>227</v>
      </c>
      <c r="H915" s="20" t="s">
        <v>67</v>
      </c>
      <c r="I915" s="9" t="s">
        <v>392</v>
      </c>
      <c r="J915" s="43">
        <v>2026.0</v>
      </c>
      <c r="K915" s="42" t="s">
        <v>95</v>
      </c>
    </row>
    <row r="916" ht="12.75" customHeight="1">
      <c r="A916" s="42" t="s">
        <v>1229</v>
      </c>
      <c r="B916" s="21">
        <v>46206.0</v>
      </c>
      <c r="C916" s="20" t="s">
        <v>175</v>
      </c>
      <c r="D916" s="21">
        <v>46201.0</v>
      </c>
      <c r="E916" s="21">
        <v>46207.0</v>
      </c>
      <c r="F916" s="20" t="s">
        <v>1224</v>
      </c>
      <c r="G916" s="42" t="s">
        <v>227</v>
      </c>
      <c r="H916" s="20" t="s">
        <v>67</v>
      </c>
      <c r="I916" s="9" t="s">
        <v>392</v>
      </c>
      <c r="J916" s="43">
        <v>2026.0</v>
      </c>
      <c r="K916" s="42" t="s">
        <v>95</v>
      </c>
    </row>
    <row r="917" ht="12.75" customHeight="1">
      <c r="A917" s="42" t="s">
        <v>1230</v>
      </c>
      <c r="B917" s="21">
        <v>46207.0</v>
      </c>
      <c r="C917" s="20" t="s">
        <v>177</v>
      </c>
      <c r="D917" s="21">
        <v>46201.0</v>
      </c>
      <c r="E917" s="21">
        <v>46207.0</v>
      </c>
      <c r="F917" s="20" t="s">
        <v>1224</v>
      </c>
      <c r="G917" s="42" t="s">
        <v>227</v>
      </c>
      <c r="H917" s="20" t="s">
        <v>67</v>
      </c>
      <c r="I917" s="9" t="s">
        <v>392</v>
      </c>
      <c r="J917" s="43">
        <v>2026.0</v>
      </c>
      <c r="K917" s="42" t="s">
        <v>95</v>
      </c>
    </row>
    <row r="918" ht="12.75" customHeight="1">
      <c r="A918" s="42" t="s">
        <v>1231</v>
      </c>
      <c r="B918" s="21">
        <v>46208.0</v>
      </c>
      <c r="C918" s="20" t="s">
        <v>179</v>
      </c>
      <c r="D918" s="21">
        <v>46208.0</v>
      </c>
      <c r="E918" s="21">
        <v>46214.0</v>
      </c>
      <c r="F918" s="20" t="s">
        <v>1232</v>
      </c>
      <c r="G918" s="42" t="s">
        <v>227</v>
      </c>
      <c r="H918" s="20" t="s">
        <v>67</v>
      </c>
      <c r="I918" s="9" t="s">
        <v>392</v>
      </c>
      <c r="J918" s="43">
        <v>2026.0</v>
      </c>
      <c r="K918" s="42" t="s">
        <v>87</v>
      </c>
    </row>
    <row r="919" ht="12.75" customHeight="1">
      <c r="A919" s="42" t="s">
        <v>1233</v>
      </c>
      <c r="B919" s="21">
        <v>46209.0</v>
      </c>
      <c r="C919" s="20" t="s">
        <v>163</v>
      </c>
      <c r="D919" s="21">
        <v>46208.0</v>
      </c>
      <c r="E919" s="21">
        <v>46214.0</v>
      </c>
      <c r="F919" s="20" t="s">
        <v>1232</v>
      </c>
      <c r="G919" s="42" t="s">
        <v>227</v>
      </c>
      <c r="H919" s="20" t="s">
        <v>67</v>
      </c>
      <c r="I919" s="9" t="s">
        <v>392</v>
      </c>
      <c r="J919" s="43">
        <v>2026.0</v>
      </c>
      <c r="K919" s="42" t="s">
        <v>87</v>
      </c>
    </row>
    <row r="920" ht="12.75" customHeight="1">
      <c r="A920" s="42" t="s">
        <v>1234</v>
      </c>
      <c r="B920" s="21">
        <v>46210.0</v>
      </c>
      <c r="C920" s="20" t="s">
        <v>169</v>
      </c>
      <c r="D920" s="21">
        <v>46208.0</v>
      </c>
      <c r="E920" s="21">
        <v>46214.0</v>
      </c>
      <c r="F920" s="20" t="s">
        <v>1232</v>
      </c>
      <c r="G920" s="42" t="s">
        <v>227</v>
      </c>
      <c r="H920" s="20" t="s">
        <v>67</v>
      </c>
      <c r="I920" s="9" t="s">
        <v>392</v>
      </c>
      <c r="J920" s="43">
        <v>2026.0</v>
      </c>
      <c r="K920" s="42" t="s">
        <v>87</v>
      </c>
    </row>
    <row r="921" ht="12.75" customHeight="1">
      <c r="A921" s="42" t="s">
        <v>1235</v>
      </c>
      <c r="B921" s="21">
        <v>46211.0</v>
      </c>
      <c r="C921" s="20" t="s">
        <v>171</v>
      </c>
      <c r="D921" s="21">
        <v>46208.0</v>
      </c>
      <c r="E921" s="21">
        <v>46214.0</v>
      </c>
      <c r="F921" s="20" t="s">
        <v>1232</v>
      </c>
      <c r="G921" s="42" t="s">
        <v>227</v>
      </c>
      <c r="H921" s="20" t="s">
        <v>67</v>
      </c>
      <c r="I921" s="9" t="s">
        <v>392</v>
      </c>
      <c r="J921" s="43">
        <v>2026.0</v>
      </c>
      <c r="K921" s="42" t="s">
        <v>87</v>
      </c>
    </row>
    <row r="922" ht="12.75" customHeight="1">
      <c r="A922" s="42" t="s">
        <v>1236</v>
      </c>
      <c r="B922" s="21">
        <v>46212.0</v>
      </c>
      <c r="C922" s="20" t="s">
        <v>173</v>
      </c>
      <c r="D922" s="21">
        <v>46208.0</v>
      </c>
      <c r="E922" s="21">
        <v>46214.0</v>
      </c>
      <c r="F922" s="20" t="s">
        <v>1232</v>
      </c>
      <c r="G922" s="42" t="s">
        <v>227</v>
      </c>
      <c r="H922" s="20" t="s">
        <v>67</v>
      </c>
      <c r="I922" s="9" t="s">
        <v>392</v>
      </c>
      <c r="J922" s="43">
        <v>2026.0</v>
      </c>
      <c r="K922" s="42" t="s">
        <v>87</v>
      </c>
    </row>
    <row r="923" ht="12.75" customHeight="1">
      <c r="A923" s="42" t="s">
        <v>1237</v>
      </c>
      <c r="B923" s="21">
        <v>46213.0</v>
      </c>
      <c r="C923" s="20" t="s">
        <v>175</v>
      </c>
      <c r="D923" s="21">
        <v>46208.0</v>
      </c>
      <c r="E923" s="21">
        <v>46214.0</v>
      </c>
      <c r="F923" s="20" t="s">
        <v>1232</v>
      </c>
      <c r="G923" s="42" t="s">
        <v>227</v>
      </c>
      <c r="H923" s="20" t="s">
        <v>67</v>
      </c>
      <c r="I923" s="9" t="s">
        <v>392</v>
      </c>
      <c r="J923" s="43">
        <v>2026.0</v>
      </c>
      <c r="K923" s="42" t="s">
        <v>87</v>
      </c>
    </row>
    <row r="924" ht="12.75" customHeight="1">
      <c r="A924" s="42" t="s">
        <v>1238</v>
      </c>
      <c r="B924" s="21">
        <v>46214.0</v>
      </c>
      <c r="C924" s="20" t="s">
        <v>177</v>
      </c>
      <c r="D924" s="21">
        <v>46208.0</v>
      </c>
      <c r="E924" s="21">
        <v>46214.0</v>
      </c>
      <c r="F924" s="20" t="s">
        <v>1232</v>
      </c>
      <c r="G924" s="42" t="s">
        <v>227</v>
      </c>
      <c r="H924" s="20" t="s">
        <v>67</v>
      </c>
      <c r="I924" s="9" t="s">
        <v>392</v>
      </c>
      <c r="J924" s="43">
        <v>2026.0</v>
      </c>
      <c r="K924" s="42" t="s">
        <v>87</v>
      </c>
    </row>
    <row r="925" ht="12.75" customHeight="1">
      <c r="A925" s="42" t="s">
        <v>1239</v>
      </c>
      <c r="B925" s="21">
        <v>46215.0</v>
      </c>
      <c r="C925" s="20" t="s">
        <v>179</v>
      </c>
      <c r="D925" s="21">
        <v>46215.0</v>
      </c>
      <c r="E925" s="21">
        <v>46221.0</v>
      </c>
      <c r="F925" s="20" t="s">
        <v>1240</v>
      </c>
      <c r="G925" s="42" t="s">
        <v>227</v>
      </c>
      <c r="H925" s="20" t="s">
        <v>67</v>
      </c>
      <c r="I925" s="9" t="s">
        <v>392</v>
      </c>
      <c r="J925" s="43">
        <v>2026.0</v>
      </c>
      <c r="K925" s="42" t="s">
        <v>88</v>
      </c>
    </row>
    <row r="926" ht="12.75" customHeight="1">
      <c r="A926" s="42" t="s">
        <v>1241</v>
      </c>
      <c r="B926" s="21">
        <v>46216.0</v>
      </c>
      <c r="C926" s="20" t="s">
        <v>163</v>
      </c>
      <c r="D926" s="21">
        <v>46215.0</v>
      </c>
      <c r="E926" s="21">
        <v>46221.0</v>
      </c>
      <c r="F926" s="20" t="s">
        <v>1240</v>
      </c>
      <c r="G926" s="42" t="s">
        <v>227</v>
      </c>
      <c r="H926" s="20" t="s">
        <v>67</v>
      </c>
      <c r="I926" s="9" t="s">
        <v>392</v>
      </c>
      <c r="J926" s="43">
        <v>2026.0</v>
      </c>
      <c r="K926" s="42" t="s">
        <v>88</v>
      </c>
    </row>
    <row r="927" ht="12.75" customHeight="1">
      <c r="A927" s="42" t="s">
        <v>1242</v>
      </c>
      <c r="B927" s="21">
        <v>46217.0</v>
      </c>
      <c r="C927" s="20" t="s">
        <v>169</v>
      </c>
      <c r="D927" s="21">
        <v>46215.0</v>
      </c>
      <c r="E927" s="21">
        <v>46221.0</v>
      </c>
      <c r="F927" s="20" t="s">
        <v>1240</v>
      </c>
      <c r="G927" s="42" t="s">
        <v>227</v>
      </c>
      <c r="H927" s="20" t="s">
        <v>67</v>
      </c>
      <c r="I927" s="9" t="s">
        <v>392</v>
      </c>
      <c r="J927" s="43">
        <v>2026.0</v>
      </c>
      <c r="K927" s="42" t="s">
        <v>88</v>
      </c>
    </row>
    <row r="928" ht="12.75" customHeight="1">
      <c r="A928" s="42" t="s">
        <v>1243</v>
      </c>
      <c r="B928" s="21">
        <v>46218.0</v>
      </c>
      <c r="C928" s="20" t="s">
        <v>171</v>
      </c>
      <c r="D928" s="21">
        <v>46215.0</v>
      </c>
      <c r="E928" s="21">
        <v>46221.0</v>
      </c>
      <c r="F928" s="20" t="s">
        <v>1240</v>
      </c>
      <c r="G928" s="42" t="s">
        <v>227</v>
      </c>
      <c r="H928" s="20" t="s">
        <v>67</v>
      </c>
      <c r="I928" s="9" t="s">
        <v>392</v>
      </c>
      <c r="J928" s="43">
        <v>2026.0</v>
      </c>
      <c r="K928" s="42" t="s">
        <v>88</v>
      </c>
    </row>
    <row r="929" ht="12.75" customHeight="1">
      <c r="A929" s="42" t="s">
        <v>1244</v>
      </c>
      <c r="B929" s="21">
        <v>46219.0</v>
      </c>
      <c r="C929" s="20" t="s">
        <v>173</v>
      </c>
      <c r="D929" s="21">
        <v>46215.0</v>
      </c>
      <c r="E929" s="21">
        <v>46221.0</v>
      </c>
      <c r="F929" s="20" t="s">
        <v>1240</v>
      </c>
      <c r="G929" s="42" t="s">
        <v>227</v>
      </c>
      <c r="H929" s="20" t="s">
        <v>67</v>
      </c>
      <c r="I929" s="9" t="s">
        <v>392</v>
      </c>
      <c r="J929" s="43">
        <v>2026.0</v>
      </c>
      <c r="K929" s="42" t="s">
        <v>88</v>
      </c>
    </row>
    <row r="930" ht="12.75" customHeight="1">
      <c r="A930" s="42" t="s">
        <v>1245</v>
      </c>
      <c r="B930" s="21">
        <v>46220.0</v>
      </c>
      <c r="C930" s="20" t="s">
        <v>175</v>
      </c>
      <c r="D930" s="21">
        <v>46215.0</v>
      </c>
      <c r="E930" s="21">
        <v>46221.0</v>
      </c>
      <c r="F930" s="20" t="s">
        <v>1240</v>
      </c>
      <c r="G930" s="42" t="s">
        <v>227</v>
      </c>
      <c r="H930" s="20" t="s">
        <v>67</v>
      </c>
      <c r="I930" s="9" t="s">
        <v>392</v>
      </c>
      <c r="J930" s="43">
        <v>2026.0</v>
      </c>
      <c r="K930" s="42" t="s">
        <v>88</v>
      </c>
    </row>
    <row r="931" ht="12.75" customHeight="1">
      <c r="A931" s="42" t="s">
        <v>1246</v>
      </c>
      <c r="B931" s="21">
        <v>46221.0</v>
      </c>
      <c r="C931" s="20" t="s">
        <v>177</v>
      </c>
      <c r="D931" s="21">
        <v>46215.0</v>
      </c>
      <c r="E931" s="21">
        <v>46221.0</v>
      </c>
      <c r="F931" s="20" t="s">
        <v>1240</v>
      </c>
      <c r="G931" s="42" t="s">
        <v>227</v>
      </c>
      <c r="H931" s="20" t="s">
        <v>67</v>
      </c>
      <c r="I931" s="9" t="s">
        <v>392</v>
      </c>
      <c r="J931" s="43">
        <v>2026.0</v>
      </c>
      <c r="K931" s="42" t="s">
        <v>88</v>
      </c>
    </row>
    <row r="932" ht="12.75" customHeight="1">
      <c r="A932" s="42" t="s">
        <v>1247</v>
      </c>
      <c r="B932" s="21">
        <v>46222.0</v>
      </c>
      <c r="C932" s="20" t="s">
        <v>179</v>
      </c>
      <c r="D932" s="21">
        <v>46222.0</v>
      </c>
      <c r="E932" s="21">
        <v>46228.0</v>
      </c>
      <c r="F932" s="20" t="s">
        <v>1248</v>
      </c>
      <c r="G932" s="42" t="s">
        <v>227</v>
      </c>
      <c r="H932" s="20" t="s">
        <v>67</v>
      </c>
      <c r="I932" s="9" t="s">
        <v>392</v>
      </c>
      <c r="J932" s="43">
        <v>2026.0</v>
      </c>
      <c r="K932" s="42" t="s">
        <v>89</v>
      </c>
    </row>
    <row r="933" ht="12.75" customHeight="1">
      <c r="A933" s="42" t="s">
        <v>1249</v>
      </c>
      <c r="B933" s="21">
        <v>46223.0</v>
      </c>
      <c r="C933" s="20" t="s">
        <v>163</v>
      </c>
      <c r="D933" s="21">
        <v>46222.0</v>
      </c>
      <c r="E933" s="21">
        <v>46228.0</v>
      </c>
      <c r="F933" s="20" t="s">
        <v>1248</v>
      </c>
      <c r="G933" s="42" t="s">
        <v>227</v>
      </c>
      <c r="H933" s="20" t="s">
        <v>67</v>
      </c>
      <c r="I933" s="9" t="s">
        <v>392</v>
      </c>
      <c r="J933" s="43">
        <v>2026.0</v>
      </c>
      <c r="K933" s="42" t="s">
        <v>89</v>
      </c>
    </row>
    <row r="934" ht="12.75" customHeight="1">
      <c r="A934" s="42" t="s">
        <v>1250</v>
      </c>
      <c r="B934" s="21">
        <v>46224.0</v>
      </c>
      <c r="C934" s="20" t="s">
        <v>169</v>
      </c>
      <c r="D934" s="21">
        <v>46222.0</v>
      </c>
      <c r="E934" s="21">
        <v>46228.0</v>
      </c>
      <c r="F934" s="20" t="s">
        <v>1248</v>
      </c>
      <c r="G934" s="42" t="s">
        <v>227</v>
      </c>
      <c r="H934" s="20" t="s">
        <v>67</v>
      </c>
      <c r="I934" s="9" t="s">
        <v>392</v>
      </c>
      <c r="J934" s="43">
        <v>2026.0</v>
      </c>
      <c r="K934" s="42" t="s">
        <v>89</v>
      </c>
    </row>
    <row r="935" ht="12.75" customHeight="1">
      <c r="A935" s="42" t="s">
        <v>1251</v>
      </c>
      <c r="B935" s="21">
        <v>46225.0</v>
      </c>
      <c r="C935" s="20" t="s">
        <v>171</v>
      </c>
      <c r="D935" s="21">
        <v>46222.0</v>
      </c>
      <c r="E935" s="21">
        <v>46228.0</v>
      </c>
      <c r="F935" s="20" t="s">
        <v>1248</v>
      </c>
      <c r="G935" s="42" t="s">
        <v>227</v>
      </c>
      <c r="H935" s="20" t="s">
        <v>67</v>
      </c>
      <c r="I935" s="9" t="s">
        <v>392</v>
      </c>
      <c r="J935" s="43">
        <v>2026.0</v>
      </c>
      <c r="K935" s="42" t="s">
        <v>89</v>
      </c>
    </row>
    <row r="936" ht="12.75" customHeight="1">
      <c r="A936" s="42" t="s">
        <v>1252</v>
      </c>
      <c r="B936" s="21">
        <v>46226.0</v>
      </c>
      <c r="C936" s="20" t="s">
        <v>173</v>
      </c>
      <c r="D936" s="21">
        <v>46222.0</v>
      </c>
      <c r="E936" s="21">
        <v>46228.0</v>
      </c>
      <c r="F936" s="20" t="s">
        <v>1248</v>
      </c>
      <c r="G936" s="42" t="s">
        <v>227</v>
      </c>
      <c r="H936" s="20" t="s">
        <v>67</v>
      </c>
      <c r="I936" s="9" t="s">
        <v>392</v>
      </c>
      <c r="J936" s="43">
        <v>2026.0</v>
      </c>
      <c r="K936" s="42" t="s">
        <v>89</v>
      </c>
    </row>
    <row r="937" ht="12.75" customHeight="1">
      <c r="A937" s="42" t="s">
        <v>1253</v>
      </c>
      <c r="B937" s="21">
        <v>46227.0</v>
      </c>
      <c r="C937" s="20" t="s">
        <v>175</v>
      </c>
      <c r="D937" s="21">
        <v>46222.0</v>
      </c>
      <c r="E937" s="21">
        <v>46228.0</v>
      </c>
      <c r="F937" s="20" t="s">
        <v>1248</v>
      </c>
      <c r="G937" s="42" t="s">
        <v>227</v>
      </c>
      <c r="H937" s="20" t="s">
        <v>67</v>
      </c>
      <c r="I937" s="9" t="s">
        <v>392</v>
      </c>
      <c r="J937" s="43">
        <v>2026.0</v>
      </c>
      <c r="K937" s="42" t="s">
        <v>89</v>
      </c>
    </row>
    <row r="938" ht="12.75" customHeight="1">
      <c r="A938" s="42" t="s">
        <v>1254</v>
      </c>
      <c r="B938" s="21">
        <v>46228.0</v>
      </c>
      <c r="C938" s="20" t="s">
        <v>177</v>
      </c>
      <c r="D938" s="21">
        <v>46222.0</v>
      </c>
      <c r="E938" s="21">
        <v>46228.0</v>
      </c>
      <c r="F938" s="20" t="s">
        <v>1248</v>
      </c>
      <c r="G938" s="42" t="s">
        <v>227</v>
      </c>
      <c r="H938" s="20" t="s">
        <v>67</v>
      </c>
      <c r="I938" s="9" t="s">
        <v>392</v>
      </c>
      <c r="J938" s="43">
        <v>2026.0</v>
      </c>
      <c r="K938" s="42" t="s">
        <v>89</v>
      </c>
    </row>
    <row r="939" ht="12.75" customHeight="1">
      <c r="A939" s="42" t="s">
        <v>1255</v>
      </c>
      <c r="B939" s="21">
        <v>46229.0</v>
      </c>
      <c r="C939" s="20" t="s">
        <v>179</v>
      </c>
      <c r="D939" s="21">
        <v>46229.0</v>
      </c>
      <c r="E939" s="21">
        <v>46235.0</v>
      </c>
      <c r="F939" s="20" t="s">
        <v>1256</v>
      </c>
      <c r="G939" s="42" t="s">
        <v>227</v>
      </c>
      <c r="H939" s="20" t="s">
        <v>67</v>
      </c>
      <c r="I939" s="9" t="s">
        <v>392</v>
      </c>
      <c r="J939" s="43">
        <v>2026.0</v>
      </c>
      <c r="K939" s="42" t="s">
        <v>90</v>
      </c>
    </row>
    <row r="940" ht="12.75" customHeight="1">
      <c r="A940" s="42" t="s">
        <v>1257</v>
      </c>
      <c r="B940" s="21">
        <v>46230.0</v>
      </c>
      <c r="C940" s="20" t="s">
        <v>163</v>
      </c>
      <c r="D940" s="21">
        <v>46229.0</v>
      </c>
      <c r="E940" s="21">
        <v>46235.0</v>
      </c>
      <c r="F940" s="20" t="s">
        <v>1256</v>
      </c>
      <c r="G940" s="42" t="s">
        <v>227</v>
      </c>
      <c r="H940" s="20" t="s">
        <v>67</v>
      </c>
      <c r="I940" s="9" t="s">
        <v>392</v>
      </c>
      <c r="J940" s="43">
        <v>2026.0</v>
      </c>
      <c r="K940" s="42" t="s">
        <v>90</v>
      </c>
    </row>
    <row r="941" ht="12.75" customHeight="1">
      <c r="A941" s="42" t="s">
        <v>1258</v>
      </c>
      <c r="B941" s="21">
        <v>46231.0</v>
      </c>
      <c r="C941" s="20" t="s">
        <v>169</v>
      </c>
      <c r="D941" s="21">
        <v>46229.0</v>
      </c>
      <c r="E941" s="21">
        <v>46235.0</v>
      </c>
      <c r="F941" s="20" t="s">
        <v>1256</v>
      </c>
      <c r="G941" s="42" t="s">
        <v>227</v>
      </c>
      <c r="H941" s="20" t="s">
        <v>67</v>
      </c>
      <c r="I941" s="9" t="s">
        <v>392</v>
      </c>
      <c r="J941" s="43">
        <v>2026.0</v>
      </c>
      <c r="K941" s="42" t="s">
        <v>90</v>
      </c>
    </row>
    <row r="942" ht="12.75" customHeight="1">
      <c r="A942" s="42" t="s">
        <v>1259</v>
      </c>
      <c r="B942" s="21">
        <v>46232.0</v>
      </c>
      <c r="C942" s="20" t="s">
        <v>171</v>
      </c>
      <c r="D942" s="21">
        <v>46229.0</v>
      </c>
      <c r="E942" s="21">
        <v>46235.0</v>
      </c>
      <c r="F942" s="20" t="s">
        <v>1256</v>
      </c>
      <c r="G942" s="42" t="s">
        <v>227</v>
      </c>
      <c r="H942" s="20" t="s">
        <v>67</v>
      </c>
      <c r="I942" s="9" t="s">
        <v>392</v>
      </c>
      <c r="J942" s="43">
        <v>2026.0</v>
      </c>
      <c r="K942" s="42" t="s">
        <v>90</v>
      </c>
    </row>
    <row r="943" ht="12.75" customHeight="1">
      <c r="A943" s="42" t="s">
        <v>1260</v>
      </c>
      <c r="B943" s="21">
        <v>46233.0</v>
      </c>
      <c r="C943" s="20" t="s">
        <v>173</v>
      </c>
      <c r="D943" s="21">
        <v>46229.0</v>
      </c>
      <c r="E943" s="21">
        <v>46235.0</v>
      </c>
      <c r="F943" s="20" t="s">
        <v>1256</v>
      </c>
      <c r="G943" s="42" t="s">
        <v>227</v>
      </c>
      <c r="H943" s="20" t="s">
        <v>67</v>
      </c>
      <c r="I943" s="9" t="s">
        <v>392</v>
      </c>
      <c r="J943" s="43">
        <v>2026.0</v>
      </c>
      <c r="K943" s="42" t="s">
        <v>90</v>
      </c>
    </row>
    <row r="944" ht="12.75" customHeight="1">
      <c r="A944" s="42" t="s">
        <v>1261</v>
      </c>
      <c r="B944" s="21">
        <v>46234.0</v>
      </c>
      <c r="C944" s="20" t="s">
        <v>175</v>
      </c>
      <c r="D944" s="21">
        <v>46229.0</v>
      </c>
      <c r="E944" s="21">
        <v>46235.0</v>
      </c>
      <c r="F944" s="20" t="s">
        <v>1256</v>
      </c>
      <c r="G944" s="42" t="s">
        <v>227</v>
      </c>
      <c r="H944" s="20" t="s">
        <v>67</v>
      </c>
      <c r="I944" s="9" t="s">
        <v>392</v>
      </c>
      <c r="J944" s="43">
        <v>2026.0</v>
      </c>
      <c r="K944" s="42" t="s">
        <v>90</v>
      </c>
    </row>
    <row r="945" ht="12.75" customHeight="1">
      <c r="A945" s="42" t="s">
        <v>1262</v>
      </c>
      <c r="B945" s="21">
        <v>46235.0</v>
      </c>
      <c r="C945" s="20" t="s">
        <v>177</v>
      </c>
      <c r="D945" s="21">
        <v>46229.0</v>
      </c>
      <c r="E945" s="21">
        <v>46235.0</v>
      </c>
      <c r="F945" s="20" t="s">
        <v>1256</v>
      </c>
      <c r="G945" s="42" t="s">
        <v>236</v>
      </c>
      <c r="H945" s="20" t="s">
        <v>65</v>
      </c>
      <c r="I945" s="9" t="s">
        <v>392</v>
      </c>
      <c r="J945" s="43">
        <v>2026.0</v>
      </c>
      <c r="K945" s="42" t="s">
        <v>90</v>
      </c>
    </row>
    <row r="946" ht="12.75" customHeight="1">
      <c r="A946" s="42" t="s">
        <v>1263</v>
      </c>
      <c r="B946" s="21">
        <v>46236.0</v>
      </c>
      <c r="C946" s="20" t="s">
        <v>179</v>
      </c>
      <c r="D946" s="21">
        <v>46236.0</v>
      </c>
      <c r="E946" s="21">
        <v>46242.0</v>
      </c>
      <c r="F946" s="20" t="s">
        <v>1264</v>
      </c>
      <c r="G946" s="42" t="s">
        <v>236</v>
      </c>
      <c r="H946" s="20" t="s">
        <v>65</v>
      </c>
      <c r="I946" s="9" t="s">
        <v>392</v>
      </c>
      <c r="J946" s="43">
        <v>2026.0</v>
      </c>
      <c r="K946" s="42" t="s">
        <v>78</v>
      </c>
    </row>
    <row r="947" ht="12.75" customHeight="1">
      <c r="A947" s="42" t="s">
        <v>1265</v>
      </c>
      <c r="B947" s="21">
        <v>46237.0</v>
      </c>
      <c r="C947" s="20" t="s">
        <v>163</v>
      </c>
      <c r="D947" s="21">
        <v>46236.0</v>
      </c>
      <c r="E947" s="21">
        <v>46242.0</v>
      </c>
      <c r="F947" s="20" t="s">
        <v>1264</v>
      </c>
      <c r="G947" s="42" t="s">
        <v>236</v>
      </c>
      <c r="H947" s="20" t="s">
        <v>65</v>
      </c>
      <c r="I947" s="9" t="s">
        <v>392</v>
      </c>
      <c r="J947" s="43">
        <v>2026.0</v>
      </c>
      <c r="K947" s="42" t="s">
        <v>78</v>
      </c>
    </row>
    <row r="948" ht="12.75" customHeight="1">
      <c r="A948" s="42" t="s">
        <v>1266</v>
      </c>
      <c r="B948" s="21">
        <v>46238.0</v>
      </c>
      <c r="C948" s="20" t="s">
        <v>169</v>
      </c>
      <c r="D948" s="21">
        <v>46236.0</v>
      </c>
      <c r="E948" s="21">
        <v>46242.0</v>
      </c>
      <c r="F948" s="20" t="s">
        <v>1264</v>
      </c>
      <c r="G948" s="42" t="s">
        <v>236</v>
      </c>
      <c r="H948" s="20" t="s">
        <v>65</v>
      </c>
      <c r="I948" s="9" t="s">
        <v>392</v>
      </c>
      <c r="J948" s="43">
        <v>2026.0</v>
      </c>
      <c r="K948" s="42" t="s">
        <v>78</v>
      </c>
    </row>
    <row r="949" ht="12.75" customHeight="1">
      <c r="A949" s="42" t="s">
        <v>1267</v>
      </c>
      <c r="B949" s="21">
        <v>46239.0</v>
      </c>
      <c r="C949" s="20" t="s">
        <v>171</v>
      </c>
      <c r="D949" s="21">
        <v>46236.0</v>
      </c>
      <c r="E949" s="21">
        <v>46242.0</v>
      </c>
      <c r="F949" s="20" t="s">
        <v>1264</v>
      </c>
      <c r="G949" s="42" t="s">
        <v>236</v>
      </c>
      <c r="H949" s="20" t="s">
        <v>65</v>
      </c>
      <c r="I949" s="9" t="s">
        <v>392</v>
      </c>
      <c r="J949" s="43">
        <v>2026.0</v>
      </c>
      <c r="K949" s="42" t="s">
        <v>78</v>
      </c>
    </row>
    <row r="950" ht="12.75" customHeight="1">
      <c r="A950" s="42" t="s">
        <v>1268</v>
      </c>
      <c r="B950" s="21">
        <v>46240.0</v>
      </c>
      <c r="C950" s="20" t="s">
        <v>173</v>
      </c>
      <c r="D950" s="21">
        <v>46236.0</v>
      </c>
      <c r="E950" s="21">
        <v>46242.0</v>
      </c>
      <c r="F950" s="20" t="s">
        <v>1264</v>
      </c>
      <c r="G950" s="42" t="s">
        <v>236</v>
      </c>
      <c r="H950" s="20" t="s">
        <v>65</v>
      </c>
      <c r="I950" s="9" t="s">
        <v>392</v>
      </c>
      <c r="J950" s="43">
        <v>2026.0</v>
      </c>
      <c r="K950" s="42" t="s">
        <v>78</v>
      </c>
    </row>
    <row r="951" ht="12.75" customHeight="1">
      <c r="A951" s="42" t="s">
        <v>1269</v>
      </c>
      <c r="B951" s="21">
        <v>46241.0</v>
      </c>
      <c r="C951" s="20" t="s">
        <v>175</v>
      </c>
      <c r="D951" s="21">
        <v>46236.0</v>
      </c>
      <c r="E951" s="21">
        <v>46242.0</v>
      </c>
      <c r="F951" s="20" t="s">
        <v>1264</v>
      </c>
      <c r="G951" s="42" t="s">
        <v>236</v>
      </c>
      <c r="H951" s="20" t="s">
        <v>65</v>
      </c>
      <c r="I951" s="9" t="s">
        <v>392</v>
      </c>
      <c r="J951" s="43">
        <v>2026.0</v>
      </c>
      <c r="K951" s="42" t="s">
        <v>78</v>
      </c>
    </row>
    <row r="952" ht="12.75" customHeight="1">
      <c r="A952" s="42" t="s">
        <v>1270</v>
      </c>
      <c r="B952" s="21">
        <v>46242.0</v>
      </c>
      <c r="C952" s="20" t="s">
        <v>177</v>
      </c>
      <c r="D952" s="21">
        <v>46236.0</v>
      </c>
      <c r="E952" s="21">
        <v>46242.0</v>
      </c>
      <c r="F952" s="20" t="s">
        <v>1264</v>
      </c>
      <c r="G952" s="42" t="s">
        <v>236</v>
      </c>
      <c r="H952" s="20" t="s">
        <v>65</v>
      </c>
      <c r="I952" s="9" t="s">
        <v>392</v>
      </c>
      <c r="J952" s="43">
        <v>2026.0</v>
      </c>
      <c r="K952" s="42" t="s">
        <v>78</v>
      </c>
    </row>
    <row r="953" ht="12.75" customHeight="1">
      <c r="A953" s="42" t="s">
        <v>1271</v>
      </c>
      <c r="B953" s="21">
        <v>46243.0</v>
      </c>
      <c r="C953" s="20" t="s">
        <v>179</v>
      </c>
      <c r="D953" s="21">
        <v>46243.0</v>
      </c>
      <c r="E953" s="21">
        <v>46249.0</v>
      </c>
      <c r="F953" s="20" t="s">
        <v>1272</v>
      </c>
      <c r="G953" s="42" t="s">
        <v>236</v>
      </c>
      <c r="H953" s="20" t="s">
        <v>65</v>
      </c>
      <c r="I953" s="9" t="s">
        <v>392</v>
      </c>
      <c r="J953" s="43">
        <v>2026.0</v>
      </c>
      <c r="K953" s="42" t="s">
        <v>79</v>
      </c>
    </row>
    <row r="954" ht="12.75" customHeight="1">
      <c r="A954" s="42" t="s">
        <v>1273</v>
      </c>
      <c r="B954" s="21">
        <v>46244.0</v>
      </c>
      <c r="C954" s="20" t="s">
        <v>163</v>
      </c>
      <c r="D954" s="21">
        <v>46243.0</v>
      </c>
      <c r="E954" s="21">
        <v>46249.0</v>
      </c>
      <c r="F954" s="20" t="s">
        <v>1272</v>
      </c>
      <c r="G954" s="42" t="s">
        <v>236</v>
      </c>
      <c r="H954" s="20" t="s">
        <v>65</v>
      </c>
      <c r="I954" s="9" t="s">
        <v>392</v>
      </c>
      <c r="J954" s="43">
        <v>2026.0</v>
      </c>
      <c r="K954" s="42" t="s">
        <v>79</v>
      </c>
    </row>
    <row r="955" ht="12.75" customHeight="1">
      <c r="A955" s="42" t="s">
        <v>1274</v>
      </c>
      <c r="B955" s="21">
        <v>46245.0</v>
      </c>
      <c r="C955" s="20" t="s">
        <v>169</v>
      </c>
      <c r="D955" s="21">
        <v>46243.0</v>
      </c>
      <c r="E955" s="21">
        <v>46249.0</v>
      </c>
      <c r="F955" s="20" t="s">
        <v>1272</v>
      </c>
      <c r="G955" s="42" t="s">
        <v>236</v>
      </c>
      <c r="H955" s="20" t="s">
        <v>65</v>
      </c>
      <c r="I955" s="9" t="s">
        <v>392</v>
      </c>
      <c r="J955" s="43">
        <v>2026.0</v>
      </c>
      <c r="K955" s="42" t="s">
        <v>79</v>
      </c>
    </row>
    <row r="956" ht="12.75" customHeight="1">
      <c r="A956" s="42" t="s">
        <v>1275</v>
      </c>
      <c r="B956" s="21">
        <v>46246.0</v>
      </c>
      <c r="C956" s="20" t="s">
        <v>171</v>
      </c>
      <c r="D956" s="21">
        <v>46243.0</v>
      </c>
      <c r="E956" s="21">
        <v>46249.0</v>
      </c>
      <c r="F956" s="20" t="s">
        <v>1272</v>
      </c>
      <c r="G956" s="42" t="s">
        <v>236</v>
      </c>
      <c r="H956" s="20" t="s">
        <v>65</v>
      </c>
      <c r="I956" s="9" t="s">
        <v>392</v>
      </c>
      <c r="J956" s="43">
        <v>2026.0</v>
      </c>
      <c r="K956" s="42" t="s">
        <v>79</v>
      </c>
    </row>
    <row r="957" ht="12.75" customHeight="1">
      <c r="A957" s="42" t="s">
        <v>1276</v>
      </c>
      <c r="B957" s="21">
        <v>46247.0</v>
      </c>
      <c r="C957" s="20" t="s">
        <v>173</v>
      </c>
      <c r="D957" s="21">
        <v>46243.0</v>
      </c>
      <c r="E957" s="21">
        <v>46249.0</v>
      </c>
      <c r="F957" s="20" t="s">
        <v>1272</v>
      </c>
      <c r="G957" s="42" t="s">
        <v>236</v>
      </c>
      <c r="H957" s="20" t="s">
        <v>65</v>
      </c>
      <c r="I957" s="9" t="s">
        <v>392</v>
      </c>
      <c r="J957" s="43">
        <v>2026.0</v>
      </c>
      <c r="K957" s="42" t="s">
        <v>79</v>
      </c>
    </row>
    <row r="958" ht="12.75" customHeight="1">
      <c r="A958" s="42" t="s">
        <v>1277</v>
      </c>
      <c r="B958" s="21">
        <v>46248.0</v>
      </c>
      <c r="C958" s="20" t="s">
        <v>175</v>
      </c>
      <c r="D958" s="21">
        <v>46243.0</v>
      </c>
      <c r="E958" s="21">
        <v>46249.0</v>
      </c>
      <c r="F958" s="20" t="s">
        <v>1272</v>
      </c>
      <c r="G958" s="42" t="s">
        <v>236</v>
      </c>
      <c r="H958" s="20" t="s">
        <v>65</v>
      </c>
      <c r="I958" s="9" t="s">
        <v>392</v>
      </c>
      <c r="J958" s="43">
        <v>2026.0</v>
      </c>
      <c r="K958" s="42" t="s">
        <v>79</v>
      </c>
    </row>
    <row r="959" ht="12.75" customHeight="1">
      <c r="A959" s="42" t="s">
        <v>1278</v>
      </c>
      <c r="B959" s="21">
        <v>46249.0</v>
      </c>
      <c r="C959" s="20" t="s">
        <v>177</v>
      </c>
      <c r="D959" s="21">
        <v>46243.0</v>
      </c>
      <c r="E959" s="21">
        <v>46249.0</v>
      </c>
      <c r="F959" s="20" t="s">
        <v>1272</v>
      </c>
      <c r="G959" s="42" t="s">
        <v>236</v>
      </c>
      <c r="H959" s="20" t="s">
        <v>65</v>
      </c>
      <c r="I959" s="9" t="s">
        <v>392</v>
      </c>
      <c r="J959" s="43">
        <v>2026.0</v>
      </c>
      <c r="K959" s="42" t="s">
        <v>79</v>
      </c>
    </row>
    <row r="960" ht="12.75" customHeight="1">
      <c r="A960" s="42" t="s">
        <v>1279</v>
      </c>
      <c r="B960" s="21">
        <v>46250.0</v>
      </c>
      <c r="C960" s="20" t="s">
        <v>179</v>
      </c>
      <c r="D960" s="21">
        <v>46250.0</v>
      </c>
      <c r="E960" s="21">
        <v>46256.0</v>
      </c>
      <c r="F960" s="20" t="s">
        <v>1280</v>
      </c>
      <c r="G960" s="42" t="s">
        <v>236</v>
      </c>
      <c r="H960" s="20" t="s">
        <v>65</v>
      </c>
      <c r="I960" s="9" t="s">
        <v>392</v>
      </c>
      <c r="J960" s="43">
        <v>2026.0</v>
      </c>
      <c r="K960" s="42" t="s">
        <v>80</v>
      </c>
    </row>
    <row r="961" ht="12.75" customHeight="1">
      <c r="A961" s="42" t="s">
        <v>1281</v>
      </c>
      <c r="B961" s="21">
        <v>46251.0</v>
      </c>
      <c r="C961" s="20" t="s">
        <v>163</v>
      </c>
      <c r="D961" s="21">
        <v>46250.0</v>
      </c>
      <c r="E961" s="21">
        <v>46256.0</v>
      </c>
      <c r="F961" s="20" t="s">
        <v>1280</v>
      </c>
      <c r="G961" s="42" t="s">
        <v>236</v>
      </c>
      <c r="H961" s="20" t="s">
        <v>65</v>
      </c>
      <c r="I961" s="9" t="s">
        <v>392</v>
      </c>
      <c r="J961" s="43">
        <v>2026.0</v>
      </c>
      <c r="K961" s="42" t="s">
        <v>80</v>
      </c>
    </row>
    <row r="962" ht="12.75" customHeight="1">
      <c r="A962" s="42" t="s">
        <v>1282</v>
      </c>
      <c r="B962" s="21">
        <v>46252.0</v>
      </c>
      <c r="C962" s="20" t="s">
        <v>169</v>
      </c>
      <c r="D962" s="21">
        <v>46250.0</v>
      </c>
      <c r="E962" s="21">
        <v>46256.0</v>
      </c>
      <c r="F962" s="20" t="s">
        <v>1280</v>
      </c>
      <c r="G962" s="42" t="s">
        <v>236</v>
      </c>
      <c r="H962" s="20" t="s">
        <v>65</v>
      </c>
      <c r="I962" s="9" t="s">
        <v>392</v>
      </c>
      <c r="J962" s="43">
        <v>2026.0</v>
      </c>
      <c r="K962" s="42" t="s">
        <v>80</v>
      </c>
    </row>
    <row r="963" ht="12.75" customHeight="1">
      <c r="A963" s="42" t="s">
        <v>1283</v>
      </c>
      <c r="B963" s="21">
        <v>46253.0</v>
      </c>
      <c r="C963" s="20" t="s">
        <v>171</v>
      </c>
      <c r="D963" s="21">
        <v>46250.0</v>
      </c>
      <c r="E963" s="21">
        <v>46256.0</v>
      </c>
      <c r="F963" s="20" t="s">
        <v>1280</v>
      </c>
      <c r="G963" s="42" t="s">
        <v>236</v>
      </c>
      <c r="H963" s="20" t="s">
        <v>65</v>
      </c>
      <c r="I963" s="9" t="s">
        <v>392</v>
      </c>
      <c r="J963" s="43">
        <v>2026.0</v>
      </c>
      <c r="K963" s="42" t="s">
        <v>80</v>
      </c>
    </row>
    <row r="964" ht="12.75" customHeight="1">
      <c r="A964" s="42" t="s">
        <v>1284</v>
      </c>
      <c r="B964" s="21">
        <v>46254.0</v>
      </c>
      <c r="C964" s="20" t="s">
        <v>173</v>
      </c>
      <c r="D964" s="21">
        <v>46250.0</v>
      </c>
      <c r="E964" s="21">
        <v>46256.0</v>
      </c>
      <c r="F964" s="20" t="s">
        <v>1280</v>
      </c>
      <c r="G964" s="42" t="s">
        <v>236</v>
      </c>
      <c r="H964" s="20" t="s">
        <v>65</v>
      </c>
      <c r="I964" s="9" t="s">
        <v>392</v>
      </c>
      <c r="J964" s="43">
        <v>2026.0</v>
      </c>
      <c r="K964" s="42" t="s">
        <v>80</v>
      </c>
    </row>
    <row r="965" ht="12.75" customHeight="1">
      <c r="A965" s="42" t="s">
        <v>1285</v>
      </c>
      <c r="B965" s="21">
        <v>46255.0</v>
      </c>
      <c r="C965" s="20" t="s">
        <v>175</v>
      </c>
      <c r="D965" s="21">
        <v>46250.0</v>
      </c>
      <c r="E965" s="21">
        <v>46256.0</v>
      </c>
      <c r="F965" s="20" t="s">
        <v>1280</v>
      </c>
      <c r="G965" s="42" t="s">
        <v>236</v>
      </c>
      <c r="H965" s="20" t="s">
        <v>65</v>
      </c>
      <c r="I965" s="9" t="s">
        <v>392</v>
      </c>
      <c r="J965" s="43">
        <v>2026.0</v>
      </c>
      <c r="K965" s="42" t="s">
        <v>80</v>
      </c>
    </row>
    <row r="966" ht="12.75" customHeight="1">
      <c r="A966" s="42" t="s">
        <v>1286</v>
      </c>
      <c r="B966" s="21">
        <v>46256.0</v>
      </c>
      <c r="C966" s="20" t="s">
        <v>177</v>
      </c>
      <c r="D966" s="21">
        <v>46250.0</v>
      </c>
      <c r="E966" s="21">
        <v>46256.0</v>
      </c>
      <c r="F966" s="20" t="s">
        <v>1280</v>
      </c>
      <c r="G966" s="42" t="s">
        <v>236</v>
      </c>
      <c r="H966" s="20" t="s">
        <v>65</v>
      </c>
      <c r="I966" s="9" t="s">
        <v>392</v>
      </c>
      <c r="J966" s="43">
        <v>2026.0</v>
      </c>
      <c r="K966" s="42" t="s">
        <v>80</v>
      </c>
    </row>
    <row r="967" ht="12.75" customHeight="1">
      <c r="A967" s="42" t="s">
        <v>1287</v>
      </c>
      <c r="B967" s="21">
        <v>46257.0</v>
      </c>
      <c r="C967" s="20" t="s">
        <v>179</v>
      </c>
      <c r="D967" s="21">
        <v>46257.0</v>
      </c>
      <c r="E967" s="21">
        <v>46263.0</v>
      </c>
      <c r="F967" s="20" t="s">
        <v>1288</v>
      </c>
      <c r="G967" s="42" t="s">
        <v>236</v>
      </c>
      <c r="H967" s="20" t="s">
        <v>65</v>
      </c>
      <c r="I967" s="9" t="s">
        <v>392</v>
      </c>
      <c r="J967" s="43">
        <v>2026.0</v>
      </c>
      <c r="K967" s="42" t="s">
        <v>81</v>
      </c>
    </row>
    <row r="968" ht="12.75" customHeight="1">
      <c r="A968" s="42" t="s">
        <v>1289</v>
      </c>
      <c r="B968" s="21">
        <v>46258.0</v>
      </c>
      <c r="C968" s="20" t="s">
        <v>163</v>
      </c>
      <c r="D968" s="21">
        <v>46257.0</v>
      </c>
      <c r="E968" s="21">
        <v>46263.0</v>
      </c>
      <c r="F968" s="20" t="s">
        <v>1288</v>
      </c>
      <c r="G968" s="42" t="s">
        <v>236</v>
      </c>
      <c r="H968" s="20" t="s">
        <v>65</v>
      </c>
      <c r="I968" s="9" t="s">
        <v>392</v>
      </c>
      <c r="J968" s="43">
        <v>2026.0</v>
      </c>
      <c r="K968" s="42" t="s">
        <v>81</v>
      </c>
    </row>
    <row r="969" ht="12.75" customHeight="1">
      <c r="A969" s="42" t="s">
        <v>1290</v>
      </c>
      <c r="B969" s="21">
        <v>46259.0</v>
      </c>
      <c r="C969" s="20" t="s">
        <v>169</v>
      </c>
      <c r="D969" s="21">
        <v>46257.0</v>
      </c>
      <c r="E969" s="21">
        <v>46263.0</v>
      </c>
      <c r="F969" s="20" t="s">
        <v>1288</v>
      </c>
      <c r="G969" s="42" t="s">
        <v>236</v>
      </c>
      <c r="H969" s="20" t="s">
        <v>65</v>
      </c>
      <c r="I969" s="9" t="s">
        <v>392</v>
      </c>
      <c r="J969" s="43">
        <v>2026.0</v>
      </c>
      <c r="K969" s="42" t="s">
        <v>81</v>
      </c>
    </row>
    <row r="970" ht="12.75" customHeight="1">
      <c r="A970" s="42" t="s">
        <v>1291</v>
      </c>
      <c r="B970" s="21">
        <v>46260.0</v>
      </c>
      <c r="C970" s="20" t="s">
        <v>171</v>
      </c>
      <c r="D970" s="21">
        <v>46257.0</v>
      </c>
      <c r="E970" s="21">
        <v>46263.0</v>
      </c>
      <c r="F970" s="20" t="s">
        <v>1288</v>
      </c>
      <c r="G970" s="42" t="s">
        <v>236</v>
      </c>
      <c r="H970" s="20" t="s">
        <v>65</v>
      </c>
      <c r="I970" s="9" t="s">
        <v>392</v>
      </c>
      <c r="J970" s="43">
        <v>2026.0</v>
      </c>
      <c r="K970" s="42" t="s">
        <v>81</v>
      </c>
    </row>
    <row r="971" ht="12.75" customHeight="1">
      <c r="A971" s="42" t="s">
        <v>1292</v>
      </c>
      <c r="B971" s="21">
        <v>46261.0</v>
      </c>
      <c r="C971" s="20" t="s">
        <v>173</v>
      </c>
      <c r="D971" s="21">
        <v>46257.0</v>
      </c>
      <c r="E971" s="21">
        <v>46263.0</v>
      </c>
      <c r="F971" s="20" t="s">
        <v>1288</v>
      </c>
      <c r="G971" s="42" t="s">
        <v>236</v>
      </c>
      <c r="H971" s="20" t="s">
        <v>65</v>
      </c>
      <c r="I971" s="9" t="s">
        <v>392</v>
      </c>
      <c r="J971" s="43">
        <v>2026.0</v>
      </c>
      <c r="K971" s="42" t="s">
        <v>81</v>
      </c>
    </row>
    <row r="972" ht="12.75" customHeight="1">
      <c r="A972" s="42" t="s">
        <v>1293</v>
      </c>
      <c r="B972" s="21">
        <v>46262.0</v>
      </c>
      <c r="C972" s="20" t="s">
        <v>175</v>
      </c>
      <c r="D972" s="21">
        <v>46257.0</v>
      </c>
      <c r="E972" s="21">
        <v>46263.0</v>
      </c>
      <c r="F972" s="20" t="s">
        <v>1288</v>
      </c>
      <c r="G972" s="42" t="s">
        <v>236</v>
      </c>
      <c r="H972" s="20" t="s">
        <v>65</v>
      </c>
      <c r="I972" s="9" t="s">
        <v>392</v>
      </c>
      <c r="J972" s="43">
        <v>2026.0</v>
      </c>
      <c r="K972" s="42" t="s">
        <v>81</v>
      </c>
    </row>
    <row r="973" ht="12.75" customHeight="1">
      <c r="A973" s="42" t="s">
        <v>1294</v>
      </c>
      <c r="B973" s="21">
        <v>46263.0</v>
      </c>
      <c r="C973" s="20" t="s">
        <v>177</v>
      </c>
      <c r="D973" s="21">
        <v>46257.0</v>
      </c>
      <c r="E973" s="21">
        <v>46263.0</v>
      </c>
      <c r="F973" s="20" t="s">
        <v>1288</v>
      </c>
      <c r="G973" s="42" t="s">
        <v>236</v>
      </c>
      <c r="H973" s="20" t="s">
        <v>65</v>
      </c>
      <c r="I973" s="9" t="s">
        <v>392</v>
      </c>
      <c r="J973" s="43">
        <v>2026.0</v>
      </c>
      <c r="K973" s="42" t="s">
        <v>81</v>
      </c>
    </row>
    <row r="974" ht="12.75" customHeight="1">
      <c r="A974" s="42" t="s">
        <v>1295</v>
      </c>
      <c r="B974" s="21">
        <v>46264.0</v>
      </c>
      <c r="C974" s="20" t="s">
        <v>179</v>
      </c>
      <c r="D974" s="21">
        <v>46264.0</v>
      </c>
      <c r="E974" s="21">
        <v>46270.0</v>
      </c>
      <c r="F974" s="20" t="s">
        <v>1296</v>
      </c>
      <c r="G974" s="42" t="s">
        <v>236</v>
      </c>
      <c r="H974" s="20" t="s">
        <v>65</v>
      </c>
      <c r="I974" s="9" t="s">
        <v>392</v>
      </c>
      <c r="J974" s="43">
        <v>2026.0</v>
      </c>
      <c r="K974" s="42" t="s">
        <v>82</v>
      </c>
    </row>
    <row r="975" ht="12.75" customHeight="1">
      <c r="A975" s="42" t="s">
        <v>1297</v>
      </c>
      <c r="B975" s="21">
        <v>46265.0</v>
      </c>
      <c r="C975" s="20" t="s">
        <v>163</v>
      </c>
      <c r="D975" s="21">
        <v>46264.0</v>
      </c>
      <c r="E975" s="21">
        <v>46270.0</v>
      </c>
      <c r="F975" s="20" t="s">
        <v>1296</v>
      </c>
      <c r="G975" s="42" t="s">
        <v>236</v>
      </c>
      <c r="H975" s="20" t="s">
        <v>65</v>
      </c>
      <c r="I975" s="9" t="s">
        <v>392</v>
      </c>
      <c r="J975" s="43">
        <v>2026.0</v>
      </c>
      <c r="K975" s="42" t="s">
        <v>82</v>
      </c>
    </row>
    <row r="976" ht="12.75" customHeight="1">
      <c r="A976" s="42" t="s">
        <v>1298</v>
      </c>
      <c r="B976" s="21">
        <v>46266.0</v>
      </c>
      <c r="C976" s="20" t="s">
        <v>169</v>
      </c>
      <c r="D976" s="21">
        <v>46264.0</v>
      </c>
      <c r="E976" s="21">
        <v>46270.0</v>
      </c>
      <c r="F976" s="20" t="s">
        <v>1296</v>
      </c>
      <c r="G976" s="42" t="s">
        <v>245</v>
      </c>
      <c r="H976" s="20" t="s">
        <v>73</v>
      </c>
      <c r="I976" s="9" t="s">
        <v>392</v>
      </c>
      <c r="J976" s="43">
        <v>2026.0</v>
      </c>
      <c r="K976" s="42" t="s">
        <v>82</v>
      </c>
    </row>
    <row r="977" ht="12.75" customHeight="1">
      <c r="A977" s="42" t="s">
        <v>1299</v>
      </c>
      <c r="B977" s="21">
        <v>46267.0</v>
      </c>
      <c r="C977" s="20" t="s">
        <v>171</v>
      </c>
      <c r="D977" s="21">
        <v>46264.0</v>
      </c>
      <c r="E977" s="21">
        <v>46270.0</v>
      </c>
      <c r="F977" s="20" t="s">
        <v>1296</v>
      </c>
      <c r="G977" s="42" t="s">
        <v>245</v>
      </c>
      <c r="H977" s="20" t="s">
        <v>73</v>
      </c>
      <c r="I977" s="9" t="s">
        <v>392</v>
      </c>
      <c r="J977" s="43">
        <v>2026.0</v>
      </c>
      <c r="K977" s="42" t="s">
        <v>82</v>
      </c>
    </row>
    <row r="978" ht="12.75" customHeight="1">
      <c r="A978" s="42" t="s">
        <v>1300</v>
      </c>
      <c r="B978" s="21">
        <v>46268.0</v>
      </c>
      <c r="C978" s="20" t="s">
        <v>173</v>
      </c>
      <c r="D978" s="21">
        <v>46264.0</v>
      </c>
      <c r="E978" s="21">
        <v>46270.0</v>
      </c>
      <c r="F978" s="20" t="s">
        <v>1296</v>
      </c>
      <c r="G978" s="42" t="s">
        <v>245</v>
      </c>
      <c r="H978" s="20" t="s">
        <v>73</v>
      </c>
      <c r="I978" s="9" t="s">
        <v>392</v>
      </c>
      <c r="J978" s="43">
        <v>2026.0</v>
      </c>
      <c r="K978" s="42" t="s">
        <v>82</v>
      </c>
    </row>
    <row r="979" ht="12.75" customHeight="1">
      <c r="A979" s="42" t="s">
        <v>1301</v>
      </c>
      <c r="B979" s="21">
        <v>46269.0</v>
      </c>
      <c r="C979" s="20" t="s">
        <v>175</v>
      </c>
      <c r="D979" s="21">
        <v>46264.0</v>
      </c>
      <c r="E979" s="21">
        <v>46270.0</v>
      </c>
      <c r="F979" s="20" t="s">
        <v>1296</v>
      </c>
      <c r="G979" s="42" t="s">
        <v>245</v>
      </c>
      <c r="H979" s="20" t="s">
        <v>73</v>
      </c>
      <c r="I979" s="9" t="s">
        <v>392</v>
      </c>
      <c r="J979" s="43">
        <v>2026.0</v>
      </c>
      <c r="K979" s="42" t="s">
        <v>82</v>
      </c>
    </row>
    <row r="980" ht="12.75" customHeight="1">
      <c r="A980" s="42" t="s">
        <v>1302</v>
      </c>
      <c r="B980" s="21">
        <v>46270.0</v>
      </c>
      <c r="C980" s="20" t="s">
        <v>177</v>
      </c>
      <c r="D980" s="21">
        <v>46264.0</v>
      </c>
      <c r="E980" s="21">
        <v>46270.0</v>
      </c>
      <c r="F980" s="20" t="s">
        <v>1296</v>
      </c>
      <c r="G980" s="42" t="s">
        <v>245</v>
      </c>
      <c r="H980" s="20" t="s">
        <v>73</v>
      </c>
      <c r="I980" s="9" t="s">
        <v>392</v>
      </c>
      <c r="J980" s="43">
        <v>2026.0</v>
      </c>
      <c r="K980" s="42" t="s">
        <v>82</v>
      </c>
    </row>
    <row r="981" ht="12.75" customHeight="1">
      <c r="A981" s="42" t="s">
        <v>1303</v>
      </c>
      <c r="B981" s="21">
        <v>46271.0</v>
      </c>
      <c r="C981" s="20" t="s">
        <v>179</v>
      </c>
      <c r="D981" s="21">
        <v>46271.0</v>
      </c>
      <c r="E981" s="21">
        <v>46277.0</v>
      </c>
      <c r="F981" s="20" t="s">
        <v>1304</v>
      </c>
      <c r="G981" s="42" t="s">
        <v>245</v>
      </c>
      <c r="H981" s="20" t="s">
        <v>73</v>
      </c>
      <c r="I981" s="9" t="s">
        <v>392</v>
      </c>
      <c r="J981" s="43">
        <v>2026.0</v>
      </c>
      <c r="K981" s="42" t="s">
        <v>114</v>
      </c>
    </row>
    <row r="982" ht="12.75" customHeight="1">
      <c r="A982" s="42" t="s">
        <v>1305</v>
      </c>
      <c r="B982" s="21">
        <v>46272.0</v>
      </c>
      <c r="C982" s="20" t="s">
        <v>163</v>
      </c>
      <c r="D982" s="21">
        <v>46271.0</v>
      </c>
      <c r="E982" s="21">
        <v>46277.0</v>
      </c>
      <c r="F982" s="20" t="s">
        <v>1304</v>
      </c>
      <c r="G982" s="42" t="s">
        <v>245</v>
      </c>
      <c r="H982" s="20" t="s">
        <v>73</v>
      </c>
      <c r="I982" s="9" t="s">
        <v>392</v>
      </c>
      <c r="J982" s="43">
        <v>2026.0</v>
      </c>
      <c r="K982" s="42" t="s">
        <v>114</v>
      </c>
    </row>
    <row r="983" ht="12.75" customHeight="1">
      <c r="A983" s="42" t="s">
        <v>1306</v>
      </c>
      <c r="B983" s="21">
        <v>46273.0</v>
      </c>
      <c r="C983" s="20" t="s">
        <v>169</v>
      </c>
      <c r="D983" s="21">
        <v>46271.0</v>
      </c>
      <c r="E983" s="21">
        <v>46277.0</v>
      </c>
      <c r="F983" s="20" t="s">
        <v>1304</v>
      </c>
      <c r="G983" s="42" t="s">
        <v>245</v>
      </c>
      <c r="H983" s="20" t="s">
        <v>73</v>
      </c>
      <c r="I983" s="9" t="s">
        <v>392</v>
      </c>
      <c r="J983" s="43">
        <v>2026.0</v>
      </c>
      <c r="K983" s="42" t="s">
        <v>114</v>
      </c>
    </row>
    <row r="984" ht="12.75" customHeight="1">
      <c r="A984" s="42" t="s">
        <v>1307</v>
      </c>
      <c r="B984" s="21">
        <v>46274.0</v>
      </c>
      <c r="C984" s="20" t="s">
        <v>171</v>
      </c>
      <c r="D984" s="21">
        <v>46271.0</v>
      </c>
      <c r="E984" s="21">
        <v>46277.0</v>
      </c>
      <c r="F984" s="20" t="s">
        <v>1304</v>
      </c>
      <c r="G984" s="42" t="s">
        <v>245</v>
      </c>
      <c r="H984" s="20" t="s">
        <v>73</v>
      </c>
      <c r="I984" s="9" t="s">
        <v>392</v>
      </c>
      <c r="J984" s="43">
        <v>2026.0</v>
      </c>
      <c r="K984" s="42" t="s">
        <v>114</v>
      </c>
    </row>
    <row r="985" ht="12.75" customHeight="1">
      <c r="A985" s="42" t="s">
        <v>1308</v>
      </c>
      <c r="B985" s="21">
        <v>46275.0</v>
      </c>
      <c r="C985" s="20" t="s">
        <v>173</v>
      </c>
      <c r="D985" s="21">
        <v>46271.0</v>
      </c>
      <c r="E985" s="21">
        <v>46277.0</v>
      </c>
      <c r="F985" s="20" t="s">
        <v>1304</v>
      </c>
      <c r="G985" s="42" t="s">
        <v>245</v>
      </c>
      <c r="H985" s="20" t="s">
        <v>73</v>
      </c>
      <c r="I985" s="9" t="s">
        <v>392</v>
      </c>
      <c r="J985" s="43">
        <v>2026.0</v>
      </c>
      <c r="K985" s="42" t="s">
        <v>114</v>
      </c>
    </row>
    <row r="986" ht="12.75" customHeight="1">
      <c r="A986" s="42" t="s">
        <v>1309</v>
      </c>
      <c r="B986" s="21">
        <v>46276.0</v>
      </c>
      <c r="C986" s="20" t="s">
        <v>175</v>
      </c>
      <c r="D986" s="21">
        <v>46271.0</v>
      </c>
      <c r="E986" s="21">
        <v>46277.0</v>
      </c>
      <c r="F986" s="20" t="s">
        <v>1304</v>
      </c>
      <c r="G986" s="42" t="s">
        <v>245</v>
      </c>
      <c r="H986" s="20" t="s">
        <v>73</v>
      </c>
      <c r="I986" s="9" t="s">
        <v>392</v>
      </c>
      <c r="J986" s="43">
        <v>2026.0</v>
      </c>
      <c r="K986" s="42" t="s">
        <v>114</v>
      </c>
    </row>
    <row r="987" ht="12.75" customHeight="1">
      <c r="A987" s="42" t="s">
        <v>1310</v>
      </c>
      <c r="B987" s="21">
        <v>46277.0</v>
      </c>
      <c r="C987" s="20" t="s">
        <v>177</v>
      </c>
      <c r="D987" s="21">
        <v>46271.0</v>
      </c>
      <c r="E987" s="21">
        <v>46277.0</v>
      </c>
      <c r="F987" s="20" t="s">
        <v>1304</v>
      </c>
      <c r="G987" s="42" t="s">
        <v>245</v>
      </c>
      <c r="H987" s="20" t="s">
        <v>73</v>
      </c>
      <c r="I987" s="9" t="s">
        <v>392</v>
      </c>
      <c r="J987" s="43">
        <v>2026.0</v>
      </c>
      <c r="K987" s="42" t="s">
        <v>114</v>
      </c>
    </row>
    <row r="988" ht="12.75" customHeight="1">
      <c r="A988" s="42" t="s">
        <v>1311</v>
      </c>
      <c r="B988" s="21">
        <v>46278.0</v>
      </c>
      <c r="C988" s="20" t="s">
        <v>179</v>
      </c>
      <c r="D988" s="21">
        <v>46278.0</v>
      </c>
      <c r="E988" s="21">
        <v>46284.0</v>
      </c>
      <c r="F988" s="20" t="s">
        <v>1312</v>
      </c>
      <c r="G988" s="42" t="s">
        <v>245</v>
      </c>
      <c r="H988" s="20" t="s">
        <v>73</v>
      </c>
      <c r="I988" s="9" t="s">
        <v>392</v>
      </c>
      <c r="J988" s="43">
        <v>2026.0</v>
      </c>
      <c r="K988" s="42" t="s">
        <v>115</v>
      </c>
    </row>
    <row r="989" ht="12.75" customHeight="1">
      <c r="A989" s="42" t="s">
        <v>1313</v>
      </c>
      <c r="B989" s="21">
        <v>46279.0</v>
      </c>
      <c r="C989" s="20" t="s">
        <v>163</v>
      </c>
      <c r="D989" s="21">
        <v>46278.0</v>
      </c>
      <c r="E989" s="21">
        <v>46284.0</v>
      </c>
      <c r="F989" s="20" t="s">
        <v>1312</v>
      </c>
      <c r="G989" s="42" t="s">
        <v>245</v>
      </c>
      <c r="H989" s="20" t="s">
        <v>73</v>
      </c>
      <c r="I989" s="9" t="s">
        <v>392</v>
      </c>
      <c r="J989" s="43">
        <v>2026.0</v>
      </c>
      <c r="K989" s="42" t="s">
        <v>115</v>
      </c>
    </row>
    <row r="990" ht="12.75" customHeight="1">
      <c r="A990" s="42" t="s">
        <v>1314</v>
      </c>
      <c r="B990" s="21">
        <v>46280.0</v>
      </c>
      <c r="C990" s="20" t="s">
        <v>169</v>
      </c>
      <c r="D990" s="21">
        <v>46278.0</v>
      </c>
      <c r="E990" s="21">
        <v>46284.0</v>
      </c>
      <c r="F990" s="20" t="s">
        <v>1312</v>
      </c>
      <c r="G990" s="42" t="s">
        <v>245</v>
      </c>
      <c r="H990" s="20" t="s">
        <v>73</v>
      </c>
      <c r="I990" s="9" t="s">
        <v>392</v>
      </c>
      <c r="J990" s="43">
        <v>2026.0</v>
      </c>
      <c r="K990" s="42" t="s">
        <v>115</v>
      </c>
    </row>
    <row r="991" ht="12.75" customHeight="1">
      <c r="A991" s="42" t="s">
        <v>1315</v>
      </c>
      <c r="B991" s="21">
        <v>46281.0</v>
      </c>
      <c r="C991" s="20" t="s">
        <v>171</v>
      </c>
      <c r="D991" s="21">
        <v>46278.0</v>
      </c>
      <c r="E991" s="21">
        <v>46284.0</v>
      </c>
      <c r="F991" s="20" t="s">
        <v>1312</v>
      </c>
      <c r="G991" s="42" t="s">
        <v>245</v>
      </c>
      <c r="H991" s="20" t="s">
        <v>73</v>
      </c>
      <c r="I991" s="9" t="s">
        <v>392</v>
      </c>
      <c r="J991" s="43">
        <v>2026.0</v>
      </c>
      <c r="K991" s="42" t="s">
        <v>115</v>
      </c>
    </row>
    <row r="992" ht="12.75" customHeight="1">
      <c r="A992" s="42" t="s">
        <v>1316</v>
      </c>
      <c r="B992" s="21">
        <v>46282.0</v>
      </c>
      <c r="C992" s="20" t="s">
        <v>173</v>
      </c>
      <c r="D992" s="21">
        <v>46278.0</v>
      </c>
      <c r="E992" s="21">
        <v>46284.0</v>
      </c>
      <c r="F992" s="20" t="s">
        <v>1312</v>
      </c>
      <c r="G992" s="42" t="s">
        <v>245</v>
      </c>
      <c r="H992" s="20" t="s">
        <v>73</v>
      </c>
      <c r="I992" s="9" t="s">
        <v>392</v>
      </c>
      <c r="J992" s="43">
        <v>2026.0</v>
      </c>
      <c r="K992" s="42" t="s">
        <v>115</v>
      </c>
    </row>
    <row r="993" ht="12.75" customHeight="1">
      <c r="A993" s="42" t="s">
        <v>1317</v>
      </c>
      <c r="B993" s="21">
        <v>46283.0</v>
      </c>
      <c r="C993" s="20" t="s">
        <v>175</v>
      </c>
      <c r="D993" s="21">
        <v>46278.0</v>
      </c>
      <c r="E993" s="21">
        <v>46284.0</v>
      </c>
      <c r="F993" s="20" t="s">
        <v>1312</v>
      </c>
      <c r="G993" s="42" t="s">
        <v>245</v>
      </c>
      <c r="H993" s="20" t="s">
        <v>73</v>
      </c>
      <c r="I993" s="9" t="s">
        <v>392</v>
      </c>
      <c r="J993" s="43">
        <v>2026.0</v>
      </c>
      <c r="K993" s="42" t="s">
        <v>115</v>
      </c>
    </row>
    <row r="994" ht="12.75" customHeight="1">
      <c r="A994" s="42" t="s">
        <v>1318</v>
      </c>
      <c r="B994" s="21">
        <v>46284.0</v>
      </c>
      <c r="C994" s="20" t="s">
        <v>177</v>
      </c>
      <c r="D994" s="21">
        <v>46278.0</v>
      </c>
      <c r="E994" s="21">
        <v>46284.0</v>
      </c>
      <c r="F994" s="20" t="s">
        <v>1312</v>
      </c>
      <c r="G994" s="42" t="s">
        <v>245</v>
      </c>
      <c r="H994" s="20" t="s">
        <v>73</v>
      </c>
      <c r="I994" s="9" t="s">
        <v>392</v>
      </c>
      <c r="J994" s="43">
        <v>2026.0</v>
      </c>
      <c r="K994" s="42" t="s">
        <v>115</v>
      </c>
    </row>
    <row r="995" ht="12.75" customHeight="1">
      <c r="A995" s="42" t="s">
        <v>1319</v>
      </c>
      <c r="B995" s="21">
        <v>46285.0</v>
      </c>
      <c r="C995" s="20" t="s">
        <v>179</v>
      </c>
      <c r="D995" s="21">
        <v>46285.0</v>
      </c>
      <c r="E995" s="21">
        <v>46291.0</v>
      </c>
      <c r="F995" s="20" t="s">
        <v>1320</v>
      </c>
      <c r="G995" s="42" t="s">
        <v>245</v>
      </c>
      <c r="H995" s="20" t="s">
        <v>73</v>
      </c>
      <c r="I995" s="9" t="s">
        <v>392</v>
      </c>
      <c r="J995" s="43">
        <v>2026.0</v>
      </c>
      <c r="K995" s="42" t="s">
        <v>116</v>
      </c>
    </row>
    <row r="996" ht="12.75" customHeight="1">
      <c r="A996" s="42" t="s">
        <v>1321</v>
      </c>
      <c r="B996" s="21">
        <v>46286.0</v>
      </c>
      <c r="C996" s="20" t="s">
        <v>163</v>
      </c>
      <c r="D996" s="21">
        <v>46285.0</v>
      </c>
      <c r="E996" s="21">
        <v>46291.0</v>
      </c>
      <c r="F996" s="20" t="s">
        <v>1320</v>
      </c>
      <c r="G996" s="42" t="s">
        <v>245</v>
      </c>
      <c r="H996" s="20" t="s">
        <v>73</v>
      </c>
      <c r="I996" s="9" t="s">
        <v>392</v>
      </c>
      <c r="J996" s="43">
        <v>2026.0</v>
      </c>
      <c r="K996" s="42" t="s">
        <v>116</v>
      </c>
    </row>
    <row r="997" ht="12.75" customHeight="1">
      <c r="A997" s="42" t="s">
        <v>1322</v>
      </c>
      <c r="B997" s="21">
        <v>46287.0</v>
      </c>
      <c r="C997" s="20" t="s">
        <v>169</v>
      </c>
      <c r="D997" s="21">
        <v>46285.0</v>
      </c>
      <c r="E997" s="21">
        <v>46291.0</v>
      </c>
      <c r="F997" s="20" t="s">
        <v>1320</v>
      </c>
      <c r="G997" s="42" t="s">
        <v>245</v>
      </c>
      <c r="H997" s="20" t="s">
        <v>73</v>
      </c>
      <c r="I997" s="9" t="s">
        <v>392</v>
      </c>
      <c r="J997" s="43">
        <v>2026.0</v>
      </c>
      <c r="K997" s="42" t="s">
        <v>116</v>
      </c>
    </row>
    <row r="998" ht="12.75" customHeight="1">
      <c r="A998" s="42" t="s">
        <v>1323</v>
      </c>
      <c r="B998" s="21">
        <v>46288.0</v>
      </c>
      <c r="C998" s="20" t="s">
        <v>171</v>
      </c>
      <c r="D998" s="21">
        <v>46285.0</v>
      </c>
      <c r="E998" s="21">
        <v>46291.0</v>
      </c>
      <c r="F998" s="20" t="s">
        <v>1320</v>
      </c>
      <c r="G998" s="42" t="s">
        <v>245</v>
      </c>
      <c r="H998" s="20" t="s">
        <v>73</v>
      </c>
      <c r="I998" s="9" t="s">
        <v>392</v>
      </c>
      <c r="J998" s="43">
        <v>2026.0</v>
      </c>
      <c r="K998" s="42" t="s">
        <v>116</v>
      </c>
    </row>
    <row r="999" ht="12.75" customHeight="1">
      <c r="A999" s="42" t="s">
        <v>1324</v>
      </c>
      <c r="B999" s="21">
        <v>46289.0</v>
      </c>
      <c r="C999" s="20" t="s">
        <v>173</v>
      </c>
      <c r="D999" s="21">
        <v>46285.0</v>
      </c>
      <c r="E999" s="21">
        <v>46291.0</v>
      </c>
      <c r="F999" s="20" t="s">
        <v>1320</v>
      </c>
      <c r="G999" s="42" t="s">
        <v>245</v>
      </c>
      <c r="H999" s="20" t="s">
        <v>73</v>
      </c>
      <c r="I999" s="9" t="s">
        <v>392</v>
      </c>
      <c r="J999" s="43">
        <v>2026.0</v>
      </c>
      <c r="K999" s="42" t="s">
        <v>116</v>
      </c>
    </row>
    <row r="1000" ht="12.75" customHeight="1">
      <c r="A1000" s="42" t="s">
        <v>1325</v>
      </c>
      <c r="B1000" s="21">
        <v>46290.0</v>
      </c>
      <c r="C1000" s="20" t="s">
        <v>175</v>
      </c>
      <c r="D1000" s="21">
        <v>46285.0</v>
      </c>
      <c r="E1000" s="21">
        <v>46291.0</v>
      </c>
      <c r="F1000" s="20" t="s">
        <v>1320</v>
      </c>
      <c r="G1000" s="42" t="s">
        <v>245</v>
      </c>
      <c r="H1000" s="20" t="s">
        <v>73</v>
      </c>
      <c r="I1000" s="9" t="s">
        <v>392</v>
      </c>
      <c r="J1000" s="43">
        <v>2026.0</v>
      </c>
      <c r="K1000" s="42" t="s">
        <v>116</v>
      </c>
    </row>
    <row r="1001" ht="12.75" customHeight="1">
      <c r="A1001" s="42" t="s">
        <v>1326</v>
      </c>
      <c r="B1001" s="21">
        <v>46291.0</v>
      </c>
      <c r="C1001" s="20" t="s">
        <v>177</v>
      </c>
      <c r="D1001" s="21">
        <v>46285.0</v>
      </c>
      <c r="E1001" s="21">
        <v>46291.0</v>
      </c>
      <c r="F1001" s="20" t="s">
        <v>1320</v>
      </c>
      <c r="G1001" s="42" t="s">
        <v>245</v>
      </c>
      <c r="H1001" s="20" t="s">
        <v>73</v>
      </c>
      <c r="I1001" s="9" t="s">
        <v>392</v>
      </c>
      <c r="J1001" s="43">
        <v>2026.0</v>
      </c>
      <c r="K1001" s="42" t="s">
        <v>116</v>
      </c>
    </row>
    <row r="1002" ht="12.75" customHeight="1">
      <c r="A1002" s="42" t="s">
        <v>1327</v>
      </c>
      <c r="B1002" s="21">
        <v>46292.0</v>
      </c>
      <c r="C1002" s="20" t="s">
        <v>179</v>
      </c>
      <c r="D1002" s="21">
        <v>46292.0</v>
      </c>
      <c r="E1002" s="21">
        <v>46298.0</v>
      </c>
      <c r="F1002" s="20" t="s">
        <v>1328</v>
      </c>
      <c r="G1002" s="42" t="s">
        <v>245</v>
      </c>
      <c r="H1002" s="20" t="s">
        <v>73</v>
      </c>
      <c r="I1002" s="9" t="s">
        <v>392</v>
      </c>
      <c r="J1002" s="43">
        <v>2026.0</v>
      </c>
      <c r="K1002" s="42" t="s">
        <v>117</v>
      </c>
    </row>
    <row r="1003" ht="12.75" customHeight="1">
      <c r="A1003" s="42" t="s">
        <v>1329</v>
      </c>
      <c r="B1003" s="21">
        <v>46293.0</v>
      </c>
      <c r="C1003" s="20" t="s">
        <v>163</v>
      </c>
      <c r="D1003" s="21">
        <v>46292.0</v>
      </c>
      <c r="E1003" s="21">
        <v>46298.0</v>
      </c>
      <c r="F1003" s="20" t="s">
        <v>1328</v>
      </c>
      <c r="G1003" s="42" t="s">
        <v>245</v>
      </c>
      <c r="H1003" s="20" t="s">
        <v>73</v>
      </c>
      <c r="I1003" s="9" t="s">
        <v>392</v>
      </c>
      <c r="J1003" s="43">
        <v>2026.0</v>
      </c>
      <c r="K1003" s="42" t="s">
        <v>117</v>
      </c>
    </row>
    <row r="1004" ht="12.75" customHeight="1">
      <c r="A1004" s="42" t="s">
        <v>1330</v>
      </c>
      <c r="B1004" s="21">
        <v>46294.0</v>
      </c>
      <c r="C1004" s="20" t="s">
        <v>169</v>
      </c>
      <c r="D1004" s="21">
        <v>46292.0</v>
      </c>
      <c r="E1004" s="21">
        <v>46298.0</v>
      </c>
      <c r="F1004" s="20" t="s">
        <v>1328</v>
      </c>
      <c r="G1004" s="42" t="s">
        <v>245</v>
      </c>
      <c r="H1004" s="20" t="s">
        <v>73</v>
      </c>
      <c r="I1004" s="9" t="s">
        <v>392</v>
      </c>
      <c r="J1004" s="43">
        <v>2026.0</v>
      </c>
      <c r="K1004" s="42" t="s">
        <v>117</v>
      </c>
    </row>
    <row r="1005" ht="12.75" customHeight="1">
      <c r="A1005" s="42" t="s">
        <v>1331</v>
      </c>
      <c r="B1005" s="21">
        <v>46295.0</v>
      </c>
      <c r="C1005" s="20" t="s">
        <v>171</v>
      </c>
      <c r="D1005" s="21">
        <v>46292.0</v>
      </c>
      <c r="E1005" s="21">
        <v>46298.0</v>
      </c>
      <c r="F1005" s="20" t="s">
        <v>1328</v>
      </c>
      <c r="G1005" s="42" t="s">
        <v>245</v>
      </c>
      <c r="H1005" s="20" t="s">
        <v>73</v>
      </c>
      <c r="I1005" s="9" t="s">
        <v>392</v>
      </c>
      <c r="J1005" s="43">
        <v>2026.0</v>
      </c>
      <c r="K1005" s="42" t="s">
        <v>117</v>
      </c>
    </row>
    <row r="1006" ht="12.75" customHeight="1">
      <c r="A1006" s="42" t="s">
        <v>1332</v>
      </c>
      <c r="B1006" s="21">
        <v>46296.0</v>
      </c>
      <c r="C1006" s="20" t="s">
        <v>173</v>
      </c>
      <c r="D1006" s="21">
        <v>46292.0</v>
      </c>
      <c r="E1006" s="21">
        <v>46298.0</v>
      </c>
      <c r="F1006" s="20" t="s">
        <v>1328</v>
      </c>
      <c r="G1006" s="42" t="s">
        <v>96</v>
      </c>
      <c r="H1006" s="20" t="s">
        <v>72</v>
      </c>
      <c r="I1006" s="9" t="s">
        <v>498</v>
      </c>
      <c r="J1006" s="43">
        <v>2026.0</v>
      </c>
      <c r="K1006" s="42" t="s">
        <v>117</v>
      </c>
    </row>
    <row r="1007" ht="12.75" customHeight="1">
      <c r="A1007" s="42" t="s">
        <v>1333</v>
      </c>
      <c r="B1007" s="21">
        <v>46297.0</v>
      </c>
      <c r="C1007" s="20" t="s">
        <v>175</v>
      </c>
      <c r="D1007" s="21">
        <v>46292.0</v>
      </c>
      <c r="E1007" s="21">
        <v>46298.0</v>
      </c>
      <c r="F1007" s="20" t="s">
        <v>1328</v>
      </c>
      <c r="G1007" s="42" t="s">
        <v>96</v>
      </c>
      <c r="H1007" s="20" t="s">
        <v>72</v>
      </c>
      <c r="I1007" s="9" t="s">
        <v>498</v>
      </c>
      <c r="J1007" s="43">
        <v>2026.0</v>
      </c>
      <c r="K1007" s="42" t="s">
        <v>117</v>
      </c>
    </row>
    <row r="1008" ht="12.75" customHeight="1">
      <c r="A1008" s="42" t="s">
        <v>1334</v>
      </c>
      <c r="B1008" s="21">
        <v>46298.0</v>
      </c>
      <c r="C1008" s="20" t="s">
        <v>177</v>
      </c>
      <c r="D1008" s="21">
        <v>46292.0</v>
      </c>
      <c r="E1008" s="21">
        <v>46298.0</v>
      </c>
      <c r="F1008" s="20" t="s">
        <v>1328</v>
      </c>
      <c r="G1008" s="42" t="s">
        <v>96</v>
      </c>
      <c r="H1008" s="20" t="s">
        <v>72</v>
      </c>
      <c r="I1008" s="9" t="s">
        <v>498</v>
      </c>
      <c r="J1008" s="43">
        <v>2026.0</v>
      </c>
      <c r="K1008" s="42" t="s">
        <v>117</v>
      </c>
    </row>
    <row r="1009" ht="12.75" customHeight="1">
      <c r="A1009" s="42" t="s">
        <v>1335</v>
      </c>
      <c r="B1009" s="21">
        <v>46299.0</v>
      </c>
      <c r="C1009" s="20" t="s">
        <v>179</v>
      </c>
      <c r="D1009" s="21">
        <v>46299.0</v>
      </c>
      <c r="E1009" s="21">
        <v>46305.0</v>
      </c>
      <c r="F1009" s="20" t="s">
        <v>1336</v>
      </c>
      <c r="G1009" s="42" t="s">
        <v>96</v>
      </c>
      <c r="H1009" s="20" t="s">
        <v>72</v>
      </c>
      <c r="I1009" s="9" t="s">
        <v>498</v>
      </c>
      <c r="J1009" s="43">
        <v>2026.0</v>
      </c>
      <c r="K1009" s="42" t="s">
        <v>110</v>
      </c>
    </row>
    <row r="1010" ht="12.75" customHeight="1">
      <c r="A1010" s="42" t="s">
        <v>1337</v>
      </c>
      <c r="B1010" s="21">
        <v>46300.0</v>
      </c>
      <c r="C1010" s="20" t="s">
        <v>163</v>
      </c>
      <c r="D1010" s="21">
        <v>46299.0</v>
      </c>
      <c r="E1010" s="21">
        <v>46305.0</v>
      </c>
      <c r="F1010" s="20" t="s">
        <v>1336</v>
      </c>
      <c r="G1010" s="42" t="s">
        <v>96</v>
      </c>
      <c r="H1010" s="20" t="s">
        <v>72</v>
      </c>
      <c r="I1010" s="9" t="s">
        <v>498</v>
      </c>
      <c r="J1010" s="43">
        <v>2026.0</v>
      </c>
      <c r="K1010" s="42" t="s">
        <v>110</v>
      </c>
    </row>
    <row r="1011" ht="12.75" customHeight="1">
      <c r="A1011" s="42" t="s">
        <v>1338</v>
      </c>
      <c r="B1011" s="21">
        <v>46301.0</v>
      </c>
      <c r="C1011" s="20" t="s">
        <v>169</v>
      </c>
      <c r="D1011" s="21">
        <v>46299.0</v>
      </c>
      <c r="E1011" s="21">
        <v>46305.0</v>
      </c>
      <c r="F1011" s="20" t="s">
        <v>1336</v>
      </c>
      <c r="G1011" s="42" t="s">
        <v>96</v>
      </c>
      <c r="H1011" s="20" t="s">
        <v>72</v>
      </c>
      <c r="I1011" s="9" t="s">
        <v>498</v>
      </c>
      <c r="J1011" s="43">
        <v>2026.0</v>
      </c>
      <c r="K1011" s="42" t="s">
        <v>110</v>
      </c>
    </row>
    <row r="1012" ht="12.75" customHeight="1">
      <c r="A1012" s="42" t="s">
        <v>1339</v>
      </c>
      <c r="B1012" s="21">
        <v>46302.0</v>
      </c>
      <c r="C1012" s="20" t="s">
        <v>171</v>
      </c>
      <c r="D1012" s="21">
        <v>46299.0</v>
      </c>
      <c r="E1012" s="21">
        <v>46305.0</v>
      </c>
      <c r="F1012" s="20" t="s">
        <v>1336</v>
      </c>
      <c r="G1012" s="42" t="s">
        <v>96</v>
      </c>
      <c r="H1012" s="20" t="s">
        <v>72</v>
      </c>
      <c r="I1012" s="9" t="s">
        <v>498</v>
      </c>
      <c r="J1012" s="43">
        <v>2026.0</v>
      </c>
      <c r="K1012" s="42" t="s">
        <v>110</v>
      </c>
    </row>
    <row r="1013" ht="12.75" customHeight="1">
      <c r="A1013" s="42" t="s">
        <v>1340</v>
      </c>
      <c r="B1013" s="21">
        <v>46303.0</v>
      </c>
      <c r="C1013" s="20" t="s">
        <v>173</v>
      </c>
      <c r="D1013" s="21">
        <v>46299.0</v>
      </c>
      <c r="E1013" s="21">
        <v>46305.0</v>
      </c>
      <c r="F1013" s="20" t="s">
        <v>1336</v>
      </c>
      <c r="G1013" s="42" t="s">
        <v>96</v>
      </c>
      <c r="H1013" s="20" t="s">
        <v>72</v>
      </c>
      <c r="I1013" s="9" t="s">
        <v>498</v>
      </c>
      <c r="J1013" s="43">
        <v>2026.0</v>
      </c>
      <c r="K1013" s="42" t="s">
        <v>110</v>
      </c>
    </row>
    <row r="1014" ht="12.75" customHeight="1">
      <c r="A1014" s="42" t="s">
        <v>1341</v>
      </c>
      <c r="B1014" s="21">
        <v>46304.0</v>
      </c>
      <c r="C1014" s="20" t="s">
        <v>175</v>
      </c>
      <c r="D1014" s="21">
        <v>46299.0</v>
      </c>
      <c r="E1014" s="21">
        <v>46305.0</v>
      </c>
      <c r="F1014" s="20" t="s">
        <v>1336</v>
      </c>
      <c r="G1014" s="42" t="s">
        <v>96</v>
      </c>
      <c r="H1014" s="20" t="s">
        <v>72</v>
      </c>
      <c r="I1014" s="9" t="s">
        <v>498</v>
      </c>
      <c r="J1014" s="43">
        <v>2026.0</v>
      </c>
      <c r="K1014" s="42" t="s">
        <v>110</v>
      </c>
    </row>
    <row r="1015" ht="12.75" customHeight="1">
      <c r="A1015" s="42" t="s">
        <v>1342</v>
      </c>
      <c r="B1015" s="21">
        <v>46305.0</v>
      </c>
      <c r="C1015" s="20" t="s">
        <v>177</v>
      </c>
      <c r="D1015" s="21">
        <v>46299.0</v>
      </c>
      <c r="E1015" s="21">
        <v>46305.0</v>
      </c>
      <c r="F1015" s="20" t="s">
        <v>1336</v>
      </c>
      <c r="G1015" s="42" t="s">
        <v>96</v>
      </c>
      <c r="H1015" s="20" t="s">
        <v>72</v>
      </c>
      <c r="I1015" s="9" t="s">
        <v>498</v>
      </c>
      <c r="J1015" s="43">
        <v>2026.0</v>
      </c>
      <c r="K1015" s="42" t="s">
        <v>110</v>
      </c>
    </row>
    <row r="1016" ht="12.75" customHeight="1">
      <c r="A1016" s="42" t="s">
        <v>1343</v>
      </c>
      <c r="B1016" s="21">
        <v>46306.0</v>
      </c>
      <c r="C1016" s="20" t="s">
        <v>179</v>
      </c>
      <c r="D1016" s="21">
        <v>46306.0</v>
      </c>
      <c r="E1016" s="21">
        <v>46312.0</v>
      </c>
      <c r="F1016" s="20" t="s">
        <v>1344</v>
      </c>
      <c r="G1016" s="42" t="s">
        <v>96</v>
      </c>
      <c r="H1016" s="20" t="s">
        <v>72</v>
      </c>
      <c r="I1016" s="9" t="s">
        <v>498</v>
      </c>
      <c r="J1016" s="43">
        <v>2026.0</v>
      </c>
      <c r="K1016" s="42" t="s">
        <v>111</v>
      </c>
    </row>
    <row r="1017" ht="12.75" customHeight="1">
      <c r="A1017" s="42" t="s">
        <v>1345</v>
      </c>
      <c r="B1017" s="21">
        <v>46307.0</v>
      </c>
      <c r="C1017" s="20" t="s">
        <v>163</v>
      </c>
      <c r="D1017" s="21">
        <v>46306.0</v>
      </c>
      <c r="E1017" s="21">
        <v>46312.0</v>
      </c>
      <c r="F1017" s="20" t="s">
        <v>1344</v>
      </c>
      <c r="G1017" s="42" t="s">
        <v>96</v>
      </c>
      <c r="H1017" s="20" t="s">
        <v>72</v>
      </c>
      <c r="I1017" s="9" t="s">
        <v>498</v>
      </c>
      <c r="J1017" s="43">
        <v>2026.0</v>
      </c>
      <c r="K1017" s="42" t="s">
        <v>111</v>
      </c>
    </row>
    <row r="1018" ht="12.75" customHeight="1">
      <c r="A1018" s="42" t="s">
        <v>1346</v>
      </c>
      <c r="B1018" s="21">
        <v>46308.0</v>
      </c>
      <c r="C1018" s="20" t="s">
        <v>169</v>
      </c>
      <c r="D1018" s="21">
        <v>46306.0</v>
      </c>
      <c r="E1018" s="21">
        <v>46312.0</v>
      </c>
      <c r="F1018" s="20" t="s">
        <v>1344</v>
      </c>
      <c r="G1018" s="42" t="s">
        <v>96</v>
      </c>
      <c r="H1018" s="20" t="s">
        <v>72</v>
      </c>
      <c r="I1018" s="9" t="s">
        <v>498</v>
      </c>
      <c r="J1018" s="43">
        <v>2026.0</v>
      </c>
      <c r="K1018" s="42" t="s">
        <v>111</v>
      </c>
    </row>
    <row r="1019" ht="12.75" customHeight="1">
      <c r="A1019" s="42" t="s">
        <v>1347</v>
      </c>
      <c r="B1019" s="21">
        <v>46309.0</v>
      </c>
      <c r="C1019" s="20" t="s">
        <v>171</v>
      </c>
      <c r="D1019" s="21">
        <v>46306.0</v>
      </c>
      <c r="E1019" s="21">
        <v>46312.0</v>
      </c>
      <c r="F1019" s="20" t="s">
        <v>1344</v>
      </c>
      <c r="G1019" s="42" t="s">
        <v>96</v>
      </c>
      <c r="H1019" s="20" t="s">
        <v>72</v>
      </c>
      <c r="I1019" s="9" t="s">
        <v>498</v>
      </c>
      <c r="J1019" s="43">
        <v>2026.0</v>
      </c>
      <c r="K1019" s="42" t="s">
        <v>111</v>
      </c>
    </row>
    <row r="1020" ht="12.75" customHeight="1">
      <c r="A1020" s="42" t="s">
        <v>1348</v>
      </c>
      <c r="B1020" s="21">
        <v>46310.0</v>
      </c>
      <c r="C1020" s="20" t="s">
        <v>173</v>
      </c>
      <c r="D1020" s="21">
        <v>46306.0</v>
      </c>
      <c r="E1020" s="21">
        <v>46312.0</v>
      </c>
      <c r="F1020" s="20" t="s">
        <v>1344</v>
      </c>
      <c r="G1020" s="42" t="s">
        <v>96</v>
      </c>
      <c r="H1020" s="20" t="s">
        <v>72</v>
      </c>
      <c r="I1020" s="9" t="s">
        <v>498</v>
      </c>
      <c r="J1020" s="43">
        <v>2026.0</v>
      </c>
      <c r="K1020" s="42" t="s">
        <v>111</v>
      </c>
    </row>
    <row r="1021" ht="12.75" customHeight="1">
      <c r="A1021" s="42" t="s">
        <v>1349</v>
      </c>
      <c r="B1021" s="21">
        <v>46311.0</v>
      </c>
      <c r="C1021" s="20" t="s">
        <v>175</v>
      </c>
      <c r="D1021" s="21">
        <v>46306.0</v>
      </c>
      <c r="E1021" s="21">
        <v>46312.0</v>
      </c>
      <c r="F1021" s="20" t="s">
        <v>1344</v>
      </c>
      <c r="G1021" s="42" t="s">
        <v>96</v>
      </c>
      <c r="H1021" s="20" t="s">
        <v>72</v>
      </c>
      <c r="I1021" s="9" t="s">
        <v>498</v>
      </c>
      <c r="J1021" s="43">
        <v>2026.0</v>
      </c>
      <c r="K1021" s="42" t="s">
        <v>111</v>
      </c>
    </row>
    <row r="1022" ht="12.75" customHeight="1">
      <c r="A1022" s="42" t="s">
        <v>1350</v>
      </c>
      <c r="B1022" s="21">
        <v>46312.0</v>
      </c>
      <c r="C1022" s="20" t="s">
        <v>177</v>
      </c>
      <c r="D1022" s="21">
        <v>46306.0</v>
      </c>
      <c r="E1022" s="21">
        <v>46312.0</v>
      </c>
      <c r="F1022" s="20" t="s">
        <v>1344</v>
      </c>
      <c r="G1022" s="42" t="s">
        <v>96</v>
      </c>
      <c r="H1022" s="20" t="s">
        <v>72</v>
      </c>
      <c r="I1022" s="9" t="s">
        <v>498</v>
      </c>
      <c r="J1022" s="43">
        <v>2026.0</v>
      </c>
      <c r="K1022" s="42" t="s">
        <v>111</v>
      </c>
    </row>
    <row r="1023" ht="12.75" customHeight="1">
      <c r="A1023" s="42" t="s">
        <v>1351</v>
      </c>
      <c r="B1023" s="21">
        <v>46313.0</v>
      </c>
      <c r="C1023" s="20" t="s">
        <v>179</v>
      </c>
      <c r="D1023" s="21">
        <v>46313.0</v>
      </c>
      <c r="E1023" s="21">
        <v>46319.0</v>
      </c>
      <c r="F1023" s="20" t="s">
        <v>1352</v>
      </c>
      <c r="G1023" s="42" t="s">
        <v>96</v>
      </c>
      <c r="H1023" s="20" t="s">
        <v>72</v>
      </c>
      <c r="I1023" s="9" t="s">
        <v>498</v>
      </c>
      <c r="J1023" s="43">
        <v>2026.0</v>
      </c>
      <c r="K1023" s="42" t="s">
        <v>112</v>
      </c>
    </row>
    <row r="1024" ht="12.75" customHeight="1">
      <c r="A1024" s="42" t="s">
        <v>1353</v>
      </c>
      <c r="B1024" s="21">
        <v>46314.0</v>
      </c>
      <c r="C1024" s="20" t="s">
        <v>163</v>
      </c>
      <c r="D1024" s="21">
        <v>46313.0</v>
      </c>
      <c r="E1024" s="21">
        <v>46319.0</v>
      </c>
      <c r="F1024" s="20" t="s">
        <v>1352</v>
      </c>
      <c r="G1024" s="42" t="s">
        <v>96</v>
      </c>
      <c r="H1024" s="20" t="s">
        <v>72</v>
      </c>
      <c r="I1024" s="9" t="s">
        <v>498</v>
      </c>
      <c r="J1024" s="43">
        <v>2026.0</v>
      </c>
      <c r="K1024" s="42" t="s">
        <v>112</v>
      </c>
    </row>
    <row r="1025" ht="12.75" customHeight="1">
      <c r="A1025" s="42" t="s">
        <v>1354</v>
      </c>
      <c r="B1025" s="21">
        <v>46315.0</v>
      </c>
      <c r="C1025" s="20" t="s">
        <v>169</v>
      </c>
      <c r="D1025" s="21">
        <v>46313.0</v>
      </c>
      <c r="E1025" s="21">
        <v>46319.0</v>
      </c>
      <c r="F1025" s="20" t="s">
        <v>1352</v>
      </c>
      <c r="G1025" s="42" t="s">
        <v>96</v>
      </c>
      <c r="H1025" s="20" t="s">
        <v>72</v>
      </c>
      <c r="I1025" s="9" t="s">
        <v>498</v>
      </c>
      <c r="J1025" s="43">
        <v>2026.0</v>
      </c>
      <c r="K1025" s="42" t="s">
        <v>112</v>
      </c>
    </row>
    <row r="1026" ht="12.75" customHeight="1">
      <c r="A1026" s="42" t="s">
        <v>1355</v>
      </c>
      <c r="B1026" s="21">
        <v>46316.0</v>
      </c>
      <c r="C1026" s="20" t="s">
        <v>171</v>
      </c>
      <c r="D1026" s="21">
        <v>46313.0</v>
      </c>
      <c r="E1026" s="21">
        <v>46319.0</v>
      </c>
      <c r="F1026" s="20" t="s">
        <v>1352</v>
      </c>
      <c r="G1026" s="42" t="s">
        <v>96</v>
      </c>
      <c r="H1026" s="20" t="s">
        <v>72</v>
      </c>
      <c r="I1026" s="9" t="s">
        <v>498</v>
      </c>
      <c r="J1026" s="43">
        <v>2026.0</v>
      </c>
      <c r="K1026" s="42" t="s">
        <v>112</v>
      </c>
    </row>
    <row r="1027" ht="12.75" customHeight="1">
      <c r="A1027" s="42" t="s">
        <v>1356</v>
      </c>
      <c r="B1027" s="21">
        <v>46317.0</v>
      </c>
      <c r="C1027" s="20" t="s">
        <v>173</v>
      </c>
      <c r="D1027" s="21">
        <v>46313.0</v>
      </c>
      <c r="E1027" s="21">
        <v>46319.0</v>
      </c>
      <c r="F1027" s="20" t="s">
        <v>1352</v>
      </c>
      <c r="G1027" s="42" t="s">
        <v>96</v>
      </c>
      <c r="H1027" s="20" t="s">
        <v>72</v>
      </c>
      <c r="I1027" s="9" t="s">
        <v>498</v>
      </c>
      <c r="J1027" s="43">
        <v>2026.0</v>
      </c>
      <c r="K1027" s="42" t="s">
        <v>112</v>
      </c>
    </row>
    <row r="1028" ht="12.75" customHeight="1">
      <c r="A1028" s="42" t="s">
        <v>1357</v>
      </c>
      <c r="B1028" s="21">
        <v>46318.0</v>
      </c>
      <c r="C1028" s="20" t="s">
        <v>175</v>
      </c>
      <c r="D1028" s="21">
        <v>46313.0</v>
      </c>
      <c r="E1028" s="21">
        <v>46319.0</v>
      </c>
      <c r="F1028" s="20" t="s">
        <v>1352</v>
      </c>
      <c r="G1028" s="42" t="s">
        <v>96</v>
      </c>
      <c r="H1028" s="20" t="s">
        <v>72</v>
      </c>
      <c r="I1028" s="9" t="s">
        <v>498</v>
      </c>
      <c r="J1028" s="43">
        <v>2026.0</v>
      </c>
      <c r="K1028" s="42" t="s">
        <v>112</v>
      </c>
    </row>
    <row r="1029" ht="12.75" customHeight="1">
      <c r="A1029" s="42" t="s">
        <v>1358</v>
      </c>
      <c r="B1029" s="21">
        <v>46319.0</v>
      </c>
      <c r="C1029" s="20" t="s">
        <v>177</v>
      </c>
      <c r="D1029" s="21">
        <v>46313.0</v>
      </c>
      <c r="E1029" s="21">
        <v>46319.0</v>
      </c>
      <c r="F1029" s="20" t="s">
        <v>1352</v>
      </c>
      <c r="G1029" s="42" t="s">
        <v>96</v>
      </c>
      <c r="H1029" s="20" t="s">
        <v>72</v>
      </c>
      <c r="I1029" s="9" t="s">
        <v>498</v>
      </c>
      <c r="J1029" s="43">
        <v>2026.0</v>
      </c>
      <c r="K1029" s="42" t="s">
        <v>112</v>
      </c>
    </row>
    <row r="1030" ht="12.75" customHeight="1">
      <c r="A1030" s="42" t="s">
        <v>1359</v>
      </c>
      <c r="B1030" s="21">
        <v>46320.0</v>
      </c>
      <c r="C1030" s="20" t="s">
        <v>179</v>
      </c>
      <c r="D1030" s="21">
        <v>46320.0</v>
      </c>
      <c r="E1030" s="21">
        <v>46326.0</v>
      </c>
      <c r="F1030" s="20" t="s">
        <v>1360</v>
      </c>
      <c r="G1030" s="42" t="s">
        <v>96</v>
      </c>
      <c r="H1030" s="20" t="s">
        <v>72</v>
      </c>
      <c r="I1030" s="9" t="s">
        <v>498</v>
      </c>
      <c r="J1030" s="43">
        <v>2026.0</v>
      </c>
      <c r="K1030" s="42" t="s">
        <v>113</v>
      </c>
    </row>
    <row r="1031" ht="12.75" customHeight="1">
      <c r="A1031" s="42" t="s">
        <v>1361</v>
      </c>
      <c r="B1031" s="21">
        <v>46321.0</v>
      </c>
      <c r="C1031" s="20" t="s">
        <v>163</v>
      </c>
      <c r="D1031" s="21">
        <v>46320.0</v>
      </c>
      <c r="E1031" s="21">
        <v>46326.0</v>
      </c>
      <c r="F1031" s="20" t="s">
        <v>1360</v>
      </c>
      <c r="G1031" s="42" t="s">
        <v>96</v>
      </c>
      <c r="H1031" s="20" t="s">
        <v>72</v>
      </c>
      <c r="I1031" s="9" t="s">
        <v>498</v>
      </c>
      <c r="J1031" s="43">
        <v>2026.0</v>
      </c>
      <c r="K1031" s="42" t="s">
        <v>113</v>
      </c>
    </row>
    <row r="1032" ht="12.75" customHeight="1">
      <c r="A1032" s="42" t="s">
        <v>1362</v>
      </c>
      <c r="B1032" s="21">
        <v>46322.0</v>
      </c>
      <c r="C1032" s="20" t="s">
        <v>169</v>
      </c>
      <c r="D1032" s="21">
        <v>46320.0</v>
      </c>
      <c r="E1032" s="21">
        <v>46326.0</v>
      </c>
      <c r="F1032" s="20" t="s">
        <v>1360</v>
      </c>
      <c r="G1032" s="42" t="s">
        <v>96</v>
      </c>
      <c r="H1032" s="20" t="s">
        <v>72</v>
      </c>
      <c r="I1032" s="9" t="s">
        <v>498</v>
      </c>
      <c r="J1032" s="43">
        <v>2026.0</v>
      </c>
      <c r="K1032" s="42" t="s">
        <v>113</v>
      </c>
    </row>
    <row r="1033" ht="12.75" customHeight="1">
      <c r="A1033" s="42" t="s">
        <v>1363</v>
      </c>
      <c r="B1033" s="21">
        <v>46323.0</v>
      </c>
      <c r="C1033" s="20" t="s">
        <v>171</v>
      </c>
      <c r="D1033" s="21">
        <v>46320.0</v>
      </c>
      <c r="E1033" s="21">
        <v>46326.0</v>
      </c>
      <c r="F1033" s="20" t="s">
        <v>1360</v>
      </c>
      <c r="G1033" s="42" t="s">
        <v>96</v>
      </c>
      <c r="H1033" s="20" t="s">
        <v>72</v>
      </c>
      <c r="I1033" s="9" t="s">
        <v>498</v>
      </c>
      <c r="J1033" s="43">
        <v>2026.0</v>
      </c>
      <c r="K1033" s="42" t="s">
        <v>113</v>
      </c>
    </row>
    <row r="1034" ht="12.75" customHeight="1">
      <c r="A1034" s="42" t="s">
        <v>1364</v>
      </c>
      <c r="B1034" s="21">
        <v>46324.0</v>
      </c>
      <c r="C1034" s="20" t="s">
        <v>173</v>
      </c>
      <c r="D1034" s="21">
        <v>46320.0</v>
      </c>
      <c r="E1034" s="21">
        <v>46326.0</v>
      </c>
      <c r="F1034" s="20" t="s">
        <v>1360</v>
      </c>
      <c r="G1034" s="42" t="s">
        <v>96</v>
      </c>
      <c r="H1034" s="20" t="s">
        <v>72</v>
      </c>
      <c r="I1034" s="9" t="s">
        <v>498</v>
      </c>
      <c r="J1034" s="43">
        <v>2026.0</v>
      </c>
      <c r="K1034" s="42" t="s">
        <v>113</v>
      </c>
    </row>
    <row r="1035" ht="12.75" customHeight="1">
      <c r="A1035" s="42" t="s">
        <v>1365</v>
      </c>
      <c r="B1035" s="21">
        <v>46325.0</v>
      </c>
      <c r="C1035" s="20" t="s">
        <v>175</v>
      </c>
      <c r="D1035" s="21">
        <v>46320.0</v>
      </c>
      <c r="E1035" s="21">
        <v>46326.0</v>
      </c>
      <c r="F1035" s="20" t="s">
        <v>1360</v>
      </c>
      <c r="G1035" s="42" t="s">
        <v>96</v>
      </c>
      <c r="H1035" s="20" t="s">
        <v>72</v>
      </c>
      <c r="I1035" s="9" t="s">
        <v>498</v>
      </c>
      <c r="J1035" s="43">
        <v>2026.0</v>
      </c>
      <c r="K1035" s="42" t="s">
        <v>113</v>
      </c>
    </row>
    <row r="1036" ht="12.75" customHeight="1">
      <c r="A1036" s="42" t="s">
        <v>1366</v>
      </c>
      <c r="B1036" s="21">
        <v>46326.0</v>
      </c>
      <c r="C1036" s="20" t="s">
        <v>177</v>
      </c>
      <c r="D1036" s="21">
        <v>46320.0</v>
      </c>
      <c r="E1036" s="21">
        <v>46326.0</v>
      </c>
      <c r="F1036" s="20" t="s">
        <v>1360</v>
      </c>
      <c r="G1036" s="42" t="s">
        <v>96</v>
      </c>
      <c r="H1036" s="20" t="s">
        <v>72</v>
      </c>
      <c r="I1036" s="9" t="s">
        <v>498</v>
      </c>
      <c r="J1036" s="43">
        <v>2026.0</v>
      </c>
      <c r="K1036" s="42" t="s">
        <v>113</v>
      </c>
    </row>
    <row r="1037" ht="12.75" customHeight="1">
      <c r="A1037" s="42" t="s">
        <v>1367</v>
      </c>
      <c r="B1037" s="21">
        <v>46327.0</v>
      </c>
      <c r="C1037" s="20" t="s">
        <v>179</v>
      </c>
      <c r="D1037" s="21">
        <v>46327.0</v>
      </c>
      <c r="E1037" s="21">
        <v>46333.0</v>
      </c>
      <c r="F1037" s="20" t="s">
        <v>1368</v>
      </c>
      <c r="G1037" s="42" t="s">
        <v>97</v>
      </c>
      <c r="H1037" s="20" t="s">
        <v>71</v>
      </c>
      <c r="I1037" s="9" t="s">
        <v>498</v>
      </c>
      <c r="J1037" s="43">
        <v>2026.0</v>
      </c>
      <c r="K1037" s="42" t="s">
        <v>105</v>
      </c>
    </row>
    <row r="1038" ht="12.75" customHeight="1">
      <c r="A1038" s="42" t="s">
        <v>1369</v>
      </c>
      <c r="B1038" s="21">
        <v>46328.0</v>
      </c>
      <c r="C1038" s="20" t="s">
        <v>163</v>
      </c>
      <c r="D1038" s="21">
        <v>46327.0</v>
      </c>
      <c r="E1038" s="21">
        <v>46333.0</v>
      </c>
      <c r="F1038" s="20" t="s">
        <v>1368</v>
      </c>
      <c r="G1038" s="42" t="s">
        <v>97</v>
      </c>
      <c r="H1038" s="20" t="s">
        <v>71</v>
      </c>
      <c r="I1038" s="9" t="s">
        <v>498</v>
      </c>
      <c r="J1038" s="43">
        <v>2026.0</v>
      </c>
      <c r="K1038" s="42" t="s">
        <v>105</v>
      </c>
    </row>
    <row r="1039" ht="12.75" customHeight="1">
      <c r="A1039" s="42" t="s">
        <v>1370</v>
      </c>
      <c r="B1039" s="21">
        <v>46329.0</v>
      </c>
      <c r="C1039" s="20" t="s">
        <v>169</v>
      </c>
      <c r="D1039" s="21">
        <v>46327.0</v>
      </c>
      <c r="E1039" s="21">
        <v>46333.0</v>
      </c>
      <c r="F1039" s="20" t="s">
        <v>1368</v>
      </c>
      <c r="G1039" s="42" t="s">
        <v>97</v>
      </c>
      <c r="H1039" s="20" t="s">
        <v>71</v>
      </c>
      <c r="I1039" s="9" t="s">
        <v>498</v>
      </c>
      <c r="J1039" s="43">
        <v>2026.0</v>
      </c>
      <c r="K1039" s="42" t="s">
        <v>105</v>
      </c>
    </row>
    <row r="1040" ht="12.75" customHeight="1">
      <c r="A1040" s="42" t="s">
        <v>1371</v>
      </c>
      <c r="B1040" s="21">
        <v>46330.0</v>
      </c>
      <c r="C1040" s="20" t="s">
        <v>171</v>
      </c>
      <c r="D1040" s="21">
        <v>46327.0</v>
      </c>
      <c r="E1040" s="21">
        <v>46333.0</v>
      </c>
      <c r="F1040" s="20" t="s">
        <v>1368</v>
      </c>
      <c r="G1040" s="42" t="s">
        <v>97</v>
      </c>
      <c r="H1040" s="20" t="s">
        <v>71</v>
      </c>
      <c r="I1040" s="9" t="s">
        <v>498</v>
      </c>
      <c r="J1040" s="43">
        <v>2026.0</v>
      </c>
      <c r="K1040" s="42" t="s">
        <v>105</v>
      </c>
    </row>
    <row r="1041" ht="12.75" customHeight="1">
      <c r="A1041" s="42" t="s">
        <v>1372</v>
      </c>
      <c r="B1041" s="21">
        <v>46331.0</v>
      </c>
      <c r="C1041" s="20" t="s">
        <v>173</v>
      </c>
      <c r="D1041" s="21">
        <v>46327.0</v>
      </c>
      <c r="E1041" s="21">
        <v>46333.0</v>
      </c>
      <c r="F1041" s="20" t="s">
        <v>1368</v>
      </c>
      <c r="G1041" s="42" t="s">
        <v>97</v>
      </c>
      <c r="H1041" s="20" t="s">
        <v>71</v>
      </c>
      <c r="I1041" s="9" t="s">
        <v>498</v>
      </c>
      <c r="J1041" s="43">
        <v>2026.0</v>
      </c>
      <c r="K1041" s="42" t="s">
        <v>105</v>
      </c>
    </row>
    <row r="1042" ht="12.75" customHeight="1">
      <c r="A1042" s="42" t="s">
        <v>1373</v>
      </c>
      <c r="B1042" s="21">
        <v>46332.0</v>
      </c>
      <c r="C1042" s="20" t="s">
        <v>175</v>
      </c>
      <c r="D1042" s="21">
        <v>46327.0</v>
      </c>
      <c r="E1042" s="21">
        <v>46333.0</v>
      </c>
      <c r="F1042" s="20" t="s">
        <v>1368</v>
      </c>
      <c r="G1042" s="42" t="s">
        <v>97</v>
      </c>
      <c r="H1042" s="20" t="s">
        <v>71</v>
      </c>
      <c r="I1042" s="9" t="s">
        <v>498</v>
      </c>
      <c r="J1042" s="43">
        <v>2026.0</v>
      </c>
      <c r="K1042" s="42" t="s">
        <v>105</v>
      </c>
    </row>
    <row r="1043" ht="12.75" customHeight="1">
      <c r="A1043" s="42" t="s">
        <v>1374</v>
      </c>
      <c r="B1043" s="21">
        <v>46333.0</v>
      </c>
      <c r="C1043" s="20" t="s">
        <v>177</v>
      </c>
      <c r="D1043" s="21">
        <v>46327.0</v>
      </c>
      <c r="E1043" s="21">
        <v>46333.0</v>
      </c>
      <c r="F1043" s="20" t="s">
        <v>1368</v>
      </c>
      <c r="G1043" s="42" t="s">
        <v>97</v>
      </c>
      <c r="H1043" s="20" t="s">
        <v>71</v>
      </c>
      <c r="I1043" s="9" t="s">
        <v>498</v>
      </c>
      <c r="J1043" s="43">
        <v>2026.0</v>
      </c>
      <c r="K1043" s="42" t="s">
        <v>105</v>
      </c>
    </row>
    <row r="1044" ht="12.75" customHeight="1">
      <c r="A1044" s="42" t="s">
        <v>1375</v>
      </c>
      <c r="B1044" s="21">
        <v>46334.0</v>
      </c>
      <c r="C1044" s="20" t="s">
        <v>179</v>
      </c>
      <c r="D1044" s="21">
        <v>46334.0</v>
      </c>
      <c r="E1044" s="21">
        <v>46340.0</v>
      </c>
      <c r="F1044" s="20" t="s">
        <v>1376</v>
      </c>
      <c r="G1044" s="42" t="s">
        <v>97</v>
      </c>
      <c r="H1044" s="20" t="s">
        <v>71</v>
      </c>
      <c r="I1044" s="9" t="s">
        <v>498</v>
      </c>
      <c r="J1044" s="43">
        <v>2026.0</v>
      </c>
      <c r="K1044" s="42" t="s">
        <v>106</v>
      </c>
    </row>
    <row r="1045" ht="12.75" customHeight="1">
      <c r="A1045" s="42" t="s">
        <v>1377</v>
      </c>
      <c r="B1045" s="21">
        <v>46335.0</v>
      </c>
      <c r="C1045" s="20" t="s">
        <v>163</v>
      </c>
      <c r="D1045" s="21">
        <v>46334.0</v>
      </c>
      <c r="E1045" s="21">
        <v>46340.0</v>
      </c>
      <c r="F1045" s="20" t="s">
        <v>1376</v>
      </c>
      <c r="G1045" s="42" t="s">
        <v>97</v>
      </c>
      <c r="H1045" s="20" t="s">
        <v>71</v>
      </c>
      <c r="I1045" s="9" t="s">
        <v>498</v>
      </c>
      <c r="J1045" s="43">
        <v>2026.0</v>
      </c>
      <c r="K1045" s="42" t="s">
        <v>106</v>
      </c>
    </row>
    <row r="1046" ht="12.75" customHeight="1">
      <c r="A1046" s="42" t="s">
        <v>1378</v>
      </c>
      <c r="B1046" s="21">
        <v>46336.0</v>
      </c>
      <c r="C1046" s="20" t="s">
        <v>169</v>
      </c>
      <c r="D1046" s="21">
        <v>46334.0</v>
      </c>
      <c r="E1046" s="21">
        <v>46340.0</v>
      </c>
      <c r="F1046" s="20" t="s">
        <v>1376</v>
      </c>
      <c r="G1046" s="42" t="s">
        <v>97</v>
      </c>
      <c r="H1046" s="20" t="s">
        <v>71</v>
      </c>
      <c r="I1046" s="9" t="s">
        <v>498</v>
      </c>
      <c r="J1046" s="43">
        <v>2026.0</v>
      </c>
      <c r="K1046" s="42" t="s">
        <v>106</v>
      </c>
    </row>
    <row r="1047" ht="12.75" customHeight="1">
      <c r="A1047" s="42" t="s">
        <v>1379</v>
      </c>
      <c r="B1047" s="21">
        <v>46337.0</v>
      </c>
      <c r="C1047" s="20" t="s">
        <v>171</v>
      </c>
      <c r="D1047" s="21">
        <v>46334.0</v>
      </c>
      <c r="E1047" s="21">
        <v>46340.0</v>
      </c>
      <c r="F1047" s="20" t="s">
        <v>1376</v>
      </c>
      <c r="G1047" s="42" t="s">
        <v>97</v>
      </c>
      <c r="H1047" s="20" t="s">
        <v>71</v>
      </c>
      <c r="I1047" s="9" t="s">
        <v>498</v>
      </c>
      <c r="J1047" s="43">
        <v>2026.0</v>
      </c>
      <c r="K1047" s="42" t="s">
        <v>106</v>
      </c>
    </row>
    <row r="1048" ht="12.75" customHeight="1">
      <c r="A1048" s="42" t="s">
        <v>1380</v>
      </c>
      <c r="B1048" s="21">
        <v>46338.0</v>
      </c>
      <c r="C1048" s="20" t="s">
        <v>173</v>
      </c>
      <c r="D1048" s="21">
        <v>46334.0</v>
      </c>
      <c r="E1048" s="21">
        <v>46340.0</v>
      </c>
      <c r="F1048" s="20" t="s">
        <v>1376</v>
      </c>
      <c r="G1048" s="42" t="s">
        <v>97</v>
      </c>
      <c r="H1048" s="20" t="s">
        <v>71</v>
      </c>
      <c r="I1048" s="9" t="s">
        <v>498</v>
      </c>
      <c r="J1048" s="43">
        <v>2026.0</v>
      </c>
      <c r="K1048" s="42" t="s">
        <v>106</v>
      </c>
    </row>
    <row r="1049" ht="12.75" customHeight="1">
      <c r="A1049" s="42" t="s">
        <v>1381</v>
      </c>
      <c r="B1049" s="21">
        <v>46339.0</v>
      </c>
      <c r="C1049" s="20" t="s">
        <v>175</v>
      </c>
      <c r="D1049" s="21">
        <v>46334.0</v>
      </c>
      <c r="E1049" s="21">
        <v>46340.0</v>
      </c>
      <c r="F1049" s="20" t="s">
        <v>1376</v>
      </c>
      <c r="G1049" s="42" t="s">
        <v>97</v>
      </c>
      <c r="H1049" s="20" t="s">
        <v>71</v>
      </c>
      <c r="I1049" s="9" t="s">
        <v>498</v>
      </c>
      <c r="J1049" s="43">
        <v>2026.0</v>
      </c>
      <c r="K1049" s="42" t="s">
        <v>106</v>
      </c>
    </row>
    <row r="1050" ht="12.75" customHeight="1">
      <c r="A1050" s="42" t="s">
        <v>1382</v>
      </c>
      <c r="B1050" s="21">
        <v>46340.0</v>
      </c>
      <c r="C1050" s="20" t="s">
        <v>177</v>
      </c>
      <c r="D1050" s="21">
        <v>46334.0</v>
      </c>
      <c r="E1050" s="21">
        <v>46340.0</v>
      </c>
      <c r="F1050" s="20" t="s">
        <v>1376</v>
      </c>
      <c r="G1050" s="42" t="s">
        <v>97</v>
      </c>
      <c r="H1050" s="20" t="s">
        <v>71</v>
      </c>
      <c r="I1050" s="9" t="s">
        <v>498</v>
      </c>
      <c r="J1050" s="43">
        <v>2026.0</v>
      </c>
      <c r="K1050" s="42" t="s">
        <v>106</v>
      </c>
    </row>
    <row r="1051" ht="12.75" customHeight="1">
      <c r="A1051" s="42" t="s">
        <v>1383</v>
      </c>
      <c r="B1051" s="21">
        <v>46341.0</v>
      </c>
      <c r="C1051" s="20" t="s">
        <v>179</v>
      </c>
      <c r="D1051" s="21">
        <v>46341.0</v>
      </c>
      <c r="E1051" s="21">
        <v>46347.0</v>
      </c>
      <c r="F1051" s="20" t="s">
        <v>1384</v>
      </c>
      <c r="G1051" s="42" t="s">
        <v>97</v>
      </c>
      <c r="H1051" s="20" t="s">
        <v>71</v>
      </c>
      <c r="I1051" s="9" t="s">
        <v>498</v>
      </c>
      <c r="J1051" s="43">
        <v>2026.0</v>
      </c>
      <c r="K1051" s="42" t="s">
        <v>107</v>
      </c>
    </row>
    <row r="1052" ht="12.75" customHeight="1">
      <c r="A1052" s="42" t="s">
        <v>1385</v>
      </c>
      <c r="B1052" s="21">
        <v>46342.0</v>
      </c>
      <c r="C1052" s="20" t="s">
        <v>163</v>
      </c>
      <c r="D1052" s="21">
        <v>46341.0</v>
      </c>
      <c r="E1052" s="21">
        <v>46347.0</v>
      </c>
      <c r="F1052" s="20" t="s">
        <v>1384</v>
      </c>
      <c r="G1052" s="42" t="s">
        <v>97</v>
      </c>
      <c r="H1052" s="20" t="s">
        <v>71</v>
      </c>
      <c r="I1052" s="9" t="s">
        <v>498</v>
      </c>
      <c r="J1052" s="43">
        <v>2026.0</v>
      </c>
      <c r="K1052" s="42" t="s">
        <v>107</v>
      </c>
    </row>
    <row r="1053" ht="12.75" customHeight="1">
      <c r="A1053" s="42" t="s">
        <v>1386</v>
      </c>
      <c r="B1053" s="21">
        <v>46343.0</v>
      </c>
      <c r="C1053" s="20" t="s">
        <v>169</v>
      </c>
      <c r="D1053" s="21">
        <v>46341.0</v>
      </c>
      <c r="E1053" s="21">
        <v>46347.0</v>
      </c>
      <c r="F1053" s="20" t="s">
        <v>1384</v>
      </c>
      <c r="G1053" s="42" t="s">
        <v>97</v>
      </c>
      <c r="H1053" s="20" t="s">
        <v>71</v>
      </c>
      <c r="I1053" s="9" t="s">
        <v>498</v>
      </c>
      <c r="J1053" s="43">
        <v>2026.0</v>
      </c>
      <c r="K1053" s="42" t="s">
        <v>107</v>
      </c>
    </row>
    <row r="1054" ht="12.75" customHeight="1">
      <c r="A1054" s="42" t="s">
        <v>1387</v>
      </c>
      <c r="B1054" s="21">
        <v>46344.0</v>
      </c>
      <c r="C1054" s="20" t="s">
        <v>171</v>
      </c>
      <c r="D1054" s="21">
        <v>46341.0</v>
      </c>
      <c r="E1054" s="21">
        <v>46347.0</v>
      </c>
      <c r="F1054" s="20" t="s">
        <v>1384</v>
      </c>
      <c r="G1054" s="42" t="s">
        <v>97</v>
      </c>
      <c r="H1054" s="20" t="s">
        <v>71</v>
      </c>
      <c r="I1054" s="9" t="s">
        <v>498</v>
      </c>
      <c r="J1054" s="43">
        <v>2026.0</v>
      </c>
      <c r="K1054" s="42" t="s">
        <v>107</v>
      </c>
    </row>
    <row r="1055" ht="12.75" customHeight="1">
      <c r="A1055" s="42" t="s">
        <v>1388</v>
      </c>
      <c r="B1055" s="21">
        <v>46345.0</v>
      </c>
      <c r="C1055" s="20" t="s">
        <v>173</v>
      </c>
      <c r="D1055" s="21">
        <v>46341.0</v>
      </c>
      <c r="E1055" s="21">
        <v>46347.0</v>
      </c>
      <c r="F1055" s="20" t="s">
        <v>1384</v>
      </c>
      <c r="G1055" s="42" t="s">
        <v>97</v>
      </c>
      <c r="H1055" s="20" t="s">
        <v>71</v>
      </c>
      <c r="I1055" s="9" t="s">
        <v>498</v>
      </c>
      <c r="J1055" s="43">
        <v>2026.0</v>
      </c>
      <c r="K1055" s="42" t="s">
        <v>107</v>
      </c>
    </row>
    <row r="1056" ht="12.75" customHeight="1">
      <c r="A1056" s="42" t="s">
        <v>1389</v>
      </c>
      <c r="B1056" s="21">
        <v>46346.0</v>
      </c>
      <c r="C1056" s="20" t="s">
        <v>175</v>
      </c>
      <c r="D1056" s="21">
        <v>46341.0</v>
      </c>
      <c r="E1056" s="21">
        <v>46347.0</v>
      </c>
      <c r="F1056" s="20" t="s">
        <v>1384</v>
      </c>
      <c r="G1056" s="42" t="s">
        <v>97</v>
      </c>
      <c r="H1056" s="20" t="s">
        <v>71</v>
      </c>
      <c r="I1056" s="9" t="s">
        <v>498</v>
      </c>
      <c r="J1056" s="43">
        <v>2026.0</v>
      </c>
      <c r="K1056" s="42" t="s">
        <v>107</v>
      </c>
    </row>
    <row r="1057" ht="12.75" customHeight="1">
      <c r="A1057" s="42" t="s">
        <v>1390</v>
      </c>
      <c r="B1057" s="21">
        <v>46347.0</v>
      </c>
      <c r="C1057" s="20" t="s">
        <v>177</v>
      </c>
      <c r="D1057" s="21">
        <v>46341.0</v>
      </c>
      <c r="E1057" s="21">
        <v>46347.0</v>
      </c>
      <c r="F1057" s="20" t="s">
        <v>1384</v>
      </c>
      <c r="G1057" s="42" t="s">
        <v>97</v>
      </c>
      <c r="H1057" s="20" t="s">
        <v>71</v>
      </c>
      <c r="I1057" s="9" t="s">
        <v>498</v>
      </c>
      <c r="J1057" s="43">
        <v>2026.0</v>
      </c>
      <c r="K1057" s="42" t="s">
        <v>107</v>
      </c>
    </row>
    <row r="1058" ht="12.75" customHeight="1">
      <c r="A1058" s="42" t="s">
        <v>1391</v>
      </c>
      <c r="B1058" s="21">
        <v>46348.0</v>
      </c>
      <c r="C1058" s="20" t="s">
        <v>179</v>
      </c>
      <c r="D1058" s="21">
        <v>46348.0</v>
      </c>
      <c r="E1058" s="21">
        <v>46354.0</v>
      </c>
      <c r="F1058" s="20" t="s">
        <v>1392</v>
      </c>
      <c r="G1058" s="42" t="s">
        <v>97</v>
      </c>
      <c r="H1058" s="20" t="s">
        <v>71</v>
      </c>
      <c r="I1058" s="9" t="s">
        <v>498</v>
      </c>
      <c r="J1058" s="43">
        <v>2026.0</v>
      </c>
      <c r="K1058" s="42" t="s">
        <v>108</v>
      </c>
    </row>
    <row r="1059" ht="12.75" customHeight="1">
      <c r="A1059" s="42" t="s">
        <v>1393</v>
      </c>
      <c r="B1059" s="21">
        <v>46349.0</v>
      </c>
      <c r="C1059" s="20" t="s">
        <v>163</v>
      </c>
      <c r="D1059" s="21">
        <v>46348.0</v>
      </c>
      <c r="E1059" s="21">
        <v>46354.0</v>
      </c>
      <c r="F1059" s="20" t="s">
        <v>1392</v>
      </c>
      <c r="G1059" s="42" t="s">
        <v>97</v>
      </c>
      <c r="H1059" s="20" t="s">
        <v>71</v>
      </c>
      <c r="I1059" s="9" t="s">
        <v>498</v>
      </c>
      <c r="J1059" s="43">
        <v>2026.0</v>
      </c>
      <c r="K1059" s="42" t="s">
        <v>108</v>
      </c>
    </row>
    <row r="1060" ht="12.75" customHeight="1">
      <c r="A1060" s="42" t="s">
        <v>1394</v>
      </c>
      <c r="B1060" s="21">
        <v>46350.0</v>
      </c>
      <c r="C1060" s="20" t="s">
        <v>169</v>
      </c>
      <c r="D1060" s="21">
        <v>46348.0</v>
      </c>
      <c r="E1060" s="21">
        <v>46354.0</v>
      </c>
      <c r="F1060" s="20" t="s">
        <v>1392</v>
      </c>
      <c r="G1060" s="42" t="s">
        <v>97</v>
      </c>
      <c r="H1060" s="20" t="s">
        <v>71</v>
      </c>
      <c r="I1060" s="9" t="s">
        <v>498</v>
      </c>
      <c r="J1060" s="43">
        <v>2026.0</v>
      </c>
      <c r="K1060" s="42" t="s">
        <v>108</v>
      </c>
    </row>
    <row r="1061" ht="12.75" customHeight="1">
      <c r="A1061" s="42" t="s">
        <v>1395</v>
      </c>
      <c r="B1061" s="21">
        <v>46351.0</v>
      </c>
      <c r="C1061" s="20" t="s">
        <v>171</v>
      </c>
      <c r="D1061" s="21">
        <v>46348.0</v>
      </c>
      <c r="E1061" s="21">
        <v>46354.0</v>
      </c>
      <c r="F1061" s="20" t="s">
        <v>1392</v>
      </c>
      <c r="G1061" s="42" t="s">
        <v>97</v>
      </c>
      <c r="H1061" s="20" t="s">
        <v>71</v>
      </c>
      <c r="I1061" s="9" t="s">
        <v>498</v>
      </c>
      <c r="J1061" s="43">
        <v>2026.0</v>
      </c>
      <c r="K1061" s="42" t="s">
        <v>108</v>
      </c>
    </row>
    <row r="1062" ht="12.75" customHeight="1">
      <c r="A1062" s="42" t="s">
        <v>1396</v>
      </c>
      <c r="B1062" s="21">
        <v>46352.0</v>
      </c>
      <c r="C1062" s="20" t="s">
        <v>173</v>
      </c>
      <c r="D1062" s="21">
        <v>46348.0</v>
      </c>
      <c r="E1062" s="21">
        <v>46354.0</v>
      </c>
      <c r="F1062" s="20" t="s">
        <v>1392</v>
      </c>
      <c r="G1062" s="42" t="s">
        <v>97</v>
      </c>
      <c r="H1062" s="20" t="s">
        <v>71</v>
      </c>
      <c r="I1062" s="9" t="s">
        <v>498</v>
      </c>
      <c r="J1062" s="43">
        <v>2026.0</v>
      </c>
      <c r="K1062" s="42" t="s">
        <v>108</v>
      </c>
    </row>
    <row r="1063" ht="12.75" customHeight="1">
      <c r="A1063" s="42" t="s">
        <v>1397</v>
      </c>
      <c r="B1063" s="21">
        <v>46353.0</v>
      </c>
      <c r="C1063" s="20" t="s">
        <v>175</v>
      </c>
      <c r="D1063" s="21">
        <v>46348.0</v>
      </c>
      <c r="E1063" s="21">
        <v>46354.0</v>
      </c>
      <c r="F1063" s="20" t="s">
        <v>1392</v>
      </c>
      <c r="G1063" s="42" t="s">
        <v>97</v>
      </c>
      <c r="H1063" s="20" t="s">
        <v>71</v>
      </c>
      <c r="I1063" s="9" t="s">
        <v>498</v>
      </c>
      <c r="J1063" s="43">
        <v>2026.0</v>
      </c>
      <c r="K1063" s="42" t="s">
        <v>108</v>
      </c>
    </row>
    <row r="1064" ht="12.75" customHeight="1">
      <c r="A1064" s="42" t="s">
        <v>1398</v>
      </c>
      <c r="B1064" s="21">
        <v>46354.0</v>
      </c>
      <c r="C1064" s="20" t="s">
        <v>177</v>
      </c>
      <c r="D1064" s="21">
        <v>46348.0</v>
      </c>
      <c r="E1064" s="21">
        <v>46354.0</v>
      </c>
      <c r="F1064" s="20" t="s">
        <v>1392</v>
      </c>
      <c r="G1064" s="42" t="s">
        <v>97</v>
      </c>
      <c r="H1064" s="20" t="s">
        <v>71</v>
      </c>
      <c r="I1064" s="9" t="s">
        <v>498</v>
      </c>
      <c r="J1064" s="43">
        <v>2026.0</v>
      </c>
      <c r="K1064" s="42" t="s">
        <v>108</v>
      </c>
    </row>
    <row r="1065" ht="12.75" customHeight="1">
      <c r="A1065" s="42" t="s">
        <v>1399</v>
      </c>
      <c r="B1065" s="21">
        <v>46355.0</v>
      </c>
      <c r="C1065" s="20" t="s">
        <v>179</v>
      </c>
      <c r="D1065" s="21">
        <v>46355.0</v>
      </c>
      <c r="E1065" s="21">
        <v>46361.0</v>
      </c>
      <c r="F1065" s="20" t="s">
        <v>1400</v>
      </c>
      <c r="G1065" s="42" t="s">
        <v>97</v>
      </c>
      <c r="H1065" s="20" t="s">
        <v>71</v>
      </c>
      <c r="I1065" s="9" t="s">
        <v>498</v>
      </c>
      <c r="J1065" s="43">
        <v>2026.0</v>
      </c>
      <c r="K1065" s="42" t="s">
        <v>109</v>
      </c>
    </row>
    <row r="1066" ht="12.75" customHeight="1">
      <c r="A1066" s="42" t="s">
        <v>1401</v>
      </c>
      <c r="B1066" s="21">
        <v>46356.0</v>
      </c>
      <c r="C1066" s="20" t="s">
        <v>163</v>
      </c>
      <c r="D1066" s="21">
        <v>46355.0</v>
      </c>
      <c r="E1066" s="21">
        <v>46361.0</v>
      </c>
      <c r="F1066" s="20" t="s">
        <v>1400</v>
      </c>
      <c r="G1066" s="42" t="s">
        <v>97</v>
      </c>
      <c r="H1066" s="20" t="s">
        <v>71</v>
      </c>
      <c r="I1066" s="9" t="s">
        <v>498</v>
      </c>
      <c r="J1066" s="43">
        <v>2026.0</v>
      </c>
      <c r="K1066" s="42" t="s">
        <v>109</v>
      </c>
    </row>
    <row r="1067" ht="12.75" customHeight="1">
      <c r="A1067" s="42" t="s">
        <v>1402</v>
      </c>
      <c r="B1067" s="21">
        <v>46357.0</v>
      </c>
      <c r="C1067" s="20" t="s">
        <v>169</v>
      </c>
      <c r="D1067" s="21">
        <v>46355.0</v>
      </c>
      <c r="E1067" s="21">
        <v>46361.0</v>
      </c>
      <c r="F1067" s="20" t="s">
        <v>1400</v>
      </c>
      <c r="G1067" s="42" t="s">
        <v>98</v>
      </c>
      <c r="H1067" s="20" t="s">
        <v>66</v>
      </c>
      <c r="I1067" s="9" t="s">
        <v>498</v>
      </c>
      <c r="J1067" s="43">
        <v>2026.0</v>
      </c>
      <c r="K1067" s="42" t="s">
        <v>109</v>
      </c>
    </row>
    <row r="1068" ht="12.75" customHeight="1">
      <c r="A1068" s="42" t="s">
        <v>1403</v>
      </c>
      <c r="B1068" s="21">
        <v>46358.0</v>
      </c>
      <c r="C1068" s="20" t="s">
        <v>171</v>
      </c>
      <c r="D1068" s="21">
        <v>46355.0</v>
      </c>
      <c r="E1068" s="21">
        <v>46361.0</v>
      </c>
      <c r="F1068" s="20" t="s">
        <v>1400</v>
      </c>
      <c r="G1068" s="42" t="s">
        <v>98</v>
      </c>
      <c r="H1068" s="20" t="s">
        <v>66</v>
      </c>
      <c r="I1068" s="9" t="s">
        <v>498</v>
      </c>
      <c r="J1068" s="43">
        <v>2026.0</v>
      </c>
      <c r="K1068" s="42" t="s">
        <v>109</v>
      </c>
    </row>
    <row r="1069" ht="12.75" customHeight="1">
      <c r="A1069" s="42" t="s">
        <v>1404</v>
      </c>
      <c r="B1069" s="21">
        <v>46359.0</v>
      </c>
      <c r="C1069" s="20" t="s">
        <v>173</v>
      </c>
      <c r="D1069" s="21">
        <v>46355.0</v>
      </c>
      <c r="E1069" s="21">
        <v>46361.0</v>
      </c>
      <c r="F1069" s="20" t="s">
        <v>1400</v>
      </c>
      <c r="G1069" s="42" t="s">
        <v>98</v>
      </c>
      <c r="H1069" s="20" t="s">
        <v>66</v>
      </c>
      <c r="I1069" s="9" t="s">
        <v>498</v>
      </c>
      <c r="J1069" s="43">
        <v>2026.0</v>
      </c>
      <c r="K1069" s="42" t="s">
        <v>109</v>
      </c>
    </row>
    <row r="1070" ht="12.75" customHeight="1">
      <c r="A1070" s="42" t="s">
        <v>1405</v>
      </c>
      <c r="B1070" s="21">
        <v>46360.0</v>
      </c>
      <c r="C1070" s="20" t="s">
        <v>175</v>
      </c>
      <c r="D1070" s="21">
        <v>46355.0</v>
      </c>
      <c r="E1070" s="21">
        <v>46361.0</v>
      </c>
      <c r="F1070" s="20" t="s">
        <v>1400</v>
      </c>
      <c r="G1070" s="42" t="s">
        <v>98</v>
      </c>
      <c r="H1070" s="20" t="s">
        <v>66</v>
      </c>
      <c r="I1070" s="9" t="s">
        <v>498</v>
      </c>
      <c r="J1070" s="43">
        <v>2026.0</v>
      </c>
      <c r="K1070" s="42" t="s">
        <v>109</v>
      </c>
    </row>
    <row r="1071" ht="12.75" customHeight="1">
      <c r="A1071" s="42" t="s">
        <v>1406</v>
      </c>
      <c r="B1071" s="21">
        <v>46361.0</v>
      </c>
      <c r="C1071" s="20" t="s">
        <v>177</v>
      </c>
      <c r="D1071" s="21">
        <v>46355.0</v>
      </c>
      <c r="E1071" s="21">
        <v>46361.0</v>
      </c>
      <c r="F1071" s="20" t="s">
        <v>1400</v>
      </c>
      <c r="G1071" s="42" t="s">
        <v>98</v>
      </c>
      <c r="H1071" s="20" t="s">
        <v>66</v>
      </c>
      <c r="I1071" s="9" t="s">
        <v>498</v>
      </c>
      <c r="J1071" s="43">
        <v>2026.0</v>
      </c>
      <c r="K1071" s="42" t="s">
        <v>109</v>
      </c>
    </row>
    <row r="1072" ht="12.75" customHeight="1">
      <c r="A1072" s="42" t="s">
        <v>1407</v>
      </c>
      <c r="B1072" s="21">
        <v>46362.0</v>
      </c>
      <c r="C1072" s="20" t="s">
        <v>179</v>
      </c>
      <c r="D1072" s="21">
        <v>46362.0</v>
      </c>
      <c r="E1072" s="21">
        <v>46368.0</v>
      </c>
      <c r="F1072" s="20" t="s">
        <v>1408</v>
      </c>
      <c r="G1072" s="42" t="s">
        <v>98</v>
      </c>
      <c r="H1072" s="20" t="s">
        <v>66</v>
      </c>
      <c r="I1072" s="9" t="s">
        <v>498</v>
      </c>
      <c r="J1072" s="43">
        <v>2026.0</v>
      </c>
      <c r="K1072" s="42" t="s">
        <v>83</v>
      </c>
    </row>
    <row r="1073" ht="12.75" customHeight="1">
      <c r="A1073" s="42" t="s">
        <v>1409</v>
      </c>
      <c r="B1073" s="21">
        <v>46363.0</v>
      </c>
      <c r="C1073" s="20" t="s">
        <v>163</v>
      </c>
      <c r="D1073" s="21">
        <v>46362.0</v>
      </c>
      <c r="E1073" s="21">
        <v>46368.0</v>
      </c>
      <c r="F1073" s="20" t="s">
        <v>1408</v>
      </c>
      <c r="G1073" s="42" t="s">
        <v>98</v>
      </c>
      <c r="H1073" s="20" t="s">
        <v>66</v>
      </c>
      <c r="I1073" s="9" t="s">
        <v>498</v>
      </c>
      <c r="J1073" s="43">
        <v>2026.0</v>
      </c>
      <c r="K1073" s="42" t="s">
        <v>83</v>
      </c>
    </row>
    <row r="1074" ht="12.75" customHeight="1">
      <c r="A1074" s="42" t="s">
        <v>1410</v>
      </c>
      <c r="B1074" s="21">
        <v>46364.0</v>
      </c>
      <c r="C1074" s="20" t="s">
        <v>169</v>
      </c>
      <c r="D1074" s="21">
        <v>46362.0</v>
      </c>
      <c r="E1074" s="21">
        <v>46368.0</v>
      </c>
      <c r="F1074" s="20" t="s">
        <v>1408</v>
      </c>
      <c r="G1074" s="42" t="s">
        <v>98</v>
      </c>
      <c r="H1074" s="20" t="s">
        <v>66</v>
      </c>
      <c r="I1074" s="9" t="s">
        <v>498</v>
      </c>
      <c r="J1074" s="43">
        <v>2026.0</v>
      </c>
      <c r="K1074" s="42" t="s">
        <v>83</v>
      </c>
    </row>
    <row r="1075" ht="12.75" customHeight="1">
      <c r="A1075" s="42" t="s">
        <v>1411</v>
      </c>
      <c r="B1075" s="21">
        <v>46365.0</v>
      </c>
      <c r="C1075" s="20" t="s">
        <v>171</v>
      </c>
      <c r="D1075" s="21">
        <v>46362.0</v>
      </c>
      <c r="E1075" s="21">
        <v>46368.0</v>
      </c>
      <c r="F1075" s="20" t="s">
        <v>1408</v>
      </c>
      <c r="G1075" s="42" t="s">
        <v>98</v>
      </c>
      <c r="H1075" s="20" t="s">
        <v>66</v>
      </c>
      <c r="I1075" s="9" t="s">
        <v>498</v>
      </c>
      <c r="J1075" s="43">
        <v>2026.0</v>
      </c>
      <c r="K1075" s="42" t="s">
        <v>83</v>
      </c>
    </row>
    <row r="1076" ht="12.75" customHeight="1">
      <c r="A1076" s="42" t="s">
        <v>1412</v>
      </c>
      <c r="B1076" s="21">
        <v>46366.0</v>
      </c>
      <c r="C1076" s="20" t="s">
        <v>173</v>
      </c>
      <c r="D1076" s="21">
        <v>46362.0</v>
      </c>
      <c r="E1076" s="21">
        <v>46368.0</v>
      </c>
      <c r="F1076" s="20" t="s">
        <v>1408</v>
      </c>
      <c r="G1076" s="42" t="s">
        <v>98</v>
      </c>
      <c r="H1076" s="20" t="s">
        <v>66</v>
      </c>
      <c r="I1076" s="9" t="s">
        <v>498</v>
      </c>
      <c r="J1076" s="43">
        <v>2026.0</v>
      </c>
      <c r="K1076" s="42" t="s">
        <v>83</v>
      </c>
    </row>
    <row r="1077" ht="12.75" customHeight="1">
      <c r="A1077" s="42" t="s">
        <v>1413</v>
      </c>
      <c r="B1077" s="21">
        <v>46367.0</v>
      </c>
      <c r="C1077" s="20" t="s">
        <v>175</v>
      </c>
      <c r="D1077" s="21">
        <v>46362.0</v>
      </c>
      <c r="E1077" s="21">
        <v>46368.0</v>
      </c>
      <c r="F1077" s="20" t="s">
        <v>1408</v>
      </c>
      <c r="G1077" s="42" t="s">
        <v>98</v>
      </c>
      <c r="H1077" s="20" t="s">
        <v>66</v>
      </c>
      <c r="I1077" s="9" t="s">
        <v>498</v>
      </c>
      <c r="J1077" s="43">
        <v>2026.0</v>
      </c>
      <c r="K1077" s="42" t="s">
        <v>83</v>
      </c>
    </row>
    <row r="1078" ht="12.75" customHeight="1">
      <c r="A1078" s="42" t="s">
        <v>1414</v>
      </c>
      <c r="B1078" s="21">
        <v>46368.0</v>
      </c>
      <c r="C1078" s="20" t="s">
        <v>177</v>
      </c>
      <c r="D1078" s="21">
        <v>46362.0</v>
      </c>
      <c r="E1078" s="21">
        <v>46368.0</v>
      </c>
      <c r="F1078" s="20" t="s">
        <v>1408</v>
      </c>
      <c r="G1078" s="42" t="s">
        <v>98</v>
      </c>
      <c r="H1078" s="20" t="s">
        <v>66</v>
      </c>
      <c r="I1078" s="9" t="s">
        <v>498</v>
      </c>
      <c r="J1078" s="43">
        <v>2026.0</v>
      </c>
      <c r="K1078" s="42" t="s">
        <v>83</v>
      </c>
    </row>
    <row r="1079" ht="12.75" customHeight="1">
      <c r="A1079" s="42" t="s">
        <v>1415</v>
      </c>
      <c r="B1079" s="21">
        <v>46369.0</v>
      </c>
      <c r="C1079" s="20" t="s">
        <v>179</v>
      </c>
      <c r="D1079" s="21">
        <v>46369.0</v>
      </c>
      <c r="E1079" s="21">
        <v>46375.0</v>
      </c>
      <c r="F1079" s="20" t="s">
        <v>1416</v>
      </c>
      <c r="G1079" s="42" t="s">
        <v>98</v>
      </c>
      <c r="H1079" s="20" t="s">
        <v>66</v>
      </c>
      <c r="I1079" s="9" t="s">
        <v>498</v>
      </c>
      <c r="J1079" s="43">
        <v>2026.0</v>
      </c>
      <c r="K1079" s="42" t="s">
        <v>84</v>
      </c>
    </row>
    <row r="1080" ht="12.75" customHeight="1">
      <c r="A1080" s="42" t="s">
        <v>1417</v>
      </c>
      <c r="B1080" s="21">
        <v>46370.0</v>
      </c>
      <c r="C1080" s="20" t="s">
        <v>163</v>
      </c>
      <c r="D1080" s="21">
        <v>46369.0</v>
      </c>
      <c r="E1080" s="21">
        <v>46375.0</v>
      </c>
      <c r="F1080" s="20" t="s">
        <v>1416</v>
      </c>
      <c r="G1080" s="42" t="s">
        <v>98</v>
      </c>
      <c r="H1080" s="20" t="s">
        <v>66</v>
      </c>
      <c r="I1080" s="9" t="s">
        <v>498</v>
      </c>
      <c r="J1080" s="43">
        <v>2026.0</v>
      </c>
      <c r="K1080" s="42" t="s">
        <v>84</v>
      </c>
    </row>
    <row r="1081" ht="12.75" customHeight="1">
      <c r="A1081" s="42" t="s">
        <v>1418</v>
      </c>
      <c r="B1081" s="21">
        <v>46371.0</v>
      </c>
      <c r="C1081" s="20" t="s">
        <v>169</v>
      </c>
      <c r="D1081" s="21">
        <v>46369.0</v>
      </c>
      <c r="E1081" s="21">
        <v>46375.0</v>
      </c>
      <c r="F1081" s="20" t="s">
        <v>1416</v>
      </c>
      <c r="G1081" s="42" t="s">
        <v>98</v>
      </c>
      <c r="H1081" s="20" t="s">
        <v>66</v>
      </c>
      <c r="I1081" s="9" t="s">
        <v>498</v>
      </c>
      <c r="J1081" s="43">
        <v>2026.0</v>
      </c>
      <c r="K1081" s="42" t="s">
        <v>84</v>
      </c>
    </row>
    <row r="1082" ht="12.75" customHeight="1">
      <c r="A1082" s="42" t="s">
        <v>1419</v>
      </c>
      <c r="B1082" s="21">
        <v>46372.0</v>
      </c>
      <c r="C1082" s="20" t="s">
        <v>171</v>
      </c>
      <c r="D1082" s="21">
        <v>46369.0</v>
      </c>
      <c r="E1082" s="21">
        <v>46375.0</v>
      </c>
      <c r="F1082" s="20" t="s">
        <v>1416</v>
      </c>
      <c r="G1082" s="42" t="s">
        <v>98</v>
      </c>
      <c r="H1082" s="20" t="s">
        <v>66</v>
      </c>
      <c r="I1082" s="9" t="s">
        <v>498</v>
      </c>
      <c r="J1082" s="43">
        <v>2026.0</v>
      </c>
      <c r="K1082" s="42" t="s">
        <v>84</v>
      </c>
    </row>
    <row r="1083" ht="12.75" customHeight="1">
      <c r="A1083" s="42" t="s">
        <v>1420</v>
      </c>
      <c r="B1083" s="21">
        <v>46373.0</v>
      </c>
      <c r="C1083" s="20" t="s">
        <v>173</v>
      </c>
      <c r="D1083" s="21">
        <v>46369.0</v>
      </c>
      <c r="E1083" s="21">
        <v>46375.0</v>
      </c>
      <c r="F1083" s="20" t="s">
        <v>1416</v>
      </c>
      <c r="G1083" s="42" t="s">
        <v>98</v>
      </c>
      <c r="H1083" s="20" t="s">
        <v>66</v>
      </c>
      <c r="I1083" s="9" t="s">
        <v>498</v>
      </c>
      <c r="J1083" s="43">
        <v>2026.0</v>
      </c>
      <c r="K1083" s="42" t="s">
        <v>84</v>
      </c>
    </row>
    <row r="1084" ht="12.75" customHeight="1">
      <c r="A1084" s="42" t="s">
        <v>1421</v>
      </c>
      <c r="B1084" s="21">
        <v>46374.0</v>
      </c>
      <c r="C1084" s="20" t="s">
        <v>175</v>
      </c>
      <c r="D1084" s="21">
        <v>46369.0</v>
      </c>
      <c r="E1084" s="21">
        <v>46375.0</v>
      </c>
      <c r="F1084" s="20" t="s">
        <v>1416</v>
      </c>
      <c r="G1084" s="42" t="s">
        <v>98</v>
      </c>
      <c r="H1084" s="20" t="s">
        <v>66</v>
      </c>
      <c r="I1084" s="9" t="s">
        <v>498</v>
      </c>
      <c r="J1084" s="43">
        <v>2026.0</v>
      </c>
      <c r="K1084" s="42" t="s">
        <v>84</v>
      </c>
    </row>
    <row r="1085" ht="12.75" customHeight="1">
      <c r="A1085" s="42" t="s">
        <v>1422</v>
      </c>
      <c r="B1085" s="21">
        <v>46375.0</v>
      </c>
      <c r="C1085" s="20" t="s">
        <v>177</v>
      </c>
      <c r="D1085" s="21">
        <v>46369.0</v>
      </c>
      <c r="E1085" s="21">
        <v>46375.0</v>
      </c>
      <c r="F1085" s="20" t="s">
        <v>1416</v>
      </c>
      <c r="G1085" s="42" t="s">
        <v>98</v>
      </c>
      <c r="H1085" s="20" t="s">
        <v>66</v>
      </c>
      <c r="I1085" s="9" t="s">
        <v>498</v>
      </c>
      <c r="J1085" s="43">
        <v>2026.0</v>
      </c>
      <c r="K1085" s="42" t="s">
        <v>84</v>
      </c>
    </row>
    <row r="1086" ht="12.75" customHeight="1">
      <c r="A1086" s="42" t="s">
        <v>1423</v>
      </c>
      <c r="B1086" s="21">
        <v>46376.0</v>
      </c>
      <c r="C1086" s="20" t="s">
        <v>179</v>
      </c>
      <c r="D1086" s="21">
        <v>46376.0</v>
      </c>
      <c r="E1086" s="21">
        <v>46382.0</v>
      </c>
      <c r="F1086" s="20" t="s">
        <v>1424</v>
      </c>
      <c r="G1086" s="42" t="s">
        <v>98</v>
      </c>
      <c r="H1086" s="20" t="s">
        <v>66</v>
      </c>
      <c r="I1086" s="9" t="s">
        <v>498</v>
      </c>
      <c r="J1086" s="43">
        <v>2026.0</v>
      </c>
      <c r="K1086" s="42" t="s">
        <v>85</v>
      </c>
    </row>
    <row r="1087" ht="12.75" customHeight="1">
      <c r="A1087" s="42" t="s">
        <v>1425</v>
      </c>
      <c r="B1087" s="21">
        <v>46377.0</v>
      </c>
      <c r="C1087" s="20" t="s">
        <v>163</v>
      </c>
      <c r="D1087" s="21">
        <v>46376.0</v>
      </c>
      <c r="E1087" s="21">
        <v>46382.0</v>
      </c>
      <c r="F1087" s="20" t="s">
        <v>1424</v>
      </c>
      <c r="G1087" s="42" t="s">
        <v>98</v>
      </c>
      <c r="H1087" s="20" t="s">
        <v>66</v>
      </c>
      <c r="I1087" s="9" t="s">
        <v>498</v>
      </c>
      <c r="J1087" s="43">
        <v>2026.0</v>
      </c>
      <c r="K1087" s="42" t="s">
        <v>85</v>
      </c>
    </row>
    <row r="1088" ht="12.75" customHeight="1">
      <c r="A1088" s="42" t="s">
        <v>1426</v>
      </c>
      <c r="B1088" s="21">
        <v>46378.0</v>
      </c>
      <c r="C1088" s="20" t="s">
        <v>169</v>
      </c>
      <c r="D1088" s="21">
        <v>46376.0</v>
      </c>
      <c r="E1088" s="21">
        <v>46382.0</v>
      </c>
      <c r="F1088" s="20" t="s">
        <v>1424</v>
      </c>
      <c r="G1088" s="42" t="s">
        <v>98</v>
      </c>
      <c r="H1088" s="20" t="s">
        <v>66</v>
      </c>
      <c r="I1088" s="9" t="s">
        <v>498</v>
      </c>
      <c r="J1088" s="43">
        <v>2026.0</v>
      </c>
      <c r="K1088" s="42" t="s">
        <v>85</v>
      </c>
    </row>
    <row r="1089" ht="12.75" customHeight="1">
      <c r="A1089" s="42" t="s">
        <v>1427</v>
      </c>
      <c r="B1089" s="21">
        <v>46379.0</v>
      </c>
      <c r="C1089" s="20" t="s">
        <v>171</v>
      </c>
      <c r="D1089" s="21">
        <v>46376.0</v>
      </c>
      <c r="E1089" s="21">
        <v>46382.0</v>
      </c>
      <c r="F1089" s="20" t="s">
        <v>1424</v>
      </c>
      <c r="G1089" s="42" t="s">
        <v>98</v>
      </c>
      <c r="H1089" s="20" t="s">
        <v>66</v>
      </c>
      <c r="I1089" s="9" t="s">
        <v>498</v>
      </c>
      <c r="J1089" s="43">
        <v>2026.0</v>
      </c>
      <c r="K1089" s="42" t="s">
        <v>85</v>
      </c>
    </row>
    <row r="1090" ht="12.75" customHeight="1">
      <c r="A1090" s="42" t="s">
        <v>1428</v>
      </c>
      <c r="B1090" s="21">
        <v>46380.0</v>
      </c>
      <c r="C1090" s="20" t="s">
        <v>173</v>
      </c>
      <c r="D1090" s="21">
        <v>46376.0</v>
      </c>
      <c r="E1090" s="21">
        <v>46382.0</v>
      </c>
      <c r="F1090" s="20" t="s">
        <v>1424</v>
      </c>
      <c r="G1090" s="42" t="s">
        <v>98</v>
      </c>
      <c r="H1090" s="20" t="s">
        <v>66</v>
      </c>
      <c r="I1090" s="9" t="s">
        <v>498</v>
      </c>
      <c r="J1090" s="43">
        <v>2026.0</v>
      </c>
      <c r="K1090" s="42" t="s">
        <v>85</v>
      </c>
    </row>
    <row r="1091" ht="12.75" customHeight="1">
      <c r="A1091" s="42" t="s">
        <v>1429</v>
      </c>
      <c r="B1091" s="21">
        <v>46381.0</v>
      </c>
      <c r="C1091" s="20" t="s">
        <v>175</v>
      </c>
      <c r="D1091" s="21">
        <v>46376.0</v>
      </c>
      <c r="E1091" s="21">
        <v>46382.0</v>
      </c>
      <c r="F1091" s="20" t="s">
        <v>1424</v>
      </c>
      <c r="G1091" s="42" t="s">
        <v>98</v>
      </c>
      <c r="H1091" s="20" t="s">
        <v>66</v>
      </c>
      <c r="I1091" s="9" t="s">
        <v>498</v>
      </c>
      <c r="J1091" s="43">
        <v>2026.0</v>
      </c>
      <c r="K1091" s="42" t="s">
        <v>85</v>
      </c>
    </row>
    <row r="1092" ht="12.75" customHeight="1">
      <c r="A1092" s="42" t="s">
        <v>1430</v>
      </c>
      <c r="B1092" s="21">
        <v>46382.0</v>
      </c>
      <c r="C1092" s="20" t="s">
        <v>177</v>
      </c>
      <c r="D1092" s="21">
        <v>46376.0</v>
      </c>
      <c r="E1092" s="21">
        <v>46382.0</v>
      </c>
      <c r="F1092" s="20" t="s">
        <v>1424</v>
      </c>
      <c r="G1092" s="42" t="s">
        <v>98</v>
      </c>
      <c r="H1092" s="20" t="s">
        <v>66</v>
      </c>
      <c r="I1092" s="9" t="s">
        <v>498</v>
      </c>
      <c r="J1092" s="43">
        <v>2026.0</v>
      </c>
      <c r="K1092" s="42" t="s">
        <v>85</v>
      </c>
    </row>
    <row r="1093" ht="12.75" customHeight="1">
      <c r="A1093" s="42" t="s">
        <v>1431</v>
      </c>
      <c r="B1093" s="21">
        <v>46383.0</v>
      </c>
      <c r="C1093" s="20" t="s">
        <v>179</v>
      </c>
      <c r="D1093" s="21">
        <v>46383.0</v>
      </c>
      <c r="E1093" s="21">
        <v>46389.0</v>
      </c>
      <c r="F1093" s="20" t="s">
        <v>1432</v>
      </c>
      <c r="G1093" s="42" t="s">
        <v>98</v>
      </c>
      <c r="H1093" s="20" t="s">
        <v>66</v>
      </c>
      <c r="I1093" s="9" t="s">
        <v>498</v>
      </c>
      <c r="J1093" s="43">
        <v>2026.0</v>
      </c>
      <c r="K1093" s="42" t="s">
        <v>86</v>
      </c>
    </row>
    <row r="1094" ht="12.75" customHeight="1">
      <c r="A1094" s="42" t="s">
        <v>1433</v>
      </c>
      <c r="B1094" s="21">
        <v>46384.0</v>
      </c>
      <c r="C1094" s="20" t="s">
        <v>163</v>
      </c>
      <c r="D1094" s="21">
        <v>46383.0</v>
      </c>
      <c r="E1094" s="21">
        <v>46389.0</v>
      </c>
      <c r="F1094" s="20" t="s">
        <v>1432</v>
      </c>
      <c r="G1094" s="42" t="s">
        <v>98</v>
      </c>
      <c r="H1094" s="20" t="s">
        <v>66</v>
      </c>
      <c r="I1094" s="9" t="s">
        <v>498</v>
      </c>
      <c r="J1094" s="43">
        <v>2026.0</v>
      </c>
      <c r="K1094" s="42" t="s">
        <v>86</v>
      </c>
    </row>
    <row r="1095" ht="12.75" customHeight="1">
      <c r="A1095" s="42" t="s">
        <v>1434</v>
      </c>
      <c r="B1095" s="21">
        <v>46385.0</v>
      </c>
      <c r="C1095" s="20" t="s">
        <v>169</v>
      </c>
      <c r="D1095" s="21">
        <v>46383.0</v>
      </c>
      <c r="E1095" s="21">
        <v>46389.0</v>
      </c>
      <c r="F1095" s="20" t="s">
        <v>1432</v>
      </c>
      <c r="G1095" s="42" t="s">
        <v>98</v>
      </c>
      <c r="H1095" s="20" t="s">
        <v>66</v>
      </c>
      <c r="I1095" s="9" t="s">
        <v>498</v>
      </c>
      <c r="J1095" s="43">
        <v>2026.0</v>
      </c>
      <c r="K1095" s="42" t="s">
        <v>86</v>
      </c>
    </row>
    <row r="1096" ht="12.75" customHeight="1">
      <c r="A1096" s="42" t="s">
        <v>1435</v>
      </c>
      <c r="B1096" s="21">
        <v>46386.0</v>
      </c>
      <c r="C1096" s="20" t="s">
        <v>171</v>
      </c>
      <c r="D1096" s="21">
        <v>46383.0</v>
      </c>
      <c r="E1096" s="21">
        <v>46389.0</v>
      </c>
      <c r="F1096" s="20" t="s">
        <v>1432</v>
      </c>
      <c r="G1096" s="42" t="s">
        <v>98</v>
      </c>
      <c r="H1096" s="20" t="s">
        <v>66</v>
      </c>
      <c r="I1096" s="9" t="s">
        <v>498</v>
      </c>
      <c r="J1096" s="43">
        <v>2026.0</v>
      </c>
      <c r="K1096" s="42" t="s">
        <v>86</v>
      </c>
    </row>
    <row r="1097" ht="12.75" customHeight="1">
      <c r="A1097" s="42" t="s">
        <v>1436</v>
      </c>
      <c r="B1097" s="21">
        <v>46387.0</v>
      </c>
      <c r="C1097" s="20" t="s">
        <v>173</v>
      </c>
      <c r="D1097" s="21">
        <v>46383.0</v>
      </c>
      <c r="E1097" s="21">
        <v>46389.0</v>
      </c>
      <c r="F1097" s="20" t="s">
        <v>1432</v>
      </c>
      <c r="G1097" s="42" t="s">
        <v>98</v>
      </c>
      <c r="H1097" s="20" t="s">
        <v>66</v>
      </c>
      <c r="I1097" s="9" t="s">
        <v>498</v>
      </c>
      <c r="J1097" s="43">
        <v>2026.0</v>
      </c>
      <c r="K1097" s="42" t="s">
        <v>86</v>
      </c>
    </row>
  </sheetData>
  <hyperlinks>
    <hyperlink display="← Back to Cube Index" location="'Cube Index'!A1" ref="M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14.13"/>
    <col customWidth="1" min="3" max="3" width="41.38"/>
    <col customWidth="1" min="4" max="4" width="12.0"/>
    <col customWidth="1" min="5" max="5" width="6.0"/>
    <col customWidth="1" min="6" max="6" width="12.63"/>
    <col customWidth="1" min="7" max="7" width="13.38"/>
    <col customWidth="1" min="8" max="8" width="16.88"/>
    <col customWidth="1" min="9" max="10" width="10.63"/>
    <col customWidth="1" min="11" max="11" width="26.63"/>
    <col customWidth="1" min="12" max="26" width="10.63"/>
  </cols>
  <sheetData>
    <row r="1" ht="12.75" customHeight="1">
      <c r="A1" s="10" t="s">
        <v>1437</v>
      </c>
      <c r="B1" s="10" t="s">
        <v>48</v>
      </c>
      <c r="C1" s="10" t="s">
        <v>49</v>
      </c>
      <c r="D1" s="10" t="s">
        <v>53</v>
      </c>
      <c r="E1" s="10" t="s">
        <v>61</v>
      </c>
      <c r="F1" s="10" t="s">
        <v>62</v>
      </c>
      <c r="G1" s="10" t="s">
        <v>52</v>
      </c>
      <c r="H1" s="10" t="s">
        <v>1438</v>
      </c>
      <c r="K1" s="44" t="s">
        <v>161</v>
      </c>
    </row>
    <row r="2" ht="12.75" customHeight="1">
      <c r="A2" s="9" t="s">
        <v>1439</v>
      </c>
      <c r="B2" s="9" t="s">
        <v>132</v>
      </c>
      <c r="C2" s="9" t="s">
        <v>133</v>
      </c>
      <c r="D2" s="9" t="s">
        <v>131</v>
      </c>
      <c r="E2" s="9" t="s">
        <v>1440</v>
      </c>
      <c r="F2" s="9" t="s">
        <v>1441</v>
      </c>
      <c r="G2" s="9" t="s">
        <v>122</v>
      </c>
      <c r="H2" s="9" t="s">
        <v>1442</v>
      </c>
    </row>
    <row r="3" ht="12.75" customHeight="1">
      <c r="A3" s="9" t="s">
        <v>1443</v>
      </c>
      <c r="B3" s="9" t="s">
        <v>132</v>
      </c>
      <c r="C3" s="9" t="s">
        <v>134</v>
      </c>
      <c r="D3" s="9" t="s">
        <v>131</v>
      </c>
      <c r="E3" s="9" t="s">
        <v>1440</v>
      </c>
      <c r="F3" s="9" t="s">
        <v>1441</v>
      </c>
      <c r="G3" s="9" t="s">
        <v>122</v>
      </c>
      <c r="H3" s="9" t="s">
        <v>1444</v>
      </c>
    </row>
    <row r="4" ht="12.75" customHeight="1">
      <c r="A4" s="9" t="s">
        <v>1445</v>
      </c>
      <c r="B4" s="9" t="s">
        <v>132</v>
      </c>
      <c r="C4" s="9" t="s">
        <v>1446</v>
      </c>
      <c r="D4" s="9" t="s">
        <v>131</v>
      </c>
      <c r="E4" s="9" t="s">
        <v>1447</v>
      </c>
      <c r="F4" s="9" t="s">
        <v>1441</v>
      </c>
      <c r="G4" s="9" t="s">
        <v>122</v>
      </c>
      <c r="H4" s="9" t="s">
        <v>1448</v>
      </c>
    </row>
    <row r="5" ht="12.75" customHeight="1">
      <c r="A5" s="9" t="s">
        <v>1449</v>
      </c>
      <c r="B5" s="9" t="s">
        <v>132</v>
      </c>
      <c r="C5" s="9" t="s">
        <v>1450</v>
      </c>
      <c r="D5" s="9" t="s">
        <v>1451</v>
      </c>
      <c r="E5" s="9" t="s">
        <v>1447</v>
      </c>
      <c r="F5" s="9" t="s">
        <v>1441</v>
      </c>
      <c r="G5" s="9" t="s">
        <v>122</v>
      </c>
      <c r="H5" s="11" t="s">
        <v>1452</v>
      </c>
    </row>
    <row r="6" ht="12.75" customHeight="1">
      <c r="A6" s="9" t="s">
        <v>1453</v>
      </c>
      <c r="B6" s="9" t="s">
        <v>132</v>
      </c>
      <c r="C6" s="9" t="s">
        <v>142</v>
      </c>
      <c r="D6" s="9" t="s">
        <v>138</v>
      </c>
      <c r="E6" s="9" t="s">
        <v>1454</v>
      </c>
      <c r="F6" s="9" t="s">
        <v>1455</v>
      </c>
      <c r="G6" s="9" t="s">
        <v>143</v>
      </c>
      <c r="H6" s="9" t="s">
        <v>1456</v>
      </c>
    </row>
    <row r="7" ht="12.75" customHeight="1">
      <c r="A7" s="9" t="s">
        <v>1457</v>
      </c>
      <c r="B7" s="9" t="s">
        <v>132</v>
      </c>
      <c r="C7" s="9" t="s">
        <v>139</v>
      </c>
      <c r="D7" s="9" t="s">
        <v>138</v>
      </c>
      <c r="E7" s="9" t="s">
        <v>1454</v>
      </c>
      <c r="F7" s="9" t="s">
        <v>1455</v>
      </c>
      <c r="G7" s="9" t="s">
        <v>136</v>
      </c>
      <c r="H7" s="9" t="s">
        <v>1458</v>
      </c>
    </row>
    <row r="8" ht="12.75" customHeight="1">
      <c r="A8" s="9" t="s">
        <v>1459</v>
      </c>
      <c r="B8" s="9" t="s">
        <v>132</v>
      </c>
      <c r="C8" s="9" t="s">
        <v>140</v>
      </c>
      <c r="D8" s="9" t="s">
        <v>138</v>
      </c>
      <c r="E8" s="9" t="s">
        <v>1454</v>
      </c>
      <c r="F8" s="9" t="s">
        <v>1455</v>
      </c>
      <c r="G8" s="9" t="s">
        <v>141</v>
      </c>
      <c r="H8" s="9" t="s">
        <v>1460</v>
      </c>
    </row>
    <row r="9" ht="12.75" customHeight="1">
      <c r="A9" s="9" t="s">
        <v>1461</v>
      </c>
      <c r="B9" s="9" t="s">
        <v>118</v>
      </c>
      <c r="C9" s="9" t="s">
        <v>1462</v>
      </c>
      <c r="D9" s="9" t="s">
        <v>154</v>
      </c>
      <c r="E9" s="9" t="s">
        <v>1454</v>
      </c>
      <c r="F9" s="9" t="s">
        <v>1455</v>
      </c>
      <c r="G9" s="9" t="s">
        <v>122</v>
      </c>
      <c r="H9" s="9" t="s">
        <v>1463</v>
      </c>
    </row>
    <row r="10" ht="12.75" customHeight="1">
      <c r="A10" s="9" t="s">
        <v>1464</v>
      </c>
      <c r="B10" s="9" t="s">
        <v>118</v>
      </c>
      <c r="C10" s="9" t="s">
        <v>135</v>
      </c>
      <c r="D10" s="9" t="s">
        <v>131</v>
      </c>
      <c r="E10" s="9" t="s">
        <v>1454</v>
      </c>
      <c r="F10" s="9" t="s">
        <v>1441</v>
      </c>
      <c r="G10" s="9" t="s">
        <v>136</v>
      </c>
      <c r="H10" s="9" t="s">
        <v>1465</v>
      </c>
    </row>
    <row r="11" ht="12.75" customHeight="1">
      <c r="A11" s="9" t="s">
        <v>1466</v>
      </c>
      <c r="B11" s="9" t="s">
        <v>118</v>
      </c>
      <c r="C11" s="9" t="s">
        <v>155</v>
      </c>
      <c r="D11" s="9" t="s">
        <v>154</v>
      </c>
      <c r="E11" s="9" t="s">
        <v>1454</v>
      </c>
      <c r="F11" s="9" t="s">
        <v>1441</v>
      </c>
      <c r="G11" s="9" t="s">
        <v>141</v>
      </c>
      <c r="H11" s="9" t="s">
        <v>1467</v>
      </c>
    </row>
    <row r="12" ht="12.75" customHeight="1">
      <c r="A12" s="9" t="s">
        <v>1468</v>
      </c>
      <c r="B12" s="9" t="s">
        <v>118</v>
      </c>
      <c r="C12" s="9" t="s">
        <v>1469</v>
      </c>
      <c r="D12" s="9" t="s">
        <v>146</v>
      </c>
      <c r="E12" s="9" t="s">
        <v>1470</v>
      </c>
      <c r="F12" s="9" t="s">
        <v>1441</v>
      </c>
      <c r="G12" s="9" t="s">
        <v>122</v>
      </c>
      <c r="H12" s="9" t="s">
        <v>1471</v>
      </c>
    </row>
    <row r="13" ht="12.75" customHeight="1">
      <c r="A13" s="9" t="s">
        <v>1472</v>
      </c>
      <c r="B13" s="9" t="s">
        <v>118</v>
      </c>
      <c r="C13" s="9" t="s">
        <v>152</v>
      </c>
      <c r="D13" s="9" t="s">
        <v>146</v>
      </c>
      <c r="E13" s="9" t="s">
        <v>1454</v>
      </c>
      <c r="F13" s="9" t="s">
        <v>1441</v>
      </c>
      <c r="G13" s="9" t="s">
        <v>122</v>
      </c>
      <c r="H13" s="9" t="s">
        <v>1473</v>
      </c>
    </row>
    <row r="14" ht="12.75" customHeight="1">
      <c r="A14" s="9" t="s">
        <v>1474</v>
      </c>
      <c r="B14" s="9" t="s">
        <v>118</v>
      </c>
      <c r="C14" s="9" t="s">
        <v>119</v>
      </c>
      <c r="D14" s="9" t="s">
        <v>146</v>
      </c>
      <c r="E14" s="9" t="s">
        <v>1454</v>
      </c>
      <c r="F14" s="9" t="s">
        <v>1455</v>
      </c>
      <c r="G14" s="9" t="s">
        <v>122</v>
      </c>
      <c r="H14" s="9" t="s">
        <v>1475</v>
      </c>
    </row>
    <row r="15" ht="12.75" customHeight="1">
      <c r="A15" s="9" t="s">
        <v>1476</v>
      </c>
      <c r="B15" s="9" t="s">
        <v>118</v>
      </c>
      <c r="C15" s="9" t="s">
        <v>145</v>
      </c>
      <c r="D15" s="9" t="s">
        <v>144</v>
      </c>
      <c r="E15" s="9" t="s">
        <v>1470</v>
      </c>
      <c r="F15" s="9" t="s">
        <v>1441</v>
      </c>
      <c r="G15" s="9" t="s">
        <v>122</v>
      </c>
      <c r="H15" s="9" t="s">
        <v>1477</v>
      </c>
    </row>
    <row r="16" ht="12.75" customHeight="1">
      <c r="A16" s="9" t="s">
        <v>1478</v>
      </c>
      <c r="B16" s="9" t="s">
        <v>118</v>
      </c>
      <c r="C16" s="9" t="s">
        <v>1479</v>
      </c>
      <c r="D16" s="9" t="s">
        <v>146</v>
      </c>
      <c r="E16" s="9" t="s">
        <v>1480</v>
      </c>
      <c r="F16" s="9" t="s">
        <v>1441</v>
      </c>
      <c r="G16" s="9" t="s">
        <v>122</v>
      </c>
      <c r="H16" s="9" t="s">
        <v>1481</v>
      </c>
    </row>
    <row r="17" ht="12.75" customHeight="1">
      <c r="A17" s="9" t="s">
        <v>1482</v>
      </c>
      <c r="B17" s="9" t="s">
        <v>118</v>
      </c>
      <c r="C17" s="9" t="s">
        <v>148</v>
      </c>
      <c r="D17" s="9" t="s">
        <v>146</v>
      </c>
      <c r="E17" s="9" t="s">
        <v>1483</v>
      </c>
      <c r="F17" s="9" t="s">
        <v>1441</v>
      </c>
      <c r="G17" s="9" t="s">
        <v>122</v>
      </c>
      <c r="H17" s="9" t="s">
        <v>1484</v>
      </c>
    </row>
    <row r="18" ht="12.75" customHeight="1">
      <c r="A18" s="9" t="s">
        <v>1485</v>
      </c>
      <c r="B18" s="9" t="s">
        <v>118</v>
      </c>
      <c r="C18" s="9" t="s">
        <v>150</v>
      </c>
      <c r="D18" s="9" t="s">
        <v>146</v>
      </c>
      <c r="E18" s="9" t="s">
        <v>1486</v>
      </c>
      <c r="F18" s="9" t="s">
        <v>1441</v>
      </c>
      <c r="G18" s="9" t="s">
        <v>122</v>
      </c>
      <c r="H18" s="9" t="s">
        <v>1487</v>
      </c>
    </row>
    <row r="19" ht="12.75" customHeight="1">
      <c r="A19" s="9" t="s">
        <v>1488</v>
      </c>
      <c r="B19" s="9" t="s">
        <v>118</v>
      </c>
      <c r="C19" s="9" t="s">
        <v>147</v>
      </c>
      <c r="D19" s="9" t="s">
        <v>146</v>
      </c>
      <c r="E19" s="9" t="s">
        <v>1486</v>
      </c>
      <c r="F19" s="9" t="s">
        <v>1441</v>
      </c>
      <c r="G19" s="9" t="s">
        <v>122</v>
      </c>
      <c r="H19" s="9" t="s">
        <v>1489</v>
      </c>
    </row>
    <row r="20" ht="12.75" customHeight="1">
      <c r="A20" s="9" t="s">
        <v>1490</v>
      </c>
      <c r="B20" s="9" t="s">
        <v>118</v>
      </c>
      <c r="C20" s="9" t="s">
        <v>151</v>
      </c>
      <c r="D20" s="9" t="s">
        <v>146</v>
      </c>
      <c r="E20" s="9" t="s">
        <v>1470</v>
      </c>
      <c r="F20" s="9" t="s">
        <v>1441</v>
      </c>
      <c r="G20" s="9" t="s">
        <v>122</v>
      </c>
      <c r="H20" s="9" t="s">
        <v>1491</v>
      </c>
    </row>
    <row r="21" ht="12.75" customHeight="1">
      <c r="A21" s="9" t="s">
        <v>1492</v>
      </c>
      <c r="B21" s="9" t="s">
        <v>118</v>
      </c>
      <c r="C21" s="9" t="s">
        <v>149</v>
      </c>
      <c r="D21" s="9" t="s">
        <v>146</v>
      </c>
      <c r="E21" s="9" t="s">
        <v>1454</v>
      </c>
      <c r="F21" s="9" t="s">
        <v>1441</v>
      </c>
      <c r="G21" s="9" t="s">
        <v>122</v>
      </c>
      <c r="H21" s="9" t="s">
        <v>1493</v>
      </c>
    </row>
    <row r="22" ht="12.75" customHeight="1">
      <c r="A22" s="9" t="s">
        <v>1494</v>
      </c>
      <c r="B22" s="9" t="s">
        <v>118</v>
      </c>
      <c r="C22" s="9" t="s">
        <v>1495</v>
      </c>
      <c r="D22" s="9" t="s">
        <v>1496</v>
      </c>
      <c r="E22" s="9" t="s">
        <v>1454</v>
      </c>
      <c r="F22" s="9" t="s">
        <v>1441</v>
      </c>
      <c r="G22" s="9" t="s">
        <v>122</v>
      </c>
      <c r="H22" s="9" t="s">
        <v>1497</v>
      </c>
    </row>
    <row r="23" ht="12.75" customHeight="1">
      <c r="A23" s="9" t="s">
        <v>1498</v>
      </c>
      <c r="B23" s="9" t="s">
        <v>125</v>
      </c>
      <c r="C23" s="9" t="s">
        <v>126</v>
      </c>
      <c r="D23" s="9" t="s">
        <v>124</v>
      </c>
      <c r="E23" s="9" t="s">
        <v>1470</v>
      </c>
      <c r="F23" s="9" t="s">
        <v>1441</v>
      </c>
      <c r="G23" s="9" t="s">
        <v>122</v>
      </c>
      <c r="H23" s="9" t="s">
        <v>1499</v>
      </c>
    </row>
    <row r="24" ht="12.75" customHeight="1">
      <c r="A24" s="9" t="s">
        <v>1500</v>
      </c>
      <c r="B24" s="9" t="s">
        <v>125</v>
      </c>
      <c r="C24" s="9" t="s">
        <v>1501</v>
      </c>
      <c r="D24" s="9" t="s">
        <v>124</v>
      </c>
      <c r="E24" s="9" t="s">
        <v>1470</v>
      </c>
      <c r="F24" s="9" t="s">
        <v>1441</v>
      </c>
      <c r="G24" s="9" t="s">
        <v>122</v>
      </c>
      <c r="H24" s="9" t="s">
        <v>1502</v>
      </c>
    </row>
    <row r="25" ht="12.75" customHeight="1">
      <c r="A25" s="9" t="s">
        <v>1503</v>
      </c>
      <c r="B25" s="9" t="s">
        <v>125</v>
      </c>
      <c r="C25" s="9" t="s">
        <v>129</v>
      </c>
      <c r="D25" s="9" t="s">
        <v>124</v>
      </c>
      <c r="E25" s="9" t="s">
        <v>1470</v>
      </c>
      <c r="F25" s="9" t="s">
        <v>1441</v>
      </c>
      <c r="G25" s="9" t="s">
        <v>122</v>
      </c>
      <c r="H25" s="11" t="s">
        <v>1504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display="← Back to Cube Index" location="'Cube Index'!A1" ref="K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18.88"/>
    <col customWidth="1" min="3" max="3" width="44.13"/>
    <col customWidth="1" min="4" max="4" width="12.0"/>
    <col customWidth="1" min="5" max="5" width="19.0"/>
    <col customWidth="1" min="6" max="7" width="10.63"/>
    <col customWidth="1" min="8" max="8" width="26.63"/>
    <col customWidth="1" min="9" max="26" width="10.63"/>
  </cols>
  <sheetData>
    <row r="1" ht="12.75" customHeight="1">
      <c r="A1" s="10" t="s">
        <v>1505</v>
      </c>
      <c r="B1" s="10" t="s">
        <v>48</v>
      </c>
      <c r="C1" s="10" t="s">
        <v>1506</v>
      </c>
      <c r="D1" s="10" t="s">
        <v>53</v>
      </c>
      <c r="E1" s="10" t="s">
        <v>1507</v>
      </c>
      <c r="H1" s="44" t="s">
        <v>161</v>
      </c>
    </row>
    <row r="2" ht="12.75" customHeight="1">
      <c r="A2" s="9" t="s">
        <v>1508</v>
      </c>
      <c r="B2" s="9" t="s">
        <v>1509</v>
      </c>
      <c r="C2" s="9" t="s">
        <v>1510</v>
      </c>
      <c r="D2" s="9" t="s">
        <v>1511</v>
      </c>
    </row>
    <row r="3" ht="12.75" customHeight="1">
      <c r="A3" s="9" t="s">
        <v>1512</v>
      </c>
      <c r="B3" s="9" t="s">
        <v>1509</v>
      </c>
      <c r="C3" s="9" t="s">
        <v>1513</v>
      </c>
      <c r="D3" s="9" t="s">
        <v>1511</v>
      </c>
    </row>
    <row r="4" ht="12.75" customHeight="1">
      <c r="A4" s="9" t="s">
        <v>1514</v>
      </c>
      <c r="B4" s="9" t="s">
        <v>1509</v>
      </c>
      <c r="C4" s="9" t="s">
        <v>1515</v>
      </c>
      <c r="D4" s="9" t="s">
        <v>1511</v>
      </c>
    </row>
    <row r="5" ht="12.75" customHeight="1">
      <c r="A5" s="9" t="s">
        <v>1516</v>
      </c>
      <c r="B5" s="9" t="s">
        <v>1509</v>
      </c>
      <c r="C5" s="9" t="s">
        <v>1517</v>
      </c>
      <c r="D5" s="9" t="s">
        <v>1518</v>
      </c>
    </row>
    <row r="6" ht="12.75" customHeight="1">
      <c r="A6" s="9" t="s">
        <v>1519</v>
      </c>
      <c r="B6" s="9" t="s">
        <v>1509</v>
      </c>
      <c r="C6" s="9" t="s">
        <v>1520</v>
      </c>
      <c r="D6" s="9" t="s">
        <v>1521</v>
      </c>
    </row>
    <row r="7" ht="12.75" customHeight="1">
      <c r="A7" s="9" t="s">
        <v>1522</v>
      </c>
      <c r="B7" s="9" t="s">
        <v>1509</v>
      </c>
      <c r="C7" s="45" t="s">
        <v>1523</v>
      </c>
      <c r="D7" s="9" t="s">
        <v>124</v>
      </c>
    </row>
    <row r="8" ht="12.75" customHeight="1">
      <c r="A8" s="9" t="s">
        <v>1524</v>
      </c>
      <c r="B8" s="9" t="s">
        <v>1509</v>
      </c>
      <c r="C8" s="9" t="s">
        <v>1525</v>
      </c>
      <c r="D8" s="9" t="s">
        <v>1521</v>
      </c>
    </row>
    <row r="9" ht="12.75" customHeight="1">
      <c r="A9" s="9" t="s">
        <v>1526</v>
      </c>
      <c r="B9" s="9" t="s">
        <v>1509</v>
      </c>
      <c r="C9" s="9" t="s">
        <v>1527</v>
      </c>
      <c r="D9" s="9" t="s">
        <v>144</v>
      </c>
    </row>
    <row r="10" ht="12.75" customHeight="1">
      <c r="A10" s="9" t="s">
        <v>1528</v>
      </c>
      <c r="B10" s="9" t="s">
        <v>1509</v>
      </c>
      <c r="C10" s="9" t="s">
        <v>1529</v>
      </c>
      <c r="D10" s="9" t="s">
        <v>1511</v>
      </c>
    </row>
    <row r="11" ht="12.75" customHeight="1">
      <c r="A11" s="9" t="s">
        <v>1530</v>
      </c>
      <c r="B11" s="9" t="s">
        <v>1531</v>
      </c>
      <c r="C11" s="9" t="s">
        <v>1510</v>
      </c>
      <c r="D11" s="9" t="s">
        <v>144</v>
      </c>
    </row>
    <row r="12" ht="12.75" customHeight="1">
      <c r="A12" s="9" t="s">
        <v>1532</v>
      </c>
      <c r="B12" s="9" t="s">
        <v>1531</v>
      </c>
      <c r="C12" s="9" t="s">
        <v>1513</v>
      </c>
      <c r="D12" s="9" t="s">
        <v>1496</v>
      </c>
    </row>
    <row r="13" ht="12.75" customHeight="1">
      <c r="A13" s="9" t="s">
        <v>1533</v>
      </c>
      <c r="B13" s="9" t="s">
        <v>1531</v>
      </c>
      <c r="C13" s="9" t="s">
        <v>1534</v>
      </c>
      <c r="D13" s="9" t="s">
        <v>1496</v>
      </c>
    </row>
    <row r="14" ht="12.75" customHeight="1">
      <c r="A14" s="9" t="s">
        <v>1535</v>
      </c>
      <c r="B14" s="9" t="s">
        <v>1531</v>
      </c>
      <c r="C14" s="45" t="s">
        <v>1536</v>
      </c>
      <c r="D14" s="9" t="s">
        <v>1496</v>
      </c>
    </row>
    <row r="15" ht="12.75" customHeight="1">
      <c r="A15" s="9" t="s">
        <v>1537</v>
      </c>
      <c r="B15" s="9" t="s">
        <v>1531</v>
      </c>
      <c r="C15" s="9" t="s">
        <v>1525</v>
      </c>
      <c r="D15" s="9" t="s">
        <v>1538</v>
      </c>
    </row>
    <row r="16" ht="12.75" customHeight="1">
      <c r="A16" s="9" t="s">
        <v>1539</v>
      </c>
      <c r="B16" s="9" t="s">
        <v>1531</v>
      </c>
      <c r="C16" s="9" t="s">
        <v>1540</v>
      </c>
      <c r="D16" s="9" t="s">
        <v>1538</v>
      </c>
    </row>
    <row r="17" ht="12.75" customHeight="1">
      <c r="A17" s="9" t="s">
        <v>1541</v>
      </c>
      <c r="B17" s="9" t="s">
        <v>1531</v>
      </c>
      <c r="C17" s="9" t="s">
        <v>1542</v>
      </c>
      <c r="D17" s="9" t="s">
        <v>1543</v>
      </c>
    </row>
    <row r="18" ht="12.75" customHeight="1">
      <c r="A18" s="9" t="s">
        <v>1544</v>
      </c>
      <c r="B18" s="9" t="s">
        <v>1531</v>
      </c>
      <c r="C18" s="9" t="s">
        <v>1545</v>
      </c>
      <c r="D18" s="9" t="s">
        <v>1543</v>
      </c>
    </row>
    <row r="19" ht="12.75" customHeight="1">
      <c r="A19" s="9" t="s">
        <v>1546</v>
      </c>
      <c r="B19" s="9" t="s">
        <v>1531</v>
      </c>
      <c r="C19" s="9" t="s">
        <v>1547</v>
      </c>
      <c r="D19" s="9" t="s">
        <v>1543</v>
      </c>
    </row>
    <row r="20" ht="12.75" customHeight="1">
      <c r="A20" s="9" t="s">
        <v>1548</v>
      </c>
      <c r="B20" s="9" t="s">
        <v>1531</v>
      </c>
      <c r="C20" s="9" t="s">
        <v>1549</v>
      </c>
      <c r="D20" s="9" t="s">
        <v>1550</v>
      </c>
    </row>
    <row r="21" ht="12.75" customHeight="1">
      <c r="A21" s="9" t="s">
        <v>1551</v>
      </c>
      <c r="B21" s="9" t="s">
        <v>1531</v>
      </c>
      <c r="C21" s="9" t="s">
        <v>1552</v>
      </c>
      <c r="D21" s="9" t="s">
        <v>1553</v>
      </c>
    </row>
    <row r="22" ht="12.75" customHeight="1">
      <c r="A22" s="9" t="s">
        <v>1554</v>
      </c>
      <c r="B22" s="9" t="s">
        <v>1531</v>
      </c>
      <c r="C22" s="9" t="s">
        <v>1555</v>
      </c>
      <c r="D22" s="9" t="s">
        <v>1556</v>
      </c>
    </row>
    <row r="23" ht="12.75" customHeight="1">
      <c r="A23" s="9" t="s">
        <v>1557</v>
      </c>
      <c r="B23" s="9" t="s">
        <v>1531</v>
      </c>
      <c r="C23" s="9" t="s">
        <v>1558</v>
      </c>
      <c r="D23" s="9" t="s">
        <v>1559</v>
      </c>
    </row>
    <row r="24" ht="12.75" customHeight="1">
      <c r="A24" s="9" t="s">
        <v>1560</v>
      </c>
      <c r="B24" s="9" t="s">
        <v>1531</v>
      </c>
      <c r="C24" s="9" t="s">
        <v>1561</v>
      </c>
      <c r="D24" s="9" t="s">
        <v>144</v>
      </c>
    </row>
    <row r="25" ht="12.75" customHeight="1">
      <c r="A25" s="9" t="s">
        <v>1562</v>
      </c>
      <c r="B25" s="9" t="s">
        <v>1531</v>
      </c>
      <c r="C25" s="9" t="s">
        <v>1563</v>
      </c>
      <c r="D25" s="9" t="s">
        <v>144</v>
      </c>
    </row>
    <row r="26" ht="12.75" customHeight="1">
      <c r="A26" s="9" t="s">
        <v>1564</v>
      </c>
      <c r="B26" s="9" t="s">
        <v>1531</v>
      </c>
      <c r="C26" s="9" t="s">
        <v>1565</v>
      </c>
      <c r="D26" s="9" t="s">
        <v>1511</v>
      </c>
    </row>
    <row r="27" ht="12.75" customHeight="1">
      <c r="A27" s="9" t="s">
        <v>1566</v>
      </c>
      <c r="B27" s="9" t="s">
        <v>1531</v>
      </c>
      <c r="C27" s="9" t="s">
        <v>1567</v>
      </c>
      <c r="D27" s="9" t="s">
        <v>1511</v>
      </c>
    </row>
    <row r="28" ht="12.75" customHeight="1">
      <c r="A28" s="9" t="s">
        <v>1568</v>
      </c>
      <c r="B28" s="9" t="s">
        <v>1531</v>
      </c>
      <c r="C28" s="9" t="s">
        <v>1569</v>
      </c>
      <c r="D28" s="9" t="s">
        <v>144</v>
      </c>
    </row>
    <row r="29" ht="12.75" customHeight="1">
      <c r="A29" s="9" t="s">
        <v>1570</v>
      </c>
      <c r="B29" s="9" t="s">
        <v>1531</v>
      </c>
      <c r="C29" s="9" t="s">
        <v>1571</v>
      </c>
      <c r="D29" s="9" t="s">
        <v>144</v>
      </c>
    </row>
    <row r="30" ht="12.75" customHeight="1">
      <c r="A30" s="9" t="s">
        <v>1572</v>
      </c>
      <c r="B30" s="9" t="s">
        <v>1573</v>
      </c>
      <c r="C30" s="9" t="s">
        <v>1574</v>
      </c>
      <c r="D30" s="9" t="s">
        <v>1575</v>
      </c>
      <c r="E30" s="9" t="s">
        <v>1576</v>
      </c>
    </row>
    <row r="31" ht="12.75" customHeight="1">
      <c r="A31" s="9" t="s">
        <v>1577</v>
      </c>
      <c r="B31" s="9" t="s">
        <v>1573</v>
      </c>
      <c r="C31" s="9" t="s">
        <v>1578</v>
      </c>
      <c r="D31" s="9" t="s">
        <v>1575</v>
      </c>
      <c r="E31" s="9" t="s">
        <v>1579</v>
      </c>
    </row>
    <row r="32" ht="12.75" customHeight="1">
      <c r="A32" s="9" t="s">
        <v>1580</v>
      </c>
      <c r="B32" s="9" t="s">
        <v>1573</v>
      </c>
      <c r="C32" s="9" t="s">
        <v>1581</v>
      </c>
      <c r="D32" s="9" t="s">
        <v>1575</v>
      </c>
      <c r="E32" s="9" t="s">
        <v>1582</v>
      </c>
    </row>
    <row r="33" ht="12.75" customHeight="1">
      <c r="A33" s="9" t="s">
        <v>1583</v>
      </c>
      <c r="B33" s="9" t="s">
        <v>1573</v>
      </c>
      <c r="C33" s="9" t="s">
        <v>1584</v>
      </c>
      <c r="D33" s="9" t="s">
        <v>1575</v>
      </c>
      <c r="E33" s="9" t="s">
        <v>1585</v>
      </c>
    </row>
    <row r="34" ht="12.75" customHeight="1">
      <c r="A34" s="9" t="s">
        <v>1586</v>
      </c>
      <c r="B34" s="9" t="s">
        <v>1573</v>
      </c>
      <c r="C34" s="9" t="s">
        <v>1587</v>
      </c>
      <c r="D34" s="9" t="s">
        <v>1575</v>
      </c>
      <c r="E34" s="9" t="s">
        <v>1588</v>
      </c>
    </row>
    <row r="35" ht="12.75" customHeight="1">
      <c r="A35" s="9" t="s">
        <v>1589</v>
      </c>
      <c r="B35" s="9" t="s">
        <v>1573</v>
      </c>
      <c r="C35" s="9" t="s">
        <v>1590</v>
      </c>
      <c r="D35" s="9" t="s">
        <v>1575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display="← Back to Cube Index" location="'Cube Index'!A1" ref="H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13"/>
    <col customWidth="1" min="2" max="2" width="10.13"/>
    <col customWidth="1" min="3" max="3" width="14.13"/>
    <col customWidth="1" min="4" max="4" width="37.5"/>
    <col customWidth="1" min="5" max="5" width="13.88"/>
    <col customWidth="1" min="6" max="6" width="12.38"/>
    <col customWidth="1" min="7" max="7" width="13.38"/>
    <col customWidth="1" min="8" max="8" width="11.38"/>
    <col customWidth="1" min="9" max="9" width="9.88"/>
    <col customWidth="1" min="10" max="10" width="20.0"/>
    <col customWidth="1" min="11" max="12" width="10.63"/>
    <col customWidth="1" min="13" max="13" width="26.63"/>
    <col customWidth="1" min="14" max="26" width="10.63"/>
  </cols>
  <sheetData>
    <row r="1" ht="12.75" customHeight="1">
      <c r="A1" s="38" t="s">
        <v>46</v>
      </c>
      <c r="B1" s="39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46" t="s">
        <v>55</v>
      </c>
      <c r="M1" s="44" t="s">
        <v>161</v>
      </c>
    </row>
    <row r="2" ht="12.75" customHeight="1">
      <c r="A2" s="42" t="s">
        <v>1087</v>
      </c>
      <c r="B2" s="21">
        <v>46082.0</v>
      </c>
      <c r="C2" s="9" t="s">
        <v>132</v>
      </c>
      <c r="D2" s="9" t="s">
        <v>133</v>
      </c>
      <c r="E2" s="9" t="s">
        <v>120</v>
      </c>
      <c r="G2" s="9" t="s">
        <v>122</v>
      </c>
      <c r="H2" s="9" t="s">
        <v>131</v>
      </c>
      <c r="I2" s="9" t="s">
        <v>1591</v>
      </c>
      <c r="J2" s="47">
        <v>1.2E7</v>
      </c>
    </row>
    <row r="3" ht="12.75" customHeight="1">
      <c r="A3" s="42" t="s">
        <v>1095</v>
      </c>
      <c r="B3" s="21">
        <v>46089.0</v>
      </c>
      <c r="C3" s="9" t="s">
        <v>132</v>
      </c>
      <c r="D3" s="9" t="s">
        <v>133</v>
      </c>
      <c r="E3" s="9" t="s">
        <v>120</v>
      </c>
      <c r="G3" s="9" t="s">
        <v>122</v>
      </c>
      <c r="H3" s="9" t="s">
        <v>131</v>
      </c>
      <c r="I3" s="9" t="s">
        <v>1591</v>
      </c>
      <c r="J3" s="47">
        <v>1.2E7</v>
      </c>
    </row>
    <row r="4" ht="12.75" customHeight="1">
      <c r="A4" s="42" t="s">
        <v>1103</v>
      </c>
      <c r="B4" s="21">
        <v>46096.0</v>
      </c>
      <c r="C4" s="9" t="s">
        <v>132</v>
      </c>
      <c r="D4" s="9" t="s">
        <v>133</v>
      </c>
      <c r="E4" s="9" t="s">
        <v>120</v>
      </c>
      <c r="G4" s="9" t="s">
        <v>122</v>
      </c>
      <c r="H4" s="9" t="s">
        <v>131</v>
      </c>
      <c r="I4" s="9" t="s">
        <v>1591</v>
      </c>
      <c r="J4" s="47">
        <v>1.2E7</v>
      </c>
    </row>
    <row r="5" ht="12.75" customHeight="1">
      <c r="A5" s="42" t="s">
        <v>1111</v>
      </c>
      <c r="B5" s="21">
        <v>46103.0</v>
      </c>
      <c r="C5" s="9" t="s">
        <v>132</v>
      </c>
      <c r="D5" s="9" t="s">
        <v>133</v>
      </c>
      <c r="E5" s="9" t="s">
        <v>120</v>
      </c>
      <c r="G5" s="9" t="s">
        <v>122</v>
      </c>
      <c r="H5" s="9" t="s">
        <v>131</v>
      </c>
      <c r="I5" s="9" t="s">
        <v>1591</v>
      </c>
      <c r="J5" s="47">
        <v>1.2E7</v>
      </c>
    </row>
    <row r="6" ht="12.75" customHeight="1">
      <c r="A6" s="42" t="s">
        <v>1119</v>
      </c>
      <c r="B6" s="21">
        <v>46110.0</v>
      </c>
      <c r="C6" s="9" t="s">
        <v>132</v>
      </c>
      <c r="D6" s="9" t="s">
        <v>133</v>
      </c>
      <c r="E6" s="9" t="s">
        <v>120</v>
      </c>
      <c r="G6" s="9" t="s">
        <v>122</v>
      </c>
      <c r="H6" s="9" t="s">
        <v>131</v>
      </c>
      <c r="I6" s="9" t="s">
        <v>1591</v>
      </c>
      <c r="J6" s="47">
        <v>1.2E7</v>
      </c>
    </row>
    <row r="7" ht="12.75" customHeight="1">
      <c r="A7" s="42" t="s">
        <v>1127</v>
      </c>
      <c r="B7" s="21">
        <v>46117.0</v>
      </c>
      <c r="C7" s="9" t="s">
        <v>132</v>
      </c>
      <c r="D7" s="9" t="s">
        <v>133</v>
      </c>
      <c r="E7" s="9" t="s">
        <v>120</v>
      </c>
      <c r="G7" s="9" t="s">
        <v>122</v>
      </c>
      <c r="H7" s="9" t="s">
        <v>131</v>
      </c>
      <c r="I7" s="9" t="s">
        <v>1591</v>
      </c>
      <c r="J7" s="47">
        <v>1.2E7</v>
      </c>
    </row>
    <row r="8" ht="12.75" customHeight="1">
      <c r="A8" s="42" t="s">
        <v>1135</v>
      </c>
      <c r="B8" s="21">
        <v>46124.0</v>
      </c>
      <c r="C8" s="9" t="s">
        <v>132</v>
      </c>
      <c r="D8" s="9" t="s">
        <v>133</v>
      </c>
      <c r="E8" s="9" t="s">
        <v>120</v>
      </c>
      <c r="G8" s="9" t="s">
        <v>122</v>
      </c>
      <c r="H8" s="9" t="s">
        <v>131</v>
      </c>
      <c r="I8" s="9" t="s">
        <v>1591</v>
      </c>
      <c r="J8" s="47">
        <v>1.2E7</v>
      </c>
    </row>
    <row r="9" ht="12.75" customHeight="1">
      <c r="A9" s="42" t="s">
        <v>1143</v>
      </c>
      <c r="B9" s="21">
        <v>46131.0</v>
      </c>
      <c r="C9" s="9" t="s">
        <v>132</v>
      </c>
      <c r="D9" s="9" t="s">
        <v>133</v>
      </c>
      <c r="E9" s="9" t="s">
        <v>120</v>
      </c>
      <c r="G9" s="9" t="s">
        <v>122</v>
      </c>
      <c r="H9" s="9" t="s">
        <v>131</v>
      </c>
      <c r="I9" s="9" t="s">
        <v>1591</v>
      </c>
      <c r="J9" s="47">
        <v>1.2E7</v>
      </c>
    </row>
    <row r="10" ht="12.75" customHeight="1">
      <c r="A10" s="42" t="s">
        <v>1151</v>
      </c>
      <c r="B10" s="21">
        <v>46138.0</v>
      </c>
      <c r="C10" s="9" t="s">
        <v>132</v>
      </c>
      <c r="D10" s="9" t="s">
        <v>133</v>
      </c>
      <c r="E10" s="9" t="s">
        <v>120</v>
      </c>
      <c r="G10" s="9" t="s">
        <v>122</v>
      </c>
      <c r="H10" s="9" t="s">
        <v>131</v>
      </c>
      <c r="I10" s="9" t="s">
        <v>1591</v>
      </c>
      <c r="J10" s="47">
        <v>1.2E7</v>
      </c>
    </row>
    <row r="11" ht="12.75" customHeight="1">
      <c r="A11" s="42" t="s">
        <v>1159</v>
      </c>
      <c r="B11" s="21">
        <v>46145.0</v>
      </c>
      <c r="C11" s="9" t="s">
        <v>132</v>
      </c>
      <c r="D11" s="9" t="s">
        <v>133</v>
      </c>
      <c r="E11" s="9" t="s">
        <v>120</v>
      </c>
      <c r="G11" s="9" t="s">
        <v>122</v>
      </c>
      <c r="H11" s="9" t="s">
        <v>131</v>
      </c>
      <c r="I11" s="9" t="s">
        <v>1592</v>
      </c>
      <c r="J11" s="47">
        <v>1.3E7</v>
      </c>
    </row>
    <row r="12" ht="12.75" customHeight="1">
      <c r="A12" s="42" t="s">
        <v>1167</v>
      </c>
      <c r="B12" s="21">
        <v>46152.0</v>
      </c>
      <c r="C12" s="9" t="s">
        <v>132</v>
      </c>
      <c r="D12" s="9" t="s">
        <v>133</v>
      </c>
      <c r="E12" s="9" t="s">
        <v>120</v>
      </c>
      <c r="G12" s="9" t="s">
        <v>122</v>
      </c>
      <c r="H12" s="9" t="s">
        <v>131</v>
      </c>
      <c r="I12" s="9" t="s">
        <v>1592</v>
      </c>
      <c r="J12" s="47">
        <v>1.3E7</v>
      </c>
    </row>
    <row r="13" ht="12.75" customHeight="1">
      <c r="A13" s="42" t="s">
        <v>1175</v>
      </c>
      <c r="B13" s="21">
        <v>46159.0</v>
      </c>
      <c r="C13" s="9" t="s">
        <v>132</v>
      </c>
      <c r="D13" s="9" t="s">
        <v>133</v>
      </c>
      <c r="E13" s="9" t="s">
        <v>120</v>
      </c>
      <c r="G13" s="9" t="s">
        <v>122</v>
      </c>
      <c r="H13" s="9" t="s">
        <v>131</v>
      </c>
      <c r="I13" s="9" t="s">
        <v>1592</v>
      </c>
      <c r="J13" s="47">
        <v>1.3E7</v>
      </c>
    </row>
    <row r="14" ht="12.75" customHeight="1">
      <c r="A14" s="42" t="s">
        <v>1183</v>
      </c>
      <c r="B14" s="21">
        <v>46166.0</v>
      </c>
      <c r="C14" s="9" t="s">
        <v>132</v>
      </c>
      <c r="D14" s="9" t="s">
        <v>133</v>
      </c>
      <c r="E14" s="9" t="s">
        <v>120</v>
      </c>
      <c r="G14" s="9" t="s">
        <v>122</v>
      </c>
      <c r="H14" s="9" t="s">
        <v>131</v>
      </c>
      <c r="I14" s="9" t="s">
        <v>1592</v>
      </c>
      <c r="J14" s="47">
        <v>1.3E7</v>
      </c>
    </row>
    <row r="15" ht="12.75" customHeight="1">
      <c r="A15" s="42" t="s">
        <v>1193</v>
      </c>
      <c r="B15" s="21">
        <v>46174.0</v>
      </c>
      <c r="C15" s="9" t="s">
        <v>132</v>
      </c>
      <c r="D15" s="9" t="s">
        <v>133</v>
      </c>
      <c r="E15" s="9" t="s">
        <v>120</v>
      </c>
      <c r="G15" s="9" t="s">
        <v>122</v>
      </c>
      <c r="H15" s="9" t="s">
        <v>131</v>
      </c>
      <c r="I15" s="9" t="s">
        <v>1592</v>
      </c>
      <c r="J15" s="47">
        <v>1.3E7</v>
      </c>
    </row>
    <row r="16" ht="12.75" customHeight="1">
      <c r="A16" s="42" t="s">
        <v>1199</v>
      </c>
      <c r="B16" s="21">
        <v>46180.0</v>
      </c>
      <c r="C16" s="9" t="s">
        <v>132</v>
      </c>
      <c r="D16" s="9" t="s">
        <v>133</v>
      </c>
      <c r="E16" s="9" t="s">
        <v>120</v>
      </c>
      <c r="G16" s="9" t="s">
        <v>122</v>
      </c>
      <c r="H16" s="9" t="s">
        <v>131</v>
      </c>
      <c r="I16" s="9" t="s">
        <v>1592</v>
      </c>
      <c r="J16" s="47">
        <v>1.3E7</v>
      </c>
    </row>
    <row r="17" ht="12.75" customHeight="1">
      <c r="A17" s="42" t="s">
        <v>1207</v>
      </c>
      <c r="B17" s="21">
        <v>46187.0</v>
      </c>
      <c r="C17" s="9" t="s">
        <v>132</v>
      </c>
      <c r="D17" s="9" t="s">
        <v>133</v>
      </c>
      <c r="E17" s="9" t="s">
        <v>120</v>
      </c>
      <c r="G17" s="9" t="s">
        <v>122</v>
      </c>
      <c r="H17" s="9" t="s">
        <v>131</v>
      </c>
      <c r="I17" s="9" t="s">
        <v>1592</v>
      </c>
      <c r="J17" s="47">
        <v>1.3E7</v>
      </c>
    </row>
    <row r="18" ht="12.75" customHeight="1">
      <c r="A18" s="42" t="s">
        <v>1215</v>
      </c>
      <c r="B18" s="21">
        <v>46194.0</v>
      </c>
      <c r="C18" s="9" t="s">
        <v>132</v>
      </c>
      <c r="D18" s="9" t="s">
        <v>133</v>
      </c>
      <c r="E18" s="9" t="s">
        <v>120</v>
      </c>
      <c r="G18" s="9" t="s">
        <v>122</v>
      </c>
      <c r="H18" s="9" t="s">
        <v>131</v>
      </c>
      <c r="I18" s="9" t="s">
        <v>1592</v>
      </c>
      <c r="J18" s="47">
        <v>1.3E7</v>
      </c>
    </row>
    <row r="19" ht="12.75" customHeight="1">
      <c r="A19" s="42" t="s">
        <v>1223</v>
      </c>
      <c r="B19" s="21">
        <v>46201.0</v>
      </c>
      <c r="C19" s="9" t="s">
        <v>132</v>
      </c>
      <c r="D19" s="9" t="s">
        <v>133</v>
      </c>
      <c r="E19" s="9" t="s">
        <v>120</v>
      </c>
      <c r="G19" s="9" t="s">
        <v>122</v>
      </c>
      <c r="H19" s="9" t="s">
        <v>131</v>
      </c>
      <c r="I19" s="9" t="s">
        <v>1592</v>
      </c>
      <c r="J19" s="47">
        <v>1.3E7</v>
      </c>
    </row>
    <row r="20" ht="12.75" customHeight="1">
      <c r="A20" s="42" t="s">
        <v>1231</v>
      </c>
      <c r="B20" s="21">
        <v>46208.0</v>
      </c>
      <c r="C20" s="9" t="s">
        <v>132</v>
      </c>
      <c r="D20" s="9" t="s">
        <v>133</v>
      </c>
      <c r="E20" s="9" t="s">
        <v>120</v>
      </c>
      <c r="G20" s="9" t="s">
        <v>122</v>
      </c>
      <c r="H20" s="9" t="s">
        <v>131</v>
      </c>
      <c r="I20" s="9" t="s">
        <v>1593</v>
      </c>
      <c r="J20" s="47">
        <v>1.5E7</v>
      </c>
    </row>
    <row r="21" ht="12.75" customHeight="1">
      <c r="A21" s="42" t="s">
        <v>1239</v>
      </c>
      <c r="B21" s="21">
        <v>46215.0</v>
      </c>
      <c r="C21" s="9" t="s">
        <v>132</v>
      </c>
      <c r="D21" s="9" t="s">
        <v>133</v>
      </c>
      <c r="E21" s="9" t="s">
        <v>120</v>
      </c>
      <c r="G21" s="9" t="s">
        <v>122</v>
      </c>
      <c r="H21" s="9" t="s">
        <v>131</v>
      </c>
      <c r="I21" s="9" t="s">
        <v>1593</v>
      </c>
      <c r="J21" s="47">
        <v>1.5E7</v>
      </c>
    </row>
    <row r="22" ht="12.75" customHeight="1">
      <c r="A22" s="42" t="s">
        <v>1247</v>
      </c>
      <c r="B22" s="21">
        <v>46222.0</v>
      </c>
      <c r="C22" s="9" t="s">
        <v>132</v>
      </c>
      <c r="D22" s="9" t="s">
        <v>133</v>
      </c>
      <c r="E22" s="9" t="s">
        <v>120</v>
      </c>
      <c r="G22" s="9" t="s">
        <v>122</v>
      </c>
      <c r="H22" s="9" t="s">
        <v>131</v>
      </c>
      <c r="I22" s="9" t="s">
        <v>1593</v>
      </c>
      <c r="J22" s="47">
        <v>1.5E7</v>
      </c>
    </row>
    <row r="23" ht="12.75" customHeight="1">
      <c r="A23" s="42" t="s">
        <v>1255</v>
      </c>
      <c r="B23" s="21">
        <v>46229.0</v>
      </c>
      <c r="C23" s="9" t="s">
        <v>132</v>
      </c>
      <c r="D23" s="9" t="s">
        <v>133</v>
      </c>
      <c r="E23" s="9" t="s">
        <v>120</v>
      </c>
      <c r="G23" s="9" t="s">
        <v>122</v>
      </c>
      <c r="H23" s="9" t="s">
        <v>131</v>
      </c>
      <c r="I23" s="9" t="s">
        <v>1593</v>
      </c>
      <c r="J23" s="47">
        <v>1.5E7</v>
      </c>
    </row>
    <row r="24" ht="12.75" customHeight="1">
      <c r="A24" s="42" t="s">
        <v>1263</v>
      </c>
      <c r="B24" s="21">
        <v>46236.0</v>
      </c>
      <c r="C24" s="9" t="s">
        <v>132</v>
      </c>
      <c r="D24" s="9" t="s">
        <v>133</v>
      </c>
      <c r="E24" s="9" t="s">
        <v>120</v>
      </c>
      <c r="G24" s="9" t="s">
        <v>122</v>
      </c>
      <c r="H24" s="9" t="s">
        <v>131</v>
      </c>
      <c r="I24" s="9" t="s">
        <v>1594</v>
      </c>
      <c r="J24" s="47">
        <v>1.6E7</v>
      </c>
    </row>
    <row r="25" ht="12.75" customHeight="1">
      <c r="A25" s="42" t="s">
        <v>1271</v>
      </c>
      <c r="B25" s="21">
        <v>46243.0</v>
      </c>
      <c r="C25" s="9" t="s">
        <v>132</v>
      </c>
      <c r="D25" s="9" t="s">
        <v>133</v>
      </c>
      <c r="E25" s="9" t="s">
        <v>120</v>
      </c>
      <c r="G25" s="9" t="s">
        <v>122</v>
      </c>
      <c r="H25" s="9" t="s">
        <v>131</v>
      </c>
      <c r="I25" s="9" t="s">
        <v>1594</v>
      </c>
      <c r="J25" s="47">
        <v>1.6E7</v>
      </c>
    </row>
    <row r="26" ht="12.75" customHeight="1">
      <c r="A26" s="42" t="s">
        <v>1279</v>
      </c>
      <c r="B26" s="21">
        <v>46250.0</v>
      </c>
      <c r="C26" s="9" t="s">
        <v>132</v>
      </c>
      <c r="D26" s="9" t="s">
        <v>133</v>
      </c>
      <c r="E26" s="9" t="s">
        <v>120</v>
      </c>
      <c r="G26" s="9" t="s">
        <v>122</v>
      </c>
      <c r="H26" s="9" t="s">
        <v>131</v>
      </c>
      <c r="I26" s="9" t="s">
        <v>1594</v>
      </c>
      <c r="J26" s="47">
        <v>1.6E7</v>
      </c>
    </row>
    <row r="27" ht="12.75" customHeight="1">
      <c r="A27" s="42" t="s">
        <v>1287</v>
      </c>
      <c r="B27" s="21">
        <v>46257.0</v>
      </c>
      <c r="C27" s="9" t="s">
        <v>132</v>
      </c>
      <c r="D27" s="9" t="s">
        <v>133</v>
      </c>
      <c r="E27" s="9" t="s">
        <v>120</v>
      </c>
      <c r="G27" s="9" t="s">
        <v>122</v>
      </c>
      <c r="H27" s="9" t="s">
        <v>131</v>
      </c>
      <c r="I27" s="9" t="s">
        <v>1594</v>
      </c>
      <c r="J27" s="47">
        <v>1.6E7</v>
      </c>
    </row>
    <row r="28" ht="12.75" customHeight="1">
      <c r="A28" s="42" t="s">
        <v>1295</v>
      </c>
      <c r="B28" s="21">
        <v>46264.0</v>
      </c>
      <c r="C28" s="9" t="s">
        <v>132</v>
      </c>
      <c r="D28" s="9" t="s">
        <v>133</v>
      </c>
      <c r="E28" s="9" t="s">
        <v>120</v>
      </c>
      <c r="G28" s="9" t="s">
        <v>122</v>
      </c>
      <c r="H28" s="9" t="s">
        <v>131</v>
      </c>
      <c r="I28" s="9" t="s">
        <v>1595</v>
      </c>
      <c r="J28" s="47">
        <v>1.7E7</v>
      </c>
    </row>
    <row r="29" ht="12.75" customHeight="1">
      <c r="A29" s="42" t="s">
        <v>1303</v>
      </c>
      <c r="B29" s="21">
        <v>46271.0</v>
      </c>
      <c r="C29" s="9" t="s">
        <v>132</v>
      </c>
      <c r="D29" s="9" t="s">
        <v>133</v>
      </c>
      <c r="E29" s="9" t="s">
        <v>120</v>
      </c>
      <c r="G29" s="9" t="s">
        <v>122</v>
      </c>
      <c r="H29" s="9" t="s">
        <v>131</v>
      </c>
      <c r="I29" s="9" t="s">
        <v>1595</v>
      </c>
      <c r="J29" s="47">
        <v>1.7E7</v>
      </c>
    </row>
    <row r="30" ht="12.75" customHeight="1">
      <c r="A30" s="42" t="s">
        <v>1311</v>
      </c>
      <c r="B30" s="21">
        <v>46278.0</v>
      </c>
      <c r="C30" s="9" t="s">
        <v>132</v>
      </c>
      <c r="D30" s="9" t="s">
        <v>133</v>
      </c>
      <c r="E30" s="9" t="s">
        <v>120</v>
      </c>
      <c r="G30" s="9" t="s">
        <v>122</v>
      </c>
      <c r="H30" s="9" t="s">
        <v>131</v>
      </c>
      <c r="I30" s="9" t="s">
        <v>1595</v>
      </c>
      <c r="J30" s="47">
        <v>1.7E7</v>
      </c>
    </row>
    <row r="31" ht="12.75" customHeight="1">
      <c r="A31" s="42" t="s">
        <v>1319</v>
      </c>
      <c r="B31" s="21">
        <v>46285.0</v>
      </c>
      <c r="C31" s="9" t="s">
        <v>132</v>
      </c>
      <c r="D31" s="9" t="s">
        <v>133</v>
      </c>
      <c r="E31" s="9" t="s">
        <v>120</v>
      </c>
      <c r="G31" s="9" t="s">
        <v>122</v>
      </c>
      <c r="H31" s="9" t="s">
        <v>131</v>
      </c>
      <c r="I31" s="9" t="s">
        <v>1595</v>
      </c>
      <c r="J31" s="47">
        <v>1.7E7</v>
      </c>
    </row>
    <row r="32" ht="12.75" customHeight="1">
      <c r="A32" s="42" t="s">
        <v>1327</v>
      </c>
      <c r="B32" s="21">
        <v>46292.0</v>
      </c>
      <c r="C32" s="9" t="s">
        <v>132</v>
      </c>
      <c r="D32" s="9" t="s">
        <v>133</v>
      </c>
      <c r="E32" s="9" t="s">
        <v>120</v>
      </c>
      <c r="G32" s="9" t="s">
        <v>122</v>
      </c>
      <c r="H32" s="9" t="s">
        <v>131</v>
      </c>
      <c r="I32" s="9" t="s">
        <v>1595</v>
      </c>
      <c r="J32" s="47">
        <v>1.7E7</v>
      </c>
    </row>
    <row r="33" ht="12.75" customHeight="1">
      <c r="A33" s="42" t="s">
        <v>1335</v>
      </c>
      <c r="B33" s="21">
        <v>46299.0</v>
      </c>
      <c r="C33" s="9" t="s">
        <v>132</v>
      </c>
      <c r="D33" s="9" t="s">
        <v>133</v>
      </c>
      <c r="E33" s="9" t="s">
        <v>120</v>
      </c>
      <c r="G33" s="9" t="s">
        <v>122</v>
      </c>
      <c r="H33" s="9" t="s">
        <v>131</v>
      </c>
      <c r="I33" s="9" t="s">
        <v>1596</v>
      </c>
      <c r="J33" s="47">
        <v>1.8E7</v>
      </c>
    </row>
    <row r="34" ht="12.75" customHeight="1">
      <c r="A34" s="42" t="s">
        <v>1343</v>
      </c>
      <c r="B34" s="21">
        <v>46306.0</v>
      </c>
      <c r="C34" s="9" t="s">
        <v>132</v>
      </c>
      <c r="D34" s="9" t="s">
        <v>133</v>
      </c>
      <c r="E34" s="9" t="s">
        <v>120</v>
      </c>
      <c r="G34" s="9" t="s">
        <v>122</v>
      </c>
      <c r="H34" s="9" t="s">
        <v>131</v>
      </c>
      <c r="I34" s="9" t="s">
        <v>1596</v>
      </c>
      <c r="J34" s="47">
        <v>1.8E7</v>
      </c>
    </row>
    <row r="35" ht="12.75" customHeight="1">
      <c r="A35" s="42" t="s">
        <v>1351</v>
      </c>
      <c r="B35" s="21">
        <v>46313.0</v>
      </c>
      <c r="C35" s="9" t="s">
        <v>132</v>
      </c>
      <c r="D35" s="9" t="s">
        <v>133</v>
      </c>
      <c r="E35" s="9" t="s">
        <v>120</v>
      </c>
      <c r="G35" s="9" t="s">
        <v>122</v>
      </c>
      <c r="H35" s="9" t="s">
        <v>131</v>
      </c>
      <c r="I35" s="9" t="s">
        <v>1596</v>
      </c>
      <c r="J35" s="47">
        <v>1.8E7</v>
      </c>
    </row>
    <row r="36" ht="12.75" customHeight="1">
      <c r="A36" s="42" t="s">
        <v>1359</v>
      </c>
      <c r="B36" s="21">
        <v>46320.0</v>
      </c>
      <c r="C36" s="9" t="s">
        <v>132</v>
      </c>
      <c r="D36" s="9" t="s">
        <v>133</v>
      </c>
      <c r="E36" s="9" t="s">
        <v>120</v>
      </c>
      <c r="G36" s="9" t="s">
        <v>122</v>
      </c>
      <c r="H36" s="9" t="s">
        <v>131</v>
      </c>
      <c r="I36" s="9" t="s">
        <v>1596</v>
      </c>
      <c r="J36" s="47">
        <v>1.8E7</v>
      </c>
    </row>
    <row r="37" ht="12.75" customHeight="1">
      <c r="A37" s="42" t="s">
        <v>1367</v>
      </c>
      <c r="B37" s="21">
        <v>46327.0</v>
      </c>
      <c r="C37" s="9" t="s">
        <v>132</v>
      </c>
      <c r="D37" s="9" t="s">
        <v>133</v>
      </c>
      <c r="E37" s="9" t="s">
        <v>120</v>
      </c>
      <c r="G37" s="9" t="s">
        <v>122</v>
      </c>
      <c r="H37" s="9" t="s">
        <v>131</v>
      </c>
      <c r="I37" s="9" t="s">
        <v>1597</v>
      </c>
      <c r="J37" s="47">
        <v>1.9E7</v>
      </c>
    </row>
    <row r="38" ht="12.75" customHeight="1">
      <c r="A38" s="42" t="s">
        <v>1375</v>
      </c>
      <c r="B38" s="21">
        <v>46334.0</v>
      </c>
      <c r="C38" s="9" t="s">
        <v>132</v>
      </c>
      <c r="D38" s="9" t="s">
        <v>133</v>
      </c>
      <c r="E38" s="9" t="s">
        <v>120</v>
      </c>
      <c r="G38" s="9" t="s">
        <v>122</v>
      </c>
      <c r="H38" s="9" t="s">
        <v>131</v>
      </c>
      <c r="I38" s="9" t="s">
        <v>1597</v>
      </c>
      <c r="J38" s="47">
        <v>1.9E7</v>
      </c>
    </row>
    <row r="39" ht="12.75" customHeight="1">
      <c r="A39" s="42" t="s">
        <v>1383</v>
      </c>
      <c r="B39" s="21">
        <v>46341.0</v>
      </c>
      <c r="C39" s="9" t="s">
        <v>132</v>
      </c>
      <c r="D39" s="9" t="s">
        <v>133</v>
      </c>
      <c r="E39" s="9" t="s">
        <v>120</v>
      </c>
      <c r="G39" s="9" t="s">
        <v>122</v>
      </c>
      <c r="H39" s="9" t="s">
        <v>131</v>
      </c>
      <c r="I39" s="9" t="s">
        <v>1597</v>
      </c>
      <c r="J39" s="47">
        <v>1.9E7</v>
      </c>
    </row>
    <row r="40" ht="12.75" customHeight="1">
      <c r="A40" s="42" t="s">
        <v>1391</v>
      </c>
      <c r="B40" s="21">
        <v>46348.0</v>
      </c>
      <c r="C40" s="9" t="s">
        <v>132</v>
      </c>
      <c r="D40" s="9" t="s">
        <v>133</v>
      </c>
      <c r="E40" s="9" t="s">
        <v>120</v>
      </c>
      <c r="G40" s="9" t="s">
        <v>122</v>
      </c>
      <c r="H40" s="9" t="s">
        <v>131</v>
      </c>
      <c r="I40" s="9" t="s">
        <v>1597</v>
      </c>
      <c r="J40" s="47">
        <v>1.9E7</v>
      </c>
    </row>
    <row r="41" ht="12.75" customHeight="1">
      <c r="A41" s="42" t="s">
        <v>1399</v>
      </c>
      <c r="B41" s="21">
        <v>46355.0</v>
      </c>
      <c r="C41" s="9" t="s">
        <v>132</v>
      </c>
      <c r="D41" s="9" t="s">
        <v>133</v>
      </c>
      <c r="E41" s="9" t="s">
        <v>120</v>
      </c>
      <c r="G41" s="9" t="s">
        <v>122</v>
      </c>
      <c r="H41" s="9" t="s">
        <v>131</v>
      </c>
      <c r="I41" s="9" t="s">
        <v>1597</v>
      </c>
      <c r="J41" s="47">
        <v>1.9E7</v>
      </c>
    </row>
    <row r="42" ht="12.75" customHeight="1">
      <c r="A42" s="42" t="s">
        <v>1407</v>
      </c>
      <c r="B42" s="21">
        <v>46362.0</v>
      </c>
      <c r="C42" s="9" t="s">
        <v>132</v>
      </c>
      <c r="D42" s="9" t="s">
        <v>133</v>
      </c>
      <c r="E42" s="9" t="s">
        <v>120</v>
      </c>
      <c r="G42" s="9" t="s">
        <v>122</v>
      </c>
      <c r="H42" s="9" t="s">
        <v>131</v>
      </c>
      <c r="I42" s="9" t="s">
        <v>1598</v>
      </c>
      <c r="J42" s="47">
        <v>2.0E7</v>
      </c>
    </row>
    <row r="43" ht="12.75" customHeight="1">
      <c r="A43" s="42" t="s">
        <v>1415</v>
      </c>
      <c r="B43" s="21">
        <v>46369.0</v>
      </c>
      <c r="C43" s="9" t="s">
        <v>132</v>
      </c>
      <c r="D43" s="9" t="s">
        <v>133</v>
      </c>
      <c r="E43" s="9" t="s">
        <v>120</v>
      </c>
      <c r="G43" s="9" t="s">
        <v>122</v>
      </c>
      <c r="H43" s="9" t="s">
        <v>131</v>
      </c>
      <c r="I43" s="9" t="s">
        <v>1598</v>
      </c>
      <c r="J43" s="47">
        <v>2.0E7</v>
      </c>
    </row>
    <row r="44" ht="12.75" customHeight="1">
      <c r="A44" s="42" t="s">
        <v>1423</v>
      </c>
      <c r="B44" s="21">
        <v>46376.0</v>
      </c>
      <c r="C44" s="9" t="s">
        <v>132</v>
      </c>
      <c r="D44" s="9" t="s">
        <v>133</v>
      </c>
      <c r="E44" s="9" t="s">
        <v>120</v>
      </c>
      <c r="G44" s="9" t="s">
        <v>122</v>
      </c>
      <c r="H44" s="9" t="s">
        <v>131</v>
      </c>
      <c r="I44" s="9" t="s">
        <v>1598</v>
      </c>
      <c r="J44" s="47">
        <v>2.0E7</v>
      </c>
    </row>
    <row r="45" ht="12.75" customHeight="1">
      <c r="A45" s="42" t="s">
        <v>1431</v>
      </c>
      <c r="B45" s="21">
        <v>46383.0</v>
      </c>
      <c r="C45" s="9" t="s">
        <v>132</v>
      </c>
      <c r="D45" s="9" t="s">
        <v>133</v>
      </c>
      <c r="E45" s="9" t="s">
        <v>120</v>
      </c>
      <c r="G45" s="9" t="s">
        <v>122</v>
      </c>
      <c r="H45" s="9" t="s">
        <v>131</v>
      </c>
      <c r="I45" s="9" t="s">
        <v>1598</v>
      </c>
      <c r="J45" s="47">
        <v>2.0E7</v>
      </c>
    </row>
    <row r="46" ht="12.75" customHeight="1">
      <c r="A46" s="42" t="s">
        <v>1087</v>
      </c>
      <c r="B46" s="21">
        <v>46082.0</v>
      </c>
      <c r="C46" s="9" t="s">
        <v>132</v>
      </c>
      <c r="D46" s="9" t="s">
        <v>133</v>
      </c>
      <c r="E46" s="9" t="s">
        <v>130</v>
      </c>
      <c r="G46" s="9" t="s">
        <v>122</v>
      </c>
      <c r="H46" s="9" t="s">
        <v>131</v>
      </c>
      <c r="I46" s="9" t="s">
        <v>1593</v>
      </c>
      <c r="J46" s="47">
        <v>1.5E7</v>
      </c>
    </row>
    <row r="47" ht="12.75" customHeight="1">
      <c r="A47" s="42" t="s">
        <v>1103</v>
      </c>
      <c r="B47" s="21">
        <v>46096.0</v>
      </c>
      <c r="C47" s="9" t="s">
        <v>132</v>
      </c>
      <c r="D47" s="9" t="s">
        <v>133</v>
      </c>
      <c r="E47" s="9" t="s">
        <v>130</v>
      </c>
      <c r="G47" s="9" t="s">
        <v>122</v>
      </c>
      <c r="H47" s="9" t="s">
        <v>131</v>
      </c>
      <c r="I47" s="9" t="s">
        <v>1599</v>
      </c>
      <c r="J47" s="47">
        <v>1.47E7</v>
      </c>
    </row>
    <row r="48" ht="12.75" customHeight="1">
      <c r="A48" s="42" t="s">
        <v>1087</v>
      </c>
      <c r="B48" s="21">
        <v>46082.0</v>
      </c>
      <c r="C48" s="9" t="s">
        <v>132</v>
      </c>
      <c r="D48" s="9" t="s">
        <v>134</v>
      </c>
      <c r="E48" s="9" t="s">
        <v>120</v>
      </c>
      <c r="G48" s="9" t="s">
        <v>122</v>
      </c>
      <c r="H48" s="9" t="s">
        <v>131</v>
      </c>
      <c r="I48" s="9" t="s">
        <v>1600</v>
      </c>
      <c r="J48" s="47">
        <v>2.3E7</v>
      </c>
    </row>
    <row r="49" ht="12.75" customHeight="1">
      <c r="A49" s="42" t="s">
        <v>1095</v>
      </c>
      <c r="B49" s="21">
        <v>46089.0</v>
      </c>
      <c r="C49" s="9" t="s">
        <v>132</v>
      </c>
      <c r="D49" s="9" t="s">
        <v>134</v>
      </c>
      <c r="E49" s="9" t="s">
        <v>120</v>
      </c>
      <c r="G49" s="9" t="s">
        <v>122</v>
      </c>
      <c r="H49" s="9" t="s">
        <v>131</v>
      </c>
      <c r="I49" s="9" t="s">
        <v>1600</v>
      </c>
      <c r="J49" s="47">
        <v>2.3E7</v>
      </c>
    </row>
    <row r="50" ht="12.75" customHeight="1">
      <c r="A50" s="42" t="s">
        <v>1103</v>
      </c>
      <c r="B50" s="21">
        <v>46096.0</v>
      </c>
      <c r="C50" s="9" t="s">
        <v>132</v>
      </c>
      <c r="D50" s="9" t="s">
        <v>134</v>
      </c>
      <c r="E50" s="9" t="s">
        <v>120</v>
      </c>
      <c r="G50" s="9" t="s">
        <v>122</v>
      </c>
      <c r="H50" s="9" t="s">
        <v>131</v>
      </c>
      <c r="I50" s="9" t="s">
        <v>1600</v>
      </c>
      <c r="J50" s="47">
        <v>2.3E7</v>
      </c>
    </row>
    <row r="51" ht="12.75" customHeight="1">
      <c r="A51" s="42" t="s">
        <v>1111</v>
      </c>
      <c r="B51" s="21">
        <v>46103.0</v>
      </c>
      <c r="C51" s="9" t="s">
        <v>132</v>
      </c>
      <c r="D51" s="9" t="s">
        <v>134</v>
      </c>
      <c r="E51" s="9" t="s">
        <v>120</v>
      </c>
      <c r="G51" s="9" t="s">
        <v>122</v>
      </c>
      <c r="H51" s="9" t="s">
        <v>131</v>
      </c>
      <c r="I51" s="9" t="s">
        <v>1600</v>
      </c>
      <c r="J51" s="47">
        <v>2.3E7</v>
      </c>
    </row>
    <row r="52" ht="12.75" customHeight="1">
      <c r="A52" s="42" t="s">
        <v>1119</v>
      </c>
      <c r="B52" s="21">
        <v>46110.0</v>
      </c>
      <c r="C52" s="9" t="s">
        <v>132</v>
      </c>
      <c r="D52" s="9" t="s">
        <v>134</v>
      </c>
      <c r="E52" s="9" t="s">
        <v>120</v>
      </c>
      <c r="G52" s="9" t="s">
        <v>122</v>
      </c>
      <c r="H52" s="9" t="s">
        <v>131</v>
      </c>
      <c r="I52" s="9" t="s">
        <v>1600</v>
      </c>
      <c r="J52" s="47">
        <v>2.3E7</v>
      </c>
    </row>
    <row r="53" ht="12.75" customHeight="1">
      <c r="A53" s="42" t="s">
        <v>1127</v>
      </c>
      <c r="B53" s="21">
        <v>46117.0</v>
      </c>
      <c r="C53" s="9" t="s">
        <v>132</v>
      </c>
      <c r="D53" s="9" t="s">
        <v>134</v>
      </c>
      <c r="E53" s="9" t="s">
        <v>120</v>
      </c>
      <c r="G53" s="9" t="s">
        <v>122</v>
      </c>
      <c r="H53" s="9" t="s">
        <v>131</v>
      </c>
      <c r="I53" s="9" t="s">
        <v>1601</v>
      </c>
      <c r="J53" s="47">
        <v>2.8E7</v>
      </c>
    </row>
    <row r="54" ht="12.75" customHeight="1">
      <c r="A54" s="42" t="s">
        <v>1135</v>
      </c>
      <c r="B54" s="21">
        <v>46124.0</v>
      </c>
      <c r="C54" s="9" t="s">
        <v>132</v>
      </c>
      <c r="D54" s="9" t="s">
        <v>134</v>
      </c>
      <c r="E54" s="9" t="s">
        <v>120</v>
      </c>
      <c r="G54" s="9" t="s">
        <v>122</v>
      </c>
      <c r="H54" s="9" t="s">
        <v>131</v>
      </c>
      <c r="I54" s="9" t="s">
        <v>1601</v>
      </c>
      <c r="J54" s="47">
        <v>2.8E7</v>
      </c>
    </row>
    <row r="55" ht="12.75" customHeight="1">
      <c r="A55" s="42" t="s">
        <v>1143</v>
      </c>
      <c r="B55" s="21">
        <v>46131.0</v>
      </c>
      <c r="C55" s="9" t="s">
        <v>132</v>
      </c>
      <c r="D55" s="9" t="s">
        <v>134</v>
      </c>
      <c r="E55" s="9" t="s">
        <v>120</v>
      </c>
      <c r="G55" s="9" t="s">
        <v>122</v>
      </c>
      <c r="H55" s="9" t="s">
        <v>131</v>
      </c>
      <c r="I55" s="9" t="s">
        <v>1601</v>
      </c>
      <c r="J55" s="47">
        <v>2.8E7</v>
      </c>
    </row>
    <row r="56" ht="12.75" customHeight="1">
      <c r="A56" s="42" t="s">
        <v>1151</v>
      </c>
      <c r="B56" s="21">
        <v>46138.0</v>
      </c>
      <c r="C56" s="9" t="s">
        <v>132</v>
      </c>
      <c r="D56" s="9" t="s">
        <v>134</v>
      </c>
      <c r="E56" s="9" t="s">
        <v>120</v>
      </c>
      <c r="G56" s="9" t="s">
        <v>122</v>
      </c>
      <c r="H56" s="9" t="s">
        <v>131</v>
      </c>
      <c r="I56" s="9" t="s">
        <v>1601</v>
      </c>
      <c r="J56" s="47">
        <v>2.8E7</v>
      </c>
    </row>
    <row r="57" ht="12.75" customHeight="1">
      <c r="A57" s="42" t="s">
        <v>1159</v>
      </c>
      <c r="B57" s="21">
        <v>46145.0</v>
      </c>
      <c r="C57" s="9" t="s">
        <v>132</v>
      </c>
      <c r="D57" s="9" t="s">
        <v>134</v>
      </c>
      <c r="E57" s="9" t="s">
        <v>120</v>
      </c>
      <c r="G57" s="9" t="s">
        <v>122</v>
      </c>
      <c r="H57" s="9" t="s">
        <v>131</v>
      </c>
      <c r="I57" s="9" t="s">
        <v>1602</v>
      </c>
      <c r="J57" s="47">
        <v>3.3E7</v>
      </c>
    </row>
    <row r="58" ht="12.75" customHeight="1">
      <c r="A58" s="42" t="s">
        <v>1167</v>
      </c>
      <c r="B58" s="21">
        <v>46152.0</v>
      </c>
      <c r="C58" s="9" t="s">
        <v>132</v>
      </c>
      <c r="D58" s="9" t="s">
        <v>134</v>
      </c>
      <c r="E58" s="9" t="s">
        <v>120</v>
      </c>
      <c r="G58" s="9" t="s">
        <v>122</v>
      </c>
      <c r="H58" s="9" t="s">
        <v>131</v>
      </c>
      <c r="I58" s="9" t="s">
        <v>1602</v>
      </c>
      <c r="J58" s="47">
        <v>3.3E7</v>
      </c>
    </row>
    <row r="59" ht="12.75" customHeight="1">
      <c r="A59" s="42" t="s">
        <v>1175</v>
      </c>
      <c r="B59" s="21">
        <v>46159.0</v>
      </c>
      <c r="C59" s="9" t="s">
        <v>132</v>
      </c>
      <c r="D59" s="9" t="s">
        <v>134</v>
      </c>
      <c r="E59" s="9" t="s">
        <v>120</v>
      </c>
      <c r="G59" s="9" t="s">
        <v>122</v>
      </c>
      <c r="H59" s="9" t="s">
        <v>131</v>
      </c>
      <c r="I59" s="9" t="s">
        <v>1602</v>
      </c>
      <c r="J59" s="47">
        <v>3.3E7</v>
      </c>
    </row>
    <row r="60" ht="12.75" customHeight="1">
      <c r="A60" s="42" t="s">
        <v>1183</v>
      </c>
      <c r="B60" s="21">
        <v>46166.0</v>
      </c>
      <c r="C60" s="9" t="s">
        <v>132</v>
      </c>
      <c r="D60" s="9" t="s">
        <v>134</v>
      </c>
      <c r="E60" s="9" t="s">
        <v>120</v>
      </c>
      <c r="G60" s="9" t="s">
        <v>122</v>
      </c>
      <c r="H60" s="9" t="s">
        <v>131</v>
      </c>
      <c r="I60" s="9" t="s">
        <v>1602</v>
      </c>
      <c r="J60" s="47">
        <v>3.3E7</v>
      </c>
    </row>
    <row r="61" ht="12.75" customHeight="1">
      <c r="A61" s="42" t="s">
        <v>1193</v>
      </c>
      <c r="B61" s="21">
        <v>46174.0</v>
      </c>
      <c r="C61" s="9" t="s">
        <v>132</v>
      </c>
      <c r="D61" s="9" t="s">
        <v>134</v>
      </c>
      <c r="E61" s="9" t="s">
        <v>120</v>
      </c>
      <c r="G61" s="9" t="s">
        <v>122</v>
      </c>
      <c r="H61" s="9" t="s">
        <v>131</v>
      </c>
      <c r="I61" s="9" t="s">
        <v>1603</v>
      </c>
      <c r="J61" s="47">
        <v>3.9E7</v>
      </c>
    </row>
    <row r="62" ht="12.75" customHeight="1">
      <c r="A62" s="42" t="s">
        <v>1199</v>
      </c>
      <c r="B62" s="21">
        <v>46180.0</v>
      </c>
      <c r="C62" s="9" t="s">
        <v>132</v>
      </c>
      <c r="D62" s="9" t="s">
        <v>134</v>
      </c>
      <c r="E62" s="9" t="s">
        <v>120</v>
      </c>
      <c r="G62" s="9" t="s">
        <v>122</v>
      </c>
      <c r="H62" s="9" t="s">
        <v>131</v>
      </c>
      <c r="I62" s="9" t="s">
        <v>1603</v>
      </c>
      <c r="J62" s="47">
        <v>3.9E7</v>
      </c>
    </row>
    <row r="63" ht="12.75" customHeight="1">
      <c r="A63" s="42" t="s">
        <v>1207</v>
      </c>
      <c r="B63" s="21">
        <v>46187.0</v>
      </c>
      <c r="C63" s="9" t="s">
        <v>132</v>
      </c>
      <c r="D63" s="9" t="s">
        <v>134</v>
      </c>
      <c r="E63" s="9" t="s">
        <v>120</v>
      </c>
      <c r="G63" s="9" t="s">
        <v>122</v>
      </c>
      <c r="H63" s="9" t="s">
        <v>131</v>
      </c>
      <c r="I63" s="9" t="s">
        <v>1603</v>
      </c>
      <c r="J63" s="47">
        <v>3.9E7</v>
      </c>
    </row>
    <row r="64" ht="12.75" customHeight="1">
      <c r="A64" s="42" t="s">
        <v>1215</v>
      </c>
      <c r="B64" s="21">
        <v>46194.0</v>
      </c>
      <c r="C64" s="9" t="s">
        <v>132</v>
      </c>
      <c r="D64" s="9" t="s">
        <v>134</v>
      </c>
      <c r="E64" s="9" t="s">
        <v>120</v>
      </c>
      <c r="G64" s="9" t="s">
        <v>122</v>
      </c>
      <c r="H64" s="9" t="s">
        <v>131</v>
      </c>
      <c r="I64" s="9" t="s">
        <v>1603</v>
      </c>
      <c r="J64" s="47">
        <v>3.9E7</v>
      </c>
    </row>
    <row r="65" ht="12.75" customHeight="1">
      <c r="A65" s="42" t="s">
        <v>1223</v>
      </c>
      <c r="B65" s="21">
        <v>46201.0</v>
      </c>
      <c r="C65" s="9" t="s">
        <v>132</v>
      </c>
      <c r="D65" s="9" t="s">
        <v>134</v>
      </c>
      <c r="E65" s="9" t="s">
        <v>120</v>
      </c>
      <c r="G65" s="9" t="s">
        <v>122</v>
      </c>
      <c r="H65" s="9" t="s">
        <v>131</v>
      </c>
      <c r="I65" s="9" t="s">
        <v>1603</v>
      </c>
      <c r="J65" s="47">
        <v>3.9E7</v>
      </c>
    </row>
    <row r="66" ht="12.75" customHeight="1">
      <c r="A66" s="42" t="s">
        <v>1231</v>
      </c>
      <c r="B66" s="21">
        <v>46208.0</v>
      </c>
      <c r="C66" s="9" t="s">
        <v>132</v>
      </c>
      <c r="D66" s="9" t="s">
        <v>134</v>
      </c>
      <c r="E66" s="9" t="s">
        <v>120</v>
      </c>
      <c r="G66" s="9" t="s">
        <v>122</v>
      </c>
      <c r="H66" s="9" t="s">
        <v>131</v>
      </c>
      <c r="I66" s="9" t="s">
        <v>1604</v>
      </c>
      <c r="J66" s="47">
        <v>4.6E7</v>
      </c>
    </row>
    <row r="67" ht="12.75" customHeight="1">
      <c r="A67" s="42" t="s">
        <v>1239</v>
      </c>
      <c r="B67" s="21">
        <v>46215.0</v>
      </c>
      <c r="C67" s="9" t="s">
        <v>132</v>
      </c>
      <c r="D67" s="9" t="s">
        <v>134</v>
      </c>
      <c r="E67" s="9" t="s">
        <v>120</v>
      </c>
      <c r="G67" s="9" t="s">
        <v>122</v>
      </c>
      <c r="H67" s="9" t="s">
        <v>131</v>
      </c>
      <c r="I67" s="9" t="s">
        <v>1604</v>
      </c>
      <c r="J67" s="47">
        <v>4.6E7</v>
      </c>
    </row>
    <row r="68" ht="12.75" customHeight="1">
      <c r="A68" s="42" t="s">
        <v>1247</v>
      </c>
      <c r="B68" s="21">
        <v>46222.0</v>
      </c>
      <c r="C68" s="9" t="s">
        <v>132</v>
      </c>
      <c r="D68" s="9" t="s">
        <v>134</v>
      </c>
      <c r="E68" s="9" t="s">
        <v>120</v>
      </c>
      <c r="G68" s="9" t="s">
        <v>122</v>
      </c>
      <c r="H68" s="9" t="s">
        <v>131</v>
      </c>
      <c r="I68" s="9" t="s">
        <v>1604</v>
      </c>
      <c r="J68" s="47">
        <v>4.6E7</v>
      </c>
    </row>
    <row r="69" ht="12.75" customHeight="1">
      <c r="A69" s="42" t="s">
        <v>1255</v>
      </c>
      <c r="B69" s="21">
        <v>46229.0</v>
      </c>
      <c r="C69" s="9" t="s">
        <v>132</v>
      </c>
      <c r="D69" s="9" t="s">
        <v>134</v>
      </c>
      <c r="E69" s="9" t="s">
        <v>120</v>
      </c>
      <c r="G69" s="9" t="s">
        <v>122</v>
      </c>
      <c r="H69" s="9" t="s">
        <v>131</v>
      </c>
      <c r="I69" s="9" t="s">
        <v>1604</v>
      </c>
      <c r="J69" s="47">
        <v>4.6E7</v>
      </c>
    </row>
    <row r="70" ht="12.75" customHeight="1">
      <c r="A70" s="42" t="s">
        <v>1263</v>
      </c>
      <c r="B70" s="21">
        <v>46236.0</v>
      </c>
      <c r="C70" s="9" t="s">
        <v>132</v>
      </c>
      <c r="D70" s="9" t="s">
        <v>134</v>
      </c>
      <c r="E70" s="9" t="s">
        <v>120</v>
      </c>
      <c r="G70" s="9" t="s">
        <v>122</v>
      </c>
      <c r="H70" s="9" t="s">
        <v>131</v>
      </c>
      <c r="I70" s="9" t="s">
        <v>1605</v>
      </c>
      <c r="J70" s="47">
        <v>5.3E7</v>
      </c>
    </row>
    <row r="71" ht="12.75" customHeight="1">
      <c r="A71" s="42" t="s">
        <v>1271</v>
      </c>
      <c r="B71" s="21">
        <v>46243.0</v>
      </c>
      <c r="C71" s="9" t="s">
        <v>132</v>
      </c>
      <c r="D71" s="9" t="s">
        <v>134</v>
      </c>
      <c r="E71" s="9" t="s">
        <v>120</v>
      </c>
      <c r="G71" s="9" t="s">
        <v>122</v>
      </c>
      <c r="H71" s="9" t="s">
        <v>131</v>
      </c>
      <c r="I71" s="9" t="s">
        <v>1605</v>
      </c>
      <c r="J71" s="47">
        <v>5.3E7</v>
      </c>
    </row>
    <row r="72" ht="12.75" customHeight="1">
      <c r="A72" s="42" t="s">
        <v>1279</v>
      </c>
      <c r="B72" s="21">
        <v>46250.0</v>
      </c>
      <c r="C72" s="9" t="s">
        <v>132</v>
      </c>
      <c r="D72" s="9" t="s">
        <v>134</v>
      </c>
      <c r="E72" s="9" t="s">
        <v>120</v>
      </c>
      <c r="G72" s="9" t="s">
        <v>122</v>
      </c>
      <c r="H72" s="9" t="s">
        <v>131</v>
      </c>
      <c r="I72" s="9" t="s">
        <v>1605</v>
      </c>
      <c r="J72" s="47">
        <v>5.3E7</v>
      </c>
    </row>
    <row r="73" ht="12.75" customHeight="1">
      <c r="A73" s="42" t="s">
        <v>1287</v>
      </c>
      <c r="B73" s="21">
        <v>46257.0</v>
      </c>
      <c r="C73" s="9" t="s">
        <v>132</v>
      </c>
      <c r="D73" s="9" t="s">
        <v>134</v>
      </c>
      <c r="E73" s="9" t="s">
        <v>120</v>
      </c>
      <c r="G73" s="9" t="s">
        <v>122</v>
      </c>
      <c r="H73" s="9" t="s">
        <v>131</v>
      </c>
      <c r="I73" s="9" t="s">
        <v>1605</v>
      </c>
      <c r="J73" s="47">
        <v>5.3E7</v>
      </c>
    </row>
    <row r="74" ht="12.75" customHeight="1">
      <c r="A74" s="42" t="s">
        <v>1295</v>
      </c>
      <c r="B74" s="21">
        <v>46264.0</v>
      </c>
      <c r="C74" s="9" t="s">
        <v>132</v>
      </c>
      <c r="D74" s="9" t="s">
        <v>134</v>
      </c>
      <c r="E74" s="9" t="s">
        <v>120</v>
      </c>
      <c r="G74" s="9" t="s">
        <v>122</v>
      </c>
      <c r="H74" s="9" t="s">
        <v>131</v>
      </c>
      <c r="I74" s="9" t="s">
        <v>1606</v>
      </c>
      <c r="J74" s="47">
        <v>6.1E7</v>
      </c>
    </row>
    <row r="75" ht="12.75" customHeight="1">
      <c r="A75" s="42" t="s">
        <v>1303</v>
      </c>
      <c r="B75" s="21">
        <v>46271.0</v>
      </c>
      <c r="C75" s="9" t="s">
        <v>132</v>
      </c>
      <c r="D75" s="9" t="s">
        <v>134</v>
      </c>
      <c r="E75" s="9" t="s">
        <v>120</v>
      </c>
      <c r="G75" s="9" t="s">
        <v>122</v>
      </c>
      <c r="H75" s="9" t="s">
        <v>131</v>
      </c>
      <c r="I75" s="9" t="s">
        <v>1606</v>
      </c>
      <c r="J75" s="47">
        <v>6.1E7</v>
      </c>
    </row>
    <row r="76" ht="12.75" customHeight="1">
      <c r="A76" s="42" t="s">
        <v>1311</v>
      </c>
      <c r="B76" s="21">
        <v>46278.0</v>
      </c>
      <c r="C76" s="9" t="s">
        <v>132</v>
      </c>
      <c r="D76" s="9" t="s">
        <v>134</v>
      </c>
      <c r="E76" s="9" t="s">
        <v>120</v>
      </c>
      <c r="G76" s="9" t="s">
        <v>122</v>
      </c>
      <c r="H76" s="9" t="s">
        <v>131</v>
      </c>
      <c r="I76" s="9" t="s">
        <v>1606</v>
      </c>
      <c r="J76" s="47">
        <v>6.1E7</v>
      </c>
    </row>
    <row r="77" ht="12.75" customHeight="1">
      <c r="A77" s="42" t="s">
        <v>1319</v>
      </c>
      <c r="B77" s="21">
        <v>46285.0</v>
      </c>
      <c r="C77" s="9" t="s">
        <v>132</v>
      </c>
      <c r="D77" s="9" t="s">
        <v>134</v>
      </c>
      <c r="E77" s="9" t="s">
        <v>120</v>
      </c>
      <c r="G77" s="9" t="s">
        <v>122</v>
      </c>
      <c r="H77" s="9" t="s">
        <v>131</v>
      </c>
      <c r="I77" s="9" t="s">
        <v>1606</v>
      </c>
      <c r="J77" s="47">
        <v>6.1E7</v>
      </c>
    </row>
    <row r="78" ht="12.75" customHeight="1">
      <c r="A78" s="42" t="s">
        <v>1327</v>
      </c>
      <c r="B78" s="21">
        <v>46292.0</v>
      </c>
      <c r="C78" s="9" t="s">
        <v>132</v>
      </c>
      <c r="D78" s="9" t="s">
        <v>134</v>
      </c>
      <c r="E78" s="9" t="s">
        <v>120</v>
      </c>
      <c r="G78" s="9" t="s">
        <v>122</v>
      </c>
      <c r="H78" s="9" t="s">
        <v>131</v>
      </c>
      <c r="I78" s="9" t="s">
        <v>1606</v>
      </c>
      <c r="J78" s="47">
        <v>6.1E7</v>
      </c>
    </row>
    <row r="79" ht="12.75" customHeight="1">
      <c r="A79" s="42" t="s">
        <v>1335</v>
      </c>
      <c r="B79" s="21">
        <v>46299.0</v>
      </c>
      <c r="C79" s="9" t="s">
        <v>132</v>
      </c>
      <c r="D79" s="9" t="s">
        <v>134</v>
      </c>
      <c r="E79" s="9" t="s">
        <v>120</v>
      </c>
      <c r="G79" s="9" t="s">
        <v>122</v>
      </c>
      <c r="H79" s="9" t="s">
        <v>131</v>
      </c>
      <c r="I79" s="9" t="s">
        <v>1607</v>
      </c>
      <c r="J79" s="47">
        <v>6.9E7</v>
      </c>
    </row>
    <row r="80" ht="12.75" customHeight="1">
      <c r="A80" s="42" t="s">
        <v>1343</v>
      </c>
      <c r="B80" s="21">
        <v>46306.0</v>
      </c>
      <c r="C80" s="9" t="s">
        <v>132</v>
      </c>
      <c r="D80" s="9" t="s">
        <v>134</v>
      </c>
      <c r="E80" s="9" t="s">
        <v>120</v>
      </c>
      <c r="G80" s="9" t="s">
        <v>122</v>
      </c>
      <c r="H80" s="9" t="s">
        <v>131</v>
      </c>
      <c r="I80" s="9" t="s">
        <v>1607</v>
      </c>
      <c r="J80" s="47">
        <v>6.9E7</v>
      </c>
    </row>
    <row r="81" ht="12.75" customHeight="1">
      <c r="A81" s="42" t="s">
        <v>1351</v>
      </c>
      <c r="B81" s="21">
        <v>46313.0</v>
      </c>
      <c r="C81" s="9" t="s">
        <v>132</v>
      </c>
      <c r="D81" s="9" t="s">
        <v>134</v>
      </c>
      <c r="E81" s="9" t="s">
        <v>120</v>
      </c>
      <c r="G81" s="9" t="s">
        <v>122</v>
      </c>
      <c r="H81" s="9" t="s">
        <v>131</v>
      </c>
      <c r="I81" s="9" t="s">
        <v>1607</v>
      </c>
      <c r="J81" s="47">
        <v>6.9E7</v>
      </c>
    </row>
    <row r="82" ht="12.75" customHeight="1">
      <c r="A82" s="42" t="s">
        <v>1359</v>
      </c>
      <c r="B82" s="21">
        <v>46320.0</v>
      </c>
      <c r="C82" s="9" t="s">
        <v>132</v>
      </c>
      <c r="D82" s="9" t="s">
        <v>134</v>
      </c>
      <c r="E82" s="9" t="s">
        <v>120</v>
      </c>
      <c r="G82" s="9" t="s">
        <v>122</v>
      </c>
      <c r="H82" s="9" t="s">
        <v>131</v>
      </c>
      <c r="I82" s="9" t="s">
        <v>1607</v>
      </c>
      <c r="J82" s="47">
        <v>6.9E7</v>
      </c>
    </row>
    <row r="83" ht="12.75" customHeight="1">
      <c r="A83" s="42" t="s">
        <v>1367</v>
      </c>
      <c r="B83" s="21">
        <v>46327.0</v>
      </c>
      <c r="C83" s="9" t="s">
        <v>132</v>
      </c>
      <c r="D83" s="9" t="s">
        <v>134</v>
      </c>
      <c r="E83" s="9" t="s">
        <v>120</v>
      </c>
      <c r="G83" s="9" t="s">
        <v>122</v>
      </c>
      <c r="H83" s="9" t="s">
        <v>131</v>
      </c>
      <c r="I83" s="9" t="s">
        <v>1608</v>
      </c>
      <c r="J83" s="47">
        <v>7.8E7</v>
      </c>
    </row>
    <row r="84" ht="12.75" customHeight="1">
      <c r="A84" s="42" t="s">
        <v>1375</v>
      </c>
      <c r="B84" s="21">
        <v>46334.0</v>
      </c>
      <c r="C84" s="9" t="s">
        <v>132</v>
      </c>
      <c r="D84" s="9" t="s">
        <v>134</v>
      </c>
      <c r="E84" s="9" t="s">
        <v>120</v>
      </c>
      <c r="G84" s="9" t="s">
        <v>122</v>
      </c>
      <c r="H84" s="9" t="s">
        <v>131</v>
      </c>
      <c r="I84" s="9" t="s">
        <v>1608</v>
      </c>
      <c r="J84" s="47">
        <v>7.8E7</v>
      </c>
    </row>
    <row r="85" ht="12.75" customHeight="1">
      <c r="A85" s="42" t="s">
        <v>1383</v>
      </c>
      <c r="B85" s="21">
        <v>46341.0</v>
      </c>
      <c r="C85" s="9" t="s">
        <v>132</v>
      </c>
      <c r="D85" s="9" t="s">
        <v>134</v>
      </c>
      <c r="E85" s="9" t="s">
        <v>120</v>
      </c>
      <c r="G85" s="9" t="s">
        <v>122</v>
      </c>
      <c r="H85" s="9" t="s">
        <v>131</v>
      </c>
      <c r="I85" s="9" t="s">
        <v>1608</v>
      </c>
      <c r="J85" s="47">
        <v>7.8E7</v>
      </c>
    </row>
    <row r="86" ht="12.75" customHeight="1">
      <c r="A86" s="42" t="s">
        <v>1391</v>
      </c>
      <c r="B86" s="21">
        <v>46348.0</v>
      </c>
      <c r="C86" s="9" t="s">
        <v>132</v>
      </c>
      <c r="D86" s="9" t="s">
        <v>134</v>
      </c>
      <c r="E86" s="9" t="s">
        <v>120</v>
      </c>
      <c r="G86" s="9" t="s">
        <v>122</v>
      </c>
      <c r="H86" s="9" t="s">
        <v>131</v>
      </c>
      <c r="I86" s="9" t="s">
        <v>1608</v>
      </c>
      <c r="J86" s="47">
        <v>7.8E7</v>
      </c>
    </row>
    <row r="87" ht="12.75" customHeight="1">
      <c r="A87" s="42" t="s">
        <v>1399</v>
      </c>
      <c r="B87" s="21">
        <v>46355.0</v>
      </c>
      <c r="C87" s="9" t="s">
        <v>132</v>
      </c>
      <c r="D87" s="9" t="s">
        <v>134</v>
      </c>
      <c r="E87" s="9" t="s">
        <v>120</v>
      </c>
      <c r="G87" s="9" t="s">
        <v>122</v>
      </c>
      <c r="H87" s="9" t="s">
        <v>131</v>
      </c>
      <c r="I87" s="9" t="s">
        <v>1608</v>
      </c>
      <c r="J87" s="47">
        <v>7.8E7</v>
      </c>
    </row>
    <row r="88" ht="12.75" customHeight="1">
      <c r="A88" s="42" t="s">
        <v>1407</v>
      </c>
      <c r="B88" s="21">
        <v>46362.0</v>
      </c>
      <c r="C88" s="9" t="s">
        <v>132</v>
      </c>
      <c r="D88" s="9" t="s">
        <v>134</v>
      </c>
      <c r="E88" s="9" t="s">
        <v>120</v>
      </c>
      <c r="G88" s="9" t="s">
        <v>122</v>
      </c>
      <c r="H88" s="9" t="s">
        <v>131</v>
      </c>
      <c r="I88" s="9" t="s">
        <v>1609</v>
      </c>
      <c r="J88" s="47">
        <v>8.7E7</v>
      </c>
    </row>
    <row r="89" ht="12.75" customHeight="1">
      <c r="A89" s="42" t="s">
        <v>1415</v>
      </c>
      <c r="B89" s="21">
        <v>46369.0</v>
      </c>
      <c r="C89" s="9" t="s">
        <v>132</v>
      </c>
      <c r="D89" s="9" t="s">
        <v>134</v>
      </c>
      <c r="E89" s="9" t="s">
        <v>120</v>
      </c>
      <c r="G89" s="9" t="s">
        <v>122</v>
      </c>
      <c r="H89" s="9" t="s">
        <v>131</v>
      </c>
      <c r="I89" s="9" t="s">
        <v>1609</v>
      </c>
      <c r="J89" s="47">
        <v>8.7E7</v>
      </c>
    </row>
    <row r="90" ht="12.75" customHeight="1">
      <c r="A90" s="42" t="s">
        <v>1423</v>
      </c>
      <c r="B90" s="21">
        <v>46376.0</v>
      </c>
      <c r="C90" s="9" t="s">
        <v>132</v>
      </c>
      <c r="D90" s="9" t="s">
        <v>134</v>
      </c>
      <c r="E90" s="9" t="s">
        <v>120</v>
      </c>
      <c r="G90" s="9" t="s">
        <v>122</v>
      </c>
      <c r="H90" s="9" t="s">
        <v>131</v>
      </c>
      <c r="I90" s="9" t="s">
        <v>1609</v>
      </c>
      <c r="J90" s="47">
        <v>8.7E7</v>
      </c>
    </row>
    <row r="91" ht="12.75" customHeight="1">
      <c r="A91" s="42" t="s">
        <v>1431</v>
      </c>
      <c r="B91" s="21">
        <v>46383.0</v>
      </c>
      <c r="C91" s="9" t="s">
        <v>132</v>
      </c>
      <c r="D91" s="9" t="s">
        <v>134</v>
      </c>
      <c r="E91" s="9" t="s">
        <v>120</v>
      </c>
      <c r="G91" s="9" t="s">
        <v>122</v>
      </c>
      <c r="H91" s="9" t="s">
        <v>131</v>
      </c>
      <c r="I91" s="9" t="s">
        <v>1609</v>
      </c>
      <c r="J91" s="47">
        <v>8.7E7</v>
      </c>
    </row>
    <row r="92" ht="12.75" customHeight="1">
      <c r="A92" s="42" t="s">
        <v>1087</v>
      </c>
      <c r="B92" s="21">
        <v>46082.0</v>
      </c>
      <c r="C92" s="9" t="s">
        <v>132</v>
      </c>
      <c r="D92" s="9" t="s">
        <v>134</v>
      </c>
      <c r="E92" s="9" t="s">
        <v>130</v>
      </c>
      <c r="G92" s="9" t="s">
        <v>122</v>
      </c>
      <c r="H92" s="9" t="s">
        <v>131</v>
      </c>
      <c r="I92" s="9" t="s">
        <v>1610</v>
      </c>
      <c r="J92" s="47">
        <v>1.16E8</v>
      </c>
    </row>
    <row r="93" ht="12.75" customHeight="1">
      <c r="A93" s="42" t="s">
        <v>1103</v>
      </c>
      <c r="B93" s="21">
        <v>46096.0</v>
      </c>
      <c r="C93" s="9" t="s">
        <v>132</v>
      </c>
      <c r="D93" s="9" t="s">
        <v>134</v>
      </c>
      <c r="E93" s="9" t="s">
        <v>130</v>
      </c>
      <c r="G93" s="9" t="s">
        <v>122</v>
      </c>
      <c r="H93" s="9" t="s">
        <v>131</v>
      </c>
      <c r="I93" s="9" t="s">
        <v>1611</v>
      </c>
      <c r="J93" s="47">
        <v>1.152E8</v>
      </c>
    </row>
    <row r="94" ht="12.75" customHeight="1">
      <c r="A94" s="42" t="s">
        <v>1087</v>
      </c>
      <c r="B94" s="21">
        <v>46082.0</v>
      </c>
      <c r="C94" s="9" t="s">
        <v>132</v>
      </c>
      <c r="D94" s="9" t="s">
        <v>142</v>
      </c>
      <c r="E94" s="9" t="s">
        <v>137</v>
      </c>
      <c r="G94" s="9" t="s">
        <v>143</v>
      </c>
      <c r="H94" s="9" t="s">
        <v>138</v>
      </c>
      <c r="I94" s="9">
        <v>10327.0</v>
      </c>
      <c r="J94" s="47">
        <v>10327.0</v>
      </c>
    </row>
    <row r="95" ht="12.75" customHeight="1">
      <c r="A95" s="42" t="s">
        <v>1095</v>
      </c>
      <c r="B95" s="21">
        <v>46089.0</v>
      </c>
      <c r="C95" s="9" t="s">
        <v>132</v>
      </c>
      <c r="D95" s="9" t="s">
        <v>142</v>
      </c>
      <c r="E95" s="9" t="s">
        <v>137</v>
      </c>
      <c r="G95" s="9" t="s">
        <v>143</v>
      </c>
      <c r="H95" s="9" t="s">
        <v>138</v>
      </c>
      <c r="I95" s="9">
        <v>11827.0</v>
      </c>
      <c r="J95" s="47">
        <v>11827.0</v>
      </c>
    </row>
    <row r="96" ht="12.75" customHeight="1">
      <c r="A96" s="42" t="s">
        <v>1103</v>
      </c>
      <c r="B96" s="21">
        <v>46096.0</v>
      </c>
      <c r="C96" s="9" t="s">
        <v>132</v>
      </c>
      <c r="D96" s="9" t="s">
        <v>142</v>
      </c>
      <c r="E96" s="9" t="s">
        <v>137</v>
      </c>
      <c r="G96" s="9" t="s">
        <v>143</v>
      </c>
      <c r="H96" s="9" t="s">
        <v>138</v>
      </c>
      <c r="I96" s="9">
        <v>13327.0</v>
      </c>
      <c r="J96" s="47">
        <v>13327.0</v>
      </c>
    </row>
    <row r="97" ht="12.75" customHeight="1">
      <c r="A97" s="42" t="s">
        <v>1111</v>
      </c>
      <c r="B97" s="21">
        <v>46103.0</v>
      </c>
      <c r="C97" s="9" t="s">
        <v>132</v>
      </c>
      <c r="D97" s="9" t="s">
        <v>142</v>
      </c>
      <c r="E97" s="9" t="s">
        <v>137</v>
      </c>
      <c r="G97" s="9" t="s">
        <v>143</v>
      </c>
      <c r="H97" s="9" t="s">
        <v>138</v>
      </c>
      <c r="I97" s="9">
        <v>14827.0</v>
      </c>
      <c r="J97" s="47">
        <v>14827.0</v>
      </c>
    </row>
    <row r="98" ht="12.75" customHeight="1">
      <c r="A98" s="42" t="s">
        <v>1119</v>
      </c>
      <c r="B98" s="21">
        <v>46110.0</v>
      </c>
      <c r="C98" s="9" t="s">
        <v>132</v>
      </c>
      <c r="D98" s="9" t="s">
        <v>142</v>
      </c>
      <c r="E98" s="9" t="s">
        <v>137</v>
      </c>
      <c r="G98" s="9" t="s">
        <v>143</v>
      </c>
      <c r="H98" s="9" t="s">
        <v>138</v>
      </c>
      <c r="I98" s="9">
        <v>19827.0</v>
      </c>
      <c r="J98" s="47">
        <v>19827.0</v>
      </c>
    </row>
    <row r="99" ht="12.75" customHeight="1">
      <c r="A99" s="42" t="s">
        <v>1127</v>
      </c>
      <c r="B99" s="21">
        <v>46117.0</v>
      </c>
      <c r="C99" s="9" t="s">
        <v>132</v>
      </c>
      <c r="D99" s="9" t="s">
        <v>142</v>
      </c>
      <c r="E99" s="9" t="s">
        <v>137</v>
      </c>
      <c r="G99" s="9" t="s">
        <v>143</v>
      </c>
      <c r="H99" s="9" t="s">
        <v>138</v>
      </c>
      <c r="I99" s="9">
        <v>21327.0</v>
      </c>
      <c r="J99" s="47">
        <v>21327.0</v>
      </c>
    </row>
    <row r="100" ht="12.75" customHeight="1">
      <c r="A100" s="42" t="s">
        <v>1135</v>
      </c>
      <c r="B100" s="21">
        <v>46124.0</v>
      </c>
      <c r="C100" s="9" t="s">
        <v>132</v>
      </c>
      <c r="D100" s="9" t="s">
        <v>142</v>
      </c>
      <c r="E100" s="9" t="s">
        <v>137</v>
      </c>
      <c r="G100" s="9" t="s">
        <v>143</v>
      </c>
      <c r="H100" s="9" t="s">
        <v>138</v>
      </c>
      <c r="I100" s="9">
        <v>22827.0</v>
      </c>
      <c r="J100" s="47">
        <v>22827.0</v>
      </c>
    </row>
    <row r="101" ht="12.75" customHeight="1">
      <c r="A101" s="42" t="s">
        <v>1143</v>
      </c>
      <c r="B101" s="21">
        <v>46131.0</v>
      </c>
      <c r="C101" s="9" t="s">
        <v>132</v>
      </c>
      <c r="D101" s="9" t="s">
        <v>142</v>
      </c>
      <c r="E101" s="9" t="s">
        <v>137</v>
      </c>
      <c r="G101" s="9" t="s">
        <v>143</v>
      </c>
      <c r="H101" s="9" t="s">
        <v>138</v>
      </c>
      <c r="I101" s="9">
        <v>24327.0</v>
      </c>
      <c r="J101" s="47">
        <v>24327.0</v>
      </c>
    </row>
    <row r="102" ht="12.75" customHeight="1">
      <c r="A102" s="42" t="s">
        <v>1151</v>
      </c>
      <c r="B102" s="21">
        <v>46138.0</v>
      </c>
      <c r="C102" s="9" t="s">
        <v>132</v>
      </c>
      <c r="D102" s="9" t="s">
        <v>142</v>
      </c>
      <c r="E102" s="9" t="s">
        <v>137</v>
      </c>
      <c r="G102" s="9" t="s">
        <v>143</v>
      </c>
      <c r="H102" s="9" t="s">
        <v>138</v>
      </c>
      <c r="I102" s="9">
        <v>40827.0</v>
      </c>
      <c r="J102" s="47">
        <v>40827.0</v>
      </c>
    </row>
    <row r="103" ht="12.75" customHeight="1">
      <c r="A103" s="42" t="s">
        <v>1159</v>
      </c>
      <c r="B103" s="21">
        <v>46145.0</v>
      </c>
      <c r="C103" s="9" t="s">
        <v>132</v>
      </c>
      <c r="D103" s="9" t="s">
        <v>142</v>
      </c>
      <c r="E103" s="9" t="s">
        <v>137</v>
      </c>
      <c r="G103" s="9" t="s">
        <v>143</v>
      </c>
      <c r="H103" s="9" t="s">
        <v>138</v>
      </c>
      <c r="I103" s="9">
        <v>42327.0</v>
      </c>
      <c r="J103" s="47">
        <v>42327.0</v>
      </c>
    </row>
    <row r="104" ht="12.75" customHeight="1">
      <c r="A104" s="42" t="s">
        <v>1167</v>
      </c>
      <c r="B104" s="21">
        <v>46152.0</v>
      </c>
      <c r="C104" s="9" t="s">
        <v>132</v>
      </c>
      <c r="D104" s="9" t="s">
        <v>142</v>
      </c>
      <c r="E104" s="9" t="s">
        <v>137</v>
      </c>
      <c r="G104" s="9" t="s">
        <v>143</v>
      </c>
      <c r="H104" s="9" t="s">
        <v>138</v>
      </c>
      <c r="I104" s="9">
        <v>43827.0</v>
      </c>
      <c r="J104" s="47">
        <v>43827.0</v>
      </c>
    </row>
    <row r="105" ht="12.75" customHeight="1">
      <c r="A105" s="42" t="s">
        <v>1175</v>
      </c>
      <c r="B105" s="21">
        <v>46159.0</v>
      </c>
      <c r="C105" s="9" t="s">
        <v>132</v>
      </c>
      <c r="D105" s="9" t="s">
        <v>142</v>
      </c>
      <c r="E105" s="9" t="s">
        <v>137</v>
      </c>
      <c r="G105" s="9" t="s">
        <v>143</v>
      </c>
      <c r="H105" s="9" t="s">
        <v>138</v>
      </c>
      <c r="I105" s="9">
        <v>50327.0</v>
      </c>
      <c r="J105" s="47">
        <v>50327.0</v>
      </c>
    </row>
    <row r="106" ht="12.75" customHeight="1">
      <c r="A106" s="42" t="s">
        <v>1183</v>
      </c>
      <c r="B106" s="21">
        <v>46166.0</v>
      </c>
      <c r="C106" s="9" t="s">
        <v>132</v>
      </c>
      <c r="D106" s="9" t="s">
        <v>142</v>
      </c>
      <c r="E106" s="9" t="s">
        <v>137</v>
      </c>
      <c r="G106" s="9" t="s">
        <v>143</v>
      </c>
      <c r="H106" s="9" t="s">
        <v>138</v>
      </c>
      <c r="I106" s="9">
        <v>51827.0</v>
      </c>
      <c r="J106" s="47">
        <v>51827.0</v>
      </c>
    </row>
    <row r="107" ht="12.75" customHeight="1">
      <c r="A107" s="42" t="s">
        <v>1193</v>
      </c>
      <c r="B107" s="21">
        <v>46174.0</v>
      </c>
      <c r="C107" s="9" t="s">
        <v>132</v>
      </c>
      <c r="D107" s="9" t="s">
        <v>142</v>
      </c>
      <c r="E107" s="9" t="s">
        <v>137</v>
      </c>
      <c r="G107" s="9" t="s">
        <v>143</v>
      </c>
      <c r="H107" s="9" t="s">
        <v>138</v>
      </c>
      <c r="I107" s="9">
        <v>68327.0</v>
      </c>
      <c r="J107" s="47">
        <v>68327.0</v>
      </c>
    </row>
    <row r="108" ht="12.75" customHeight="1">
      <c r="A108" s="42" t="s">
        <v>1199</v>
      </c>
      <c r="B108" s="21">
        <v>46180.0</v>
      </c>
      <c r="C108" s="9" t="s">
        <v>132</v>
      </c>
      <c r="D108" s="9" t="s">
        <v>142</v>
      </c>
      <c r="E108" s="9" t="s">
        <v>137</v>
      </c>
      <c r="G108" s="9" t="s">
        <v>143</v>
      </c>
      <c r="H108" s="9" t="s">
        <v>138</v>
      </c>
      <c r="I108" s="9">
        <v>69827.0</v>
      </c>
      <c r="J108" s="47">
        <v>69827.0</v>
      </c>
    </row>
    <row r="109" ht="12.75" customHeight="1">
      <c r="A109" s="42" t="s">
        <v>1207</v>
      </c>
      <c r="B109" s="21">
        <v>46187.0</v>
      </c>
      <c r="C109" s="9" t="s">
        <v>132</v>
      </c>
      <c r="D109" s="9" t="s">
        <v>142</v>
      </c>
      <c r="E109" s="9" t="s">
        <v>137</v>
      </c>
      <c r="G109" s="9" t="s">
        <v>143</v>
      </c>
      <c r="H109" s="9" t="s">
        <v>138</v>
      </c>
      <c r="I109" s="9">
        <v>76327.0</v>
      </c>
      <c r="J109" s="47">
        <v>76327.0</v>
      </c>
    </row>
    <row r="110" ht="12.75" customHeight="1">
      <c r="A110" s="42" t="s">
        <v>1215</v>
      </c>
      <c r="B110" s="21">
        <v>46194.0</v>
      </c>
      <c r="C110" s="9" t="s">
        <v>132</v>
      </c>
      <c r="D110" s="9" t="s">
        <v>142</v>
      </c>
      <c r="E110" s="9" t="s">
        <v>137</v>
      </c>
      <c r="G110" s="9" t="s">
        <v>143</v>
      </c>
      <c r="H110" s="9" t="s">
        <v>138</v>
      </c>
      <c r="I110" s="9">
        <v>77827.0</v>
      </c>
      <c r="J110" s="47">
        <v>77827.0</v>
      </c>
    </row>
    <row r="111" ht="12.75" customHeight="1">
      <c r="A111" s="42" t="s">
        <v>1223</v>
      </c>
      <c r="B111" s="21">
        <v>46201.0</v>
      </c>
      <c r="C111" s="9" t="s">
        <v>132</v>
      </c>
      <c r="D111" s="9" t="s">
        <v>142</v>
      </c>
      <c r="E111" s="9" t="s">
        <v>137</v>
      </c>
      <c r="G111" s="9" t="s">
        <v>143</v>
      </c>
      <c r="H111" s="9" t="s">
        <v>138</v>
      </c>
      <c r="I111" s="9">
        <v>79577.0</v>
      </c>
      <c r="J111" s="47">
        <v>79577.0</v>
      </c>
    </row>
    <row r="112" ht="12.75" customHeight="1">
      <c r="A112" s="42" t="s">
        <v>1231</v>
      </c>
      <c r="B112" s="21">
        <v>46208.0</v>
      </c>
      <c r="C112" s="9" t="s">
        <v>132</v>
      </c>
      <c r="D112" s="9" t="s">
        <v>142</v>
      </c>
      <c r="E112" s="9" t="s">
        <v>137</v>
      </c>
      <c r="G112" s="9" t="s">
        <v>143</v>
      </c>
      <c r="H112" s="9" t="s">
        <v>138</v>
      </c>
      <c r="I112" s="9">
        <v>81327.0</v>
      </c>
      <c r="J112" s="47">
        <v>81327.0</v>
      </c>
    </row>
    <row r="113" ht="12.75" customHeight="1">
      <c r="A113" s="42" t="s">
        <v>1239</v>
      </c>
      <c r="B113" s="21">
        <v>46215.0</v>
      </c>
      <c r="C113" s="9" t="s">
        <v>132</v>
      </c>
      <c r="D113" s="9" t="s">
        <v>142</v>
      </c>
      <c r="E113" s="9" t="s">
        <v>137</v>
      </c>
      <c r="G113" s="9" t="s">
        <v>143</v>
      </c>
      <c r="H113" s="9" t="s">
        <v>138</v>
      </c>
      <c r="I113" s="9">
        <v>108077.0</v>
      </c>
      <c r="J113" s="47">
        <v>108077.0</v>
      </c>
    </row>
    <row r="114" ht="12.75" customHeight="1">
      <c r="A114" s="42" t="s">
        <v>1247</v>
      </c>
      <c r="B114" s="21">
        <v>46222.0</v>
      </c>
      <c r="C114" s="9" t="s">
        <v>132</v>
      </c>
      <c r="D114" s="9" t="s">
        <v>142</v>
      </c>
      <c r="E114" s="9" t="s">
        <v>137</v>
      </c>
      <c r="G114" s="9" t="s">
        <v>143</v>
      </c>
      <c r="H114" s="9" t="s">
        <v>138</v>
      </c>
      <c r="I114" s="9">
        <v>109827.0</v>
      </c>
      <c r="J114" s="47">
        <v>109827.0</v>
      </c>
    </row>
    <row r="115" ht="12.75" customHeight="1">
      <c r="A115" s="42" t="s">
        <v>1255</v>
      </c>
      <c r="B115" s="21">
        <v>46229.0</v>
      </c>
      <c r="C115" s="9" t="s">
        <v>132</v>
      </c>
      <c r="D115" s="9" t="s">
        <v>142</v>
      </c>
      <c r="E115" s="9" t="s">
        <v>137</v>
      </c>
      <c r="G115" s="9" t="s">
        <v>143</v>
      </c>
      <c r="H115" s="9" t="s">
        <v>138</v>
      </c>
      <c r="I115" s="9">
        <v>116577.0</v>
      </c>
      <c r="J115" s="47">
        <v>116577.0</v>
      </c>
    </row>
    <row r="116" ht="12.75" customHeight="1">
      <c r="A116" s="42" t="s">
        <v>1263</v>
      </c>
      <c r="B116" s="21">
        <v>46236.0</v>
      </c>
      <c r="C116" s="9" t="s">
        <v>132</v>
      </c>
      <c r="D116" s="9" t="s">
        <v>142</v>
      </c>
      <c r="E116" s="9" t="s">
        <v>137</v>
      </c>
      <c r="G116" s="9" t="s">
        <v>143</v>
      </c>
      <c r="H116" s="9" t="s">
        <v>138</v>
      </c>
      <c r="I116" s="9">
        <v>118327.0</v>
      </c>
      <c r="J116" s="47">
        <v>118327.0</v>
      </c>
    </row>
    <row r="117" ht="12.75" customHeight="1">
      <c r="A117" s="42" t="s">
        <v>1271</v>
      </c>
      <c r="B117" s="21">
        <v>46243.0</v>
      </c>
      <c r="C117" s="9" t="s">
        <v>132</v>
      </c>
      <c r="D117" s="9" t="s">
        <v>142</v>
      </c>
      <c r="E117" s="9" t="s">
        <v>137</v>
      </c>
      <c r="G117" s="9" t="s">
        <v>143</v>
      </c>
      <c r="H117" s="9" t="s">
        <v>138</v>
      </c>
      <c r="I117" s="9">
        <v>125077.0</v>
      </c>
      <c r="J117" s="47">
        <v>125077.0</v>
      </c>
    </row>
    <row r="118" ht="12.75" customHeight="1">
      <c r="A118" s="42" t="s">
        <v>1279</v>
      </c>
      <c r="B118" s="21">
        <v>46250.0</v>
      </c>
      <c r="C118" s="9" t="s">
        <v>132</v>
      </c>
      <c r="D118" s="9" t="s">
        <v>142</v>
      </c>
      <c r="E118" s="9" t="s">
        <v>137</v>
      </c>
      <c r="G118" s="9" t="s">
        <v>143</v>
      </c>
      <c r="H118" s="9" t="s">
        <v>138</v>
      </c>
      <c r="I118" s="9">
        <v>126827.0</v>
      </c>
      <c r="J118" s="47">
        <v>126827.0</v>
      </c>
    </row>
    <row r="119" ht="12.75" customHeight="1">
      <c r="A119" s="42" t="s">
        <v>1287</v>
      </c>
      <c r="B119" s="21">
        <v>46257.0</v>
      </c>
      <c r="C119" s="9" t="s">
        <v>132</v>
      </c>
      <c r="D119" s="9" t="s">
        <v>142</v>
      </c>
      <c r="E119" s="9" t="s">
        <v>137</v>
      </c>
      <c r="G119" s="9" t="s">
        <v>143</v>
      </c>
      <c r="H119" s="9" t="s">
        <v>138</v>
      </c>
      <c r="I119" s="9">
        <v>128577.0</v>
      </c>
      <c r="J119" s="47">
        <v>128577.0</v>
      </c>
    </row>
    <row r="120" ht="12.75" customHeight="1">
      <c r="A120" s="42" t="s">
        <v>1295</v>
      </c>
      <c r="B120" s="21">
        <v>46264.0</v>
      </c>
      <c r="C120" s="9" t="s">
        <v>132</v>
      </c>
      <c r="D120" s="9" t="s">
        <v>142</v>
      </c>
      <c r="E120" s="9" t="s">
        <v>137</v>
      </c>
      <c r="G120" s="9" t="s">
        <v>143</v>
      </c>
      <c r="H120" s="9" t="s">
        <v>138</v>
      </c>
      <c r="I120" s="9">
        <v>131077.0</v>
      </c>
      <c r="J120" s="47">
        <v>131077.0</v>
      </c>
    </row>
    <row r="121" ht="12.75" customHeight="1">
      <c r="A121" s="42" t="s">
        <v>1303</v>
      </c>
      <c r="B121" s="21">
        <v>46271.0</v>
      </c>
      <c r="C121" s="9" t="s">
        <v>132</v>
      </c>
      <c r="D121" s="9" t="s">
        <v>142</v>
      </c>
      <c r="E121" s="9" t="s">
        <v>137</v>
      </c>
      <c r="G121" s="9" t="s">
        <v>143</v>
      </c>
      <c r="H121" s="9" t="s">
        <v>138</v>
      </c>
      <c r="I121" s="9">
        <v>158577.0</v>
      </c>
      <c r="J121" s="47">
        <v>158577.0</v>
      </c>
    </row>
    <row r="122" ht="12.75" customHeight="1">
      <c r="A122" s="42" t="s">
        <v>1311</v>
      </c>
      <c r="B122" s="21">
        <v>46278.0</v>
      </c>
      <c r="C122" s="9" t="s">
        <v>132</v>
      </c>
      <c r="D122" s="9" t="s">
        <v>142</v>
      </c>
      <c r="E122" s="9" t="s">
        <v>137</v>
      </c>
      <c r="G122" s="9" t="s">
        <v>143</v>
      </c>
      <c r="H122" s="9" t="s">
        <v>138</v>
      </c>
      <c r="I122" s="9">
        <v>161077.0</v>
      </c>
      <c r="J122" s="47">
        <v>161077.0</v>
      </c>
    </row>
    <row r="123" ht="12.75" customHeight="1">
      <c r="A123" s="42" t="s">
        <v>1319</v>
      </c>
      <c r="B123" s="21">
        <v>46285.0</v>
      </c>
      <c r="C123" s="9" t="s">
        <v>132</v>
      </c>
      <c r="D123" s="9" t="s">
        <v>142</v>
      </c>
      <c r="E123" s="9" t="s">
        <v>137</v>
      </c>
      <c r="G123" s="9" t="s">
        <v>143</v>
      </c>
      <c r="H123" s="9" t="s">
        <v>138</v>
      </c>
      <c r="I123" s="9">
        <v>168577.0</v>
      </c>
      <c r="J123" s="47">
        <v>168577.0</v>
      </c>
    </row>
    <row r="124" ht="12.75" customHeight="1">
      <c r="A124" s="42" t="s">
        <v>1327</v>
      </c>
      <c r="B124" s="21">
        <v>46292.0</v>
      </c>
      <c r="C124" s="9" t="s">
        <v>132</v>
      </c>
      <c r="D124" s="9" t="s">
        <v>142</v>
      </c>
      <c r="E124" s="9" t="s">
        <v>137</v>
      </c>
      <c r="G124" s="9" t="s">
        <v>143</v>
      </c>
      <c r="H124" s="9" t="s">
        <v>138</v>
      </c>
      <c r="I124" s="9">
        <v>171077.0</v>
      </c>
      <c r="J124" s="47">
        <v>171077.0</v>
      </c>
    </row>
    <row r="125" ht="12.75" customHeight="1">
      <c r="A125" s="42" t="s">
        <v>1335</v>
      </c>
      <c r="B125" s="21">
        <v>46299.0</v>
      </c>
      <c r="C125" s="9" t="s">
        <v>132</v>
      </c>
      <c r="D125" s="9" t="s">
        <v>142</v>
      </c>
      <c r="E125" s="9" t="s">
        <v>137</v>
      </c>
      <c r="G125" s="9" t="s">
        <v>143</v>
      </c>
      <c r="H125" s="9" t="s">
        <v>138</v>
      </c>
      <c r="I125" s="9">
        <v>173577.0</v>
      </c>
      <c r="J125" s="47">
        <v>173577.0</v>
      </c>
    </row>
    <row r="126" ht="12.75" customHeight="1">
      <c r="A126" s="42" t="s">
        <v>1343</v>
      </c>
      <c r="B126" s="21">
        <v>46306.0</v>
      </c>
      <c r="C126" s="9" t="s">
        <v>132</v>
      </c>
      <c r="D126" s="9" t="s">
        <v>142</v>
      </c>
      <c r="E126" s="9" t="s">
        <v>137</v>
      </c>
      <c r="G126" s="9" t="s">
        <v>143</v>
      </c>
      <c r="H126" s="9" t="s">
        <v>138</v>
      </c>
      <c r="I126" s="9">
        <v>196077.0</v>
      </c>
      <c r="J126" s="47">
        <v>196077.0</v>
      </c>
    </row>
    <row r="127" ht="12.75" customHeight="1">
      <c r="A127" s="42" t="s">
        <v>1351</v>
      </c>
      <c r="B127" s="21">
        <v>46313.0</v>
      </c>
      <c r="C127" s="9" t="s">
        <v>132</v>
      </c>
      <c r="D127" s="9" t="s">
        <v>142</v>
      </c>
      <c r="E127" s="9" t="s">
        <v>137</v>
      </c>
      <c r="G127" s="9" t="s">
        <v>143</v>
      </c>
      <c r="H127" s="9" t="s">
        <v>138</v>
      </c>
      <c r="I127" s="9">
        <v>203577.0</v>
      </c>
      <c r="J127" s="47">
        <v>203577.0</v>
      </c>
    </row>
    <row r="128" ht="12.75" customHeight="1">
      <c r="A128" s="42" t="s">
        <v>1359</v>
      </c>
      <c r="B128" s="21">
        <v>46320.0</v>
      </c>
      <c r="C128" s="9" t="s">
        <v>132</v>
      </c>
      <c r="D128" s="9" t="s">
        <v>142</v>
      </c>
      <c r="E128" s="9" t="s">
        <v>137</v>
      </c>
      <c r="G128" s="9" t="s">
        <v>143</v>
      </c>
      <c r="H128" s="9" t="s">
        <v>138</v>
      </c>
      <c r="I128" s="9">
        <v>206077.0</v>
      </c>
      <c r="J128" s="47">
        <v>206077.0</v>
      </c>
    </row>
    <row r="129" ht="12.75" customHeight="1">
      <c r="A129" s="42" t="s">
        <v>1367</v>
      </c>
      <c r="B129" s="21">
        <v>46327.0</v>
      </c>
      <c r="C129" s="9" t="s">
        <v>132</v>
      </c>
      <c r="D129" s="9" t="s">
        <v>142</v>
      </c>
      <c r="E129" s="9" t="s">
        <v>137</v>
      </c>
      <c r="G129" s="9" t="s">
        <v>143</v>
      </c>
      <c r="H129" s="9" t="s">
        <v>138</v>
      </c>
      <c r="I129" s="9">
        <v>208577.0</v>
      </c>
      <c r="J129" s="47">
        <v>208577.0</v>
      </c>
    </row>
    <row r="130" ht="12.75" customHeight="1">
      <c r="A130" s="42" t="s">
        <v>1375</v>
      </c>
      <c r="B130" s="21">
        <v>46334.0</v>
      </c>
      <c r="C130" s="9" t="s">
        <v>132</v>
      </c>
      <c r="D130" s="9" t="s">
        <v>142</v>
      </c>
      <c r="E130" s="9" t="s">
        <v>137</v>
      </c>
      <c r="G130" s="9" t="s">
        <v>143</v>
      </c>
      <c r="H130" s="9" t="s">
        <v>138</v>
      </c>
      <c r="I130" s="9">
        <v>216077.0</v>
      </c>
      <c r="J130" s="47">
        <v>216077.0</v>
      </c>
    </row>
    <row r="131" ht="12.75" customHeight="1">
      <c r="A131" s="42" t="s">
        <v>1383</v>
      </c>
      <c r="B131" s="21">
        <v>46341.0</v>
      </c>
      <c r="C131" s="9" t="s">
        <v>132</v>
      </c>
      <c r="D131" s="9" t="s">
        <v>142</v>
      </c>
      <c r="E131" s="9" t="s">
        <v>137</v>
      </c>
      <c r="G131" s="9" t="s">
        <v>143</v>
      </c>
      <c r="H131" s="9" t="s">
        <v>138</v>
      </c>
      <c r="I131" s="9">
        <v>233577.0</v>
      </c>
      <c r="J131" s="47">
        <v>233577.0</v>
      </c>
    </row>
    <row r="132" ht="12.75" customHeight="1">
      <c r="A132" s="42" t="s">
        <v>1391</v>
      </c>
      <c r="B132" s="21">
        <v>46348.0</v>
      </c>
      <c r="C132" s="9" t="s">
        <v>132</v>
      </c>
      <c r="D132" s="9" t="s">
        <v>142</v>
      </c>
      <c r="E132" s="9" t="s">
        <v>137</v>
      </c>
      <c r="G132" s="9" t="s">
        <v>143</v>
      </c>
      <c r="H132" s="9" t="s">
        <v>138</v>
      </c>
      <c r="I132" s="9">
        <v>233577.0</v>
      </c>
      <c r="J132" s="47">
        <v>233577.0</v>
      </c>
    </row>
    <row r="133" ht="12.75" customHeight="1">
      <c r="A133" s="42" t="s">
        <v>1399</v>
      </c>
      <c r="B133" s="21">
        <v>46355.0</v>
      </c>
      <c r="C133" s="9" t="s">
        <v>132</v>
      </c>
      <c r="D133" s="9" t="s">
        <v>142</v>
      </c>
      <c r="E133" s="9" t="s">
        <v>137</v>
      </c>
      <c r="G133" s="9" t="s">
        <v>143</v>
      </c>
      <c r="H133" s="9" t="s">
        <v>138</v>
      </c>
      <c r="I133" s="9">
        <v>233577.0</v>
      </c>
      <c r="J133" s="47">
        <v>233577.0</v>
      </c>
    </row>
    <row r="134" ht="12.75" customHeight="1">
      <c r="A134" s="42" t="s">
        <v>1407</v>
      </c>
      <c r="B134" s="21">
        <v>46362.0</v>
      </c>
      <c r="C134" s="9" t="s">
        <v>132</v>
      </c>
      <c r="D134" s="9" t="s">
        <v>142</v>
      </c>
      <c r="E134" s="9" t="s">
        <v>137</v>
      </c>
      <c r="G134" s="9" t="s">
        <v>143</v>
      </c>
      <c r="H134" s="9" t="s">
        <v>138</v>
      </c>
      <c r="I134" s="9">
        <v>233577.0</v>
      </c>
      <c r="J134" s="47">
        <v>233577.0</v>
      </c>
    </row>
    <row r="135" ht="12.75" customHeight="1">
      <c r="A135" s="42" t="s">
        <v>1415</v>
      </c>
      <c r="B135" s="21">
        <v>46369.0</v>
      </c>
      <c r="C135" s="9" t="s">
        <v>132</v>
      </c>
      <c r="D135" s="9" t="s">
        <v>142</v>
      </c>
      <c r="E135" s="9" t="s">
        <v>137</v>
      </c>
      <c r="G135" s="9" t="s">
        <v>143</v>
      </c>
      <c r="H135" s="9" t="s">
        <v>138</v>
      </c>
      <c r="I135" s="9">
        <v>233577.0</v>
      </c>
      <c r="J135" s="47">
        <v>233577.0</v>
      </c>
    </row>
    <row r="136" ht="12.75" customHeight="1">
      <c r="A136" s="42" t="s">
        <v>1423</v>
      </c>
      <c r="B136" s="21">
        <v>46376.0</v>
      </c>
      <c r="C136" s="9" t="s">
        <v>132</v>
      </c>
      <c r="D136" s="9" t="s">
        <v>142</v>
      </c>
      <c r="E136" s="9" t="s">
        <v>137</v>
      </c>
      <c r="G136" s="9" t="s">
        <v>143</v>
      </c>
      <c r="H136" s="9" t="s">
        <v>138</v>
      </c>
      <c r="I136" s="9">
        <v>233577.0</v>
      </c>
      <c r="J136" s="47">
        <v>233577.0</v>
      </c>
    </row>
    <row r="137" ht="12.75" customHeight="1">
      <c r="A137" s="42" t="s">
        <v>1431</v>
      </c>
      <c r="B137" s="21">
        <v>46383.0</v>
      </c>
      <c r="C137" s="9" t="s">
        <v>132</v>
      </c>
      <c r="D137" s="9" t="s">
        <v>142</v>
      </c>
      <c r="E137" s="9" t="s">
        <v>137</v>
      </c>
      <c r="G137" s="9" t="s">
        <v>143</v>
      </c>
      <c r="H137" s="9" t="s">
        <v>138</v>
      </c>
      <c r="I137" s="9">
        <v>233577.0</v>
      </c>
      <c r="J137" s="47">
        <v>233577.0</v>
      </c>
    </row>
    <row r="138" ht="12.75" customHeight="1">
      <c r="A138" s="42" t="s">
        <v>1087</v>
      </c>
      <c r="B138" s="21">
        <v>46082.0</v>
      </c>
      <c r="C138" s="9" t="s">
        <v>132</v>
      </c>
      <c r="D138" s="9" t="s">
        <v>142</v>
      </c>
      <c r="E138" s="9" t="s">
        <v>130</v>
      </c>
      <c r="G138" s="9" t="s">
        <v>143</v>
      </c>
      <c r="H138" s="9" t="s">
        <v>138</v>
      </c>
      <c r="I138" s="9">
        <v>3308.0</v>
      </c>
      <c r="J138" s="47">
        <v>3308.0</v>
      </c>
    </row>
    <row r="139" ht="12.75" customHeight="1">
      <c r="A139" s="42" t="s">
        <v>1095</v>
      </c>
      <c r="B139" s="21">
        <v>46089.0</v>
      </c>
      <c r="C139" s="9" t="s">
        <v>132</v>
      </c>
      <c r="D139" s="9" t="s">
        <v>142</v>
      </c>
      <c r="E139" s="9" t="s">
        <v>130</v>
      </c>
      <c r="G139" s="9" t="s">
        <v>143</v>
      </c>
      <c r="H139" s="9" t="s">
        <v>138</v>
      </c>
      <c r="I139" s="9">
        <v>0.0</v>
      </c>
      <c r="J139" s="47">
        <v>0.0</v>
      </c>
    </row>
    <row r="140" ht="12.75" customHeight="1">
      <c r="A140" s="42" t="s">
        <v>1103</v>
      </c>
      <c r="B140" s="21">
        <v>46096.0</v>
      </c>
      <c r="C140" s="9" t="s">
        <v>132</v>
      </c>
      <c r="D140" s="9" t="s">
        <v>142</v>
      </c>
      <c r="E140" s="9" t="s">
        <v>130</v>
      </c>
      <c r="G140" s="9" t="s">
        <v>143</v>
      </c>
      <c r="H140" s="9" t="s">
        <v>138</v>
      </c>
      <c r="I140" s="9">
        <v>0.0</v>
      </c>
      <c r="J140" s="47">
        <v>0.0</v>
      </c>
    </row>
    <row r="141" ht="12.75" customHeight="1">
      <c r="A141" s="42" t="s">
        <v>1111</v>
      </c>
      <c r="B141" s="21">
        <v>46103.0</v>
      </c>
      <c r="C141" s="9" t="s">
        <v>132</v>
      </c>
      <c r="D141" s="9" t="s">
        <v>142</v>
      </c>
      <c r="E141" s="9" t="s">
        <v>130</v>
      </c>
      <c r="G141" s="9" t="s">
        <v>143</v>
      </c>
      <c r="H141" s="9" t="s">
        <v>138</v>
      </c>
      <c r="I141" s="9">
        <v>0.0</v>
      </c>
      <c r="J141" s="47">
        <v>0.0</v>
      </c>
    </row>
    <row r="142" ht="12.75" customHeight="1">
      <c r="A142" s="42" t="s">
        <v>1119</v>
      </c>
      <c r="B142" s="21">
        <v>46110.0</v>
      </c>
      <c r="C142" s="9" t="s">
        <v>132</v>
      </c>
      <c r="D142" s="9" t="s">
        <v>142</v>
      </c>
      <c r="E142" s="9" t="s">
        <v>130</v>
      </c>
      <c r="G142" s="9" t="s">
        <v>143</v>
      </c>
      <c r="H142" s="9" t="s">
        <v>138</v>
      </c>
      <c r="I142" s="9">
        <v>0.0</v>
      </c>
      <c r="J142" s="47">
        <v>0.0</v>
      </c>
    </row>
    <row r="143" ht="12.75" customHeight="1">
      <c r="A143" s="42" t="s">
        <v>1127</v>
      </c>
      <c r="B143" s="21">
        <v>46117.0</v>
      </c>
      <c r="C143" s="9" t="s">
        <v>132</v>
      </c>
      <c r="D143" s="9" t="s">
        <v>142</v>
      </c>
      <c r="E143" s="9" t="s">
        <v>130</v>
      </c>
      <c r="G143" s="9" t="s">
        <v>143</v>
      </c>
      <c r="H143" s="9" t="s">
        <v>138</v>
      </c>
      <c r="I143" s="9">
        <v>0.0</v>
      </c>
      <c r="J143" s="47">
        <v>0.0</v>
      </c>
    </row>
    <row r="144" ht="12.75" customHeight="1">
      <c r="A144" s="42" t="s">
        <v>1135</v>
      </c>
      <c r="B144" s="21">
        <v>46124.0</v>
      </c>
      <c r="C144" s="9" t="s">
        <v>132</v>
      </c>
      <c r="D144" s="9" t="s">
        <v>142</v>
      </c>
      <c r="E144" s="9" t="s">
        <v>130</v>
      </c>
      <c r="G144" s="9" t="s">
        <v>143</v>
      </c>
      <c r="H144" s="9" t="s">
        <v>138</v>
      </c>
      <c r="I144" s="9">
        <v>0.0</v>
      </c>
      <c r="J144" s="47">
        <v>0.0</v>
      </c>
    </row>
    <row r="145" ht="12.75" customHeight="1">
      <c r="A145" s="42" t="s">
        <v>1143</v>
      </c>
      <c r="B145" s="21">
        <v>46131.0</v>
      </c>
      <c r="C145" s="9" t="s">
        <v>132</v>
      </c>
      <c r="D145" s="9" t="s">
        <v>142</v>
      </c>
      <c r="E145" s="9" t="s">
        <v>130</v>
      </c>
      <c r="G145" s="9" t="s">
        <v>143</v>
      </c>
      <c r="H145" s="9" t="s">
        <v>138</v>
      </c>
      <c r="I145" s="9">
        <v>0.0</v>
      </c>
      <c r="J145" s="47">
        <v>0.0</v>
      </c>
    </row>
    <row r="146" ht="12.75" customHeight="1">
      <c r="A146" s="42" t="s">
        <v>1151</v>
      </c>
      <c r="B146" s="21">
        <v>46138.0</v>
      </c>
      <c r="C146" s="9" t="s">
        <v>132</v>
      </c>
      <c r="D146" s="9" t="s">
        <v>142</v>
      </c>
      <c r="E146" s="9" t="s">
        <v>130</v>
      </c>
      <c r="G146" s="9" t="s">
        <v>143</v>
      </c>
      <c r="H146" s="9" t="s">
        <v>138</v>
      </c>
      <c r="I146" s="9">
        <v>0.0</v>
      </c>
      <c r="J146" s="47">
        <v>0.0</v>
      </c>
    </row>
    <row r="147" ht="12.75" customHeight="1">
      <c r="A147" s="42" t="s">
        <v>1159</v>
      </c>
      <c r="B147" s="21">
        <v>46145.0</v>
      </c>
      <c r="C147" s="9" t="s">
        <v>132</v>
      </c>
      <c r="D147" s="9" t="s">
        <v>142</v>
      </c>
      <c r="E147" s="9" t="s">
        <v>130</v>
      </c>
      <c r="G147" s="9" t="s">
        <v>143</v>
      </c>
      <c r="H147" s="9" t="s">
        <v>138</v>
      </c>
      <c r="I147" s="9">
        <v>0.0</v>
      </c>
      <c r="J147" s="47">
        <v>0.0</v>
      </c>
    </row>
    <row r="148" ht="12.75" customHeight="1">
      <c r="A148" s="42" t="s">
        <v>1167</v>
      </c>
      <c r="B148" s="21">
        <v>46152.0</v>
      </c>
      <c r="C148" s="9" t="s">
        <v>132</v>
      </c>
      <c r="D148" s="9" t="s">
        <v>142</v>
      </c>
      <c r="E148" s="9" t="s">
        <v>130</v>
      </c>
      <c r="G148" s="9" t="s">
        <v>143</v>
      </c>
      <c r="H148" s="9" t="s">
        <v>138</v>
      </c>
      <c r="I148" s="9">
        <v>0.0</v>
      </c>
      <c r="J148" s="47">
        <v>0.0</v>
      </c>
    </row>
    <row r="149" ht="12.75" customHeight="1">
      <c r="A149" s="42" t="s">
        <v>1175</v>
      </c>
      <c r="B149" s="21">
        <v>46159.0</v>
      </c>
      <c r="C149" s="9" t="s">
        <v>132</v>
      </c>
      <c r="D149" s="9" t="s">
        <v>142</v>
      </c>
      <c r="E149" s="9" t="s">
        <v>130</v>
      </c>
      <c r="G149" s="9" t="s">
        <v>143</v>
      </c>
      <c r="H149" s="9" t="s">
        <v>138</v>
      </c>
      <c r="I149" s="9">
        <v>0.0</v>
      </c>
      <c r="J149" s="47">
        <v>0.0</v>
      </c>
    </row>
    <row r="150" ht="12.75" customHeight="1">
      <c r="A150" s="42" t="s">
        <v>1183</v>
      </c>
      <c r="B150" s="21">
        <v>46166.0</v>
      </c>
      <c r="C150" s="9" t="s">
        <v>132</v>
      </c>
      <c r="D150" s="9" t="s">
        <v>142</v>
      </c>
      <c r="E150" s="9" t="s">
        <v>130</v>
      </c>
      <c r="G150" s="9" t="s">
        <v>143</v>
      </c>
      <c r="H150" s="9" t="s">
        <v>138</v>
      </c>
      <c r="I150" s="9">
        <v>0.0</v>
      </c>
      <c r="J150" s="47">
        <v>0.0</v>
      </c>
    </row>
    <row r="151" ht="12.75" customHeight="1">
      <c r="A151" s="42" t="s">
        <v>1193</v>
      </c>
      <c r="B151" s="21">
        <v>46174.0</v>
      </c>
      <c r="C151" s="9" t="s">
        <v>132</v>
      </c>
      <c r="D151" s="9" t="s">
        <v>142</v>
      </c>
      <c r="E151" s="9" t="s">
        <v>130</v>
      </c>
      <c r="G151" s="9" t="s">
        <v>143</v>
      </c>
      <c r="H151" s="9" t="s">
        <v>138</v>
      </c>
      <c r="I151" s="9">
        <v>0.0</v>
      </c>
      <c r="J151" s="47">
        <v>0.0</v>
      </c>
    </row>
    <row r="152" ht="12.75" customHeight="1">
      <c r="A152" s="42" t="s">
        <v>1199</v>
      </c>
      <c r="B152" s="21">
        <v>46180.0</v>
      </c>
      <c r="C152" s="9" t="s">
        <v>132</v>
      </c>
      <c r="D152" s="9" t="s">
        <v>142</v>
      </c>
      <c r="E152" s="9" t="s">
        <v>130</v>
      </c>
      <c r="G152" s="9" t="s">
        <v>143</v>
      </c>
      <c r="H152" s="9" t="s">
        <v>138</v>
      </c>
      <c r="I152" s="9">
        <v>0.0</v>
      </c>
      <c r="J152" s="47">
        <v>0.0</v>
      </c>
    </row>
    <row r="153" ht="12.75" customHeight="1">
      <c r="A153" s="42" t="s">
        <v>1207</v>
      </c>
      <c r="B153" s="21">
        <v>46187.0</v>
      </c>
      <c r="C153" s="9" t="s">
        <v>132</v>
      </c>
      <c r="D153" s="9" t="s">
        <v>142</v>
      </c>
      <c r="E153" s="9" t="s">
        <v>130</v>
      </c>
      <c r="G153" s="9" t="s">
        <v>143</v>
      </c>
      <c r="H153" s="9" t="s">
        <v>138</v>
      </c>
      <c r="I153" s="9">
        <v>0.0</v>
      </c>
      <c r="J153" s="47">
        <v>0.0</v>
      </c>
    </row>
    <row r="154" ht="12.75" customHeight="1">
      <c r="A154" s="42" t="s">
        <v>1215</v>
      </c>
      <c r="B154" s="21">
        <v>46194.0</v>
      </c>
      <c r="C154" s="9" t="s">
        <v>132</v>
      </c>
      <c r="D154" s="9" t="s">
        <v>142</v>
      </c>
      <c r="E154" s="9" t="s">
        <v>130</v>
      </c>
      <c r="G154" s="9" t="s">
        <v>143</v>
      </c>
      <c r="H154" s="9" t="s">
        <v>138</v>
      </c>
      <c r="I154" s="9">
        <v>0.0</v>
      </c>
      <c r="J154" s="47">
        <v>0.0</v>
      </c>
    </row>
    <row r="155" ht="12.75" customHeight="1">
      <c r="A155" s="42" t="s">
        <v>1223</v>
      </c>
      <c r="B155" s="21">
        <v>46201.0</v>
      </c>
      <c r="C155" s="9" t="s">
        <v>132</v>
      </c>
      <c r="D155" s="9" t="s">
        <v>142</v>
      </c>
      <c r="E155" s="9" t="s">
        <v>130</v>
      </c>
      <c r="G155" s="9" t="s">
        <v>143</v>
      </c>
      <c r="H155" s="9" t="s">
        <v>138</v>
      </c>
      <c r="I155" s="9">
        <v>0.0</v>
      </c>
      <c r="J155" s="47">
        <v>0.0</v>
      </c>
    </row>
    <row r="156" ht="12.75" customHeight="1">
      <c r="A156" s="42" t="s">
        <v>1231</v>
      </c>
      <c r="B156" s="21">
        <v>46208.0</v>
      </c>
      <c r="C156" s="9" t="s">
        <v>132</v>
      </c>
      <c r="D156" s="9" t="s">
        <v>142</v>
      </c>
      <c r="E156" s="9" t="s">
        <v>130</v>
      </c>
      <c r="G156" s="9" t="s">
        <v>143</v>
      </c>
      <c r="H156" s="9" t="s">
        <v>138</v>
      </c>
      <c r="I156" s="9">
        <v>0.0</v>
      </c>
      <c r="J156" s="47">
        <v>0.0</v>
      </c>
    </row>
    <row r="157" ht="12.75" customHeight="1">
      <c r="A157" s="42" t="s">
        <v>1239</v>
      </c>
      <c r="B157" s="21">
        <v>46215.0</v>
      </c>
      <c r="C157" s="9" t="s">
        <v>132</v>
      </c>
      <c r="D157" s="9" t="s">
        <v>142</v>
      </c>
      <c r="E157" s="9" t="s">
        <v>130</v>
      </c>
      <c r="G157" s="9" t="s">
        <v>143</v>
      </c>
      <c r="H157" s="9" t="s">
        <v>138</v>
      </c>
      <c r="I157" s="9">
        <v>0.0</v>
      </c>
      <c r="J157" s="47">
        <v>0.0</v>
      </c>
    </row>
    <row r="158" ht="12.75" customHeight="1">
      <c r="A158" s="42" t="s">
        <v>1247</v>
      </c>
      <c r="B158" s="21">
        <v>46222.0</v>
      </c>
      <c r="C158" s="9" t="s">
        <v>132</v>
      </c>
      <c r="D158" s="9" t="s">
        <v>142</v>
      </c>
      <c r="E158" s="9" t="s">
        <v>130</v>
      </c>
      <c r="G158" s="9" t="s">
        <v>143</v>
      </c>
      <c r="H158" s="9" t="s">
        <v>138</v>
      </c>
      <c r="I158" s="9">
        <v>0.0</v>
      </c>
      <c r="J158" s="47">
        <v>0.0</v>
      </c>
    </row>
    <row r="159" ht="12.75" customHeight="1">
      <c r="A159" s="42" t="s">
        <v>1255</v>
      </c>
      <c r="B159" s="21">
        <v>46229.0</v>
      </c>
      <c r="C159" s="9" t="s">
        <v>132</v>
      </c>
      <c r="D159" s="9" t="s">
        <v>142</v>
      </c>
      <c r="E159" s="9" t="s">
        <v>130</v>
      </c>
      <c r="G159" s="9" t="s">
        <v>143</v>
      </c>
      <c r="H159" s="9" t="s">
        <v>138</v>
      </c>
      <c r="I159" s="9">
        <v>0.0</v>
      </c>
      <c r="J159" s="47">
        <v>0.0</v>
      </c>
    </row>
    <row r="160" ht="12.75" customHeight="1">
      <c r="A160" s="42" t="s">
        <v>1263</v>
      </c>
      <c r="B160" s="21">
        <v>46236.0</v>
      </c>
      <c r="C160" s="9" t="s">
        <v>132</v>
      </c>
      <c r="D160" s="9" t="s">
        <v>142</v>
      </c>
      <c r="E160" s="9" t="s">
        <v>130</v>
      </c>
      <c r="G160" s="9" t="s">
        <v>143</v>
      </c>
      <c r="H160" s="9" t="s">
        <v>138</v>
      </c>
      <c r="I160" s="9">
        <v>0.0</v>
      </c>
      <c r="J160" s="47">
        <v>0.0</v>
      </c>
    </row>
    <row r="161" ht="12.75" customHeight="1">
      <c r="A161" s="42" t="s">
        <v>1271</v>
      </c>
      <c r="B161" s="21">
        <v>46243.0</v>
      </c>
      <c r="C161" s="9" t="s">
        <v>132</v>
      </c>
      <c r="D161" s="9" t="s">
        <v>142</v>
      </c>
      <c r="E161" s="9" t="s">
        <v>130</v>
      </c>
      <c r="G161" s="9" t="s">
        <v>143</v>
      </c>
      <c r="H161" s="9" t="s">
        <v>138</v>
      </c>
      <c r="I161" s="9">
        <v>0.0</v>
      </c>
      <c r="J161" s="47">
        <v>0.0</v>
      </c>
    </row>
    <row r="162" ht="12.75" customHeight="1">
      <c r="A162" s="42" t="s">
        <v>1279</v>
      </c>
      <c r="B162" s="21">
        <v>46250.0</v>
      </c>
      <c r="C162" s="9" t="s">
        <v>132</v>
      </c>
      <c r="D162" s="9" t="s">
        <v>142</v>
      </c>
      <c r="E162" s="9" t="s">
        <v>130</v>
      </c>
      <c r="G162" s="9" t="s">
        <v>143</v>
      </c>
      <c r="H162" s="9" t="s">
        <v>138</v>
      </c>
      <c r="I162" s="9">
        <v>0.0</v>
      </c>
      <c r="J162" s="47">
        <v>0.0</v>
      </c>
    </row>
    <row r="163" ht="12.75" customHeight="1">
      <c r="A163" s="42" t="s">
        <v>1287</v>
      </c>
      <c r="B163" s="21">
        <v>46257.0</v>
      </c>
      <c r="C163" s="9" t="s">
        <v>132</v>
      </c>
      <c r="D163" s="9" t="s">
        <v>142</v>
      </c>
      <c r="E163" s="9" t="s">
        <v>130</v>
      </c>
      <c r="G163" s="9" t="s">
        <v>143</v>
      </c>
      <c r="H163" s="9" t="s">
        <v>138</v>
      </c>
      <c r="I163" s="9">
        <v>0.0</v>
      </c>
      <c r="J163" s="47">
        <v>0.0</v>
      </c>
    </row>
    <row r="164" ht="12.75" customHeight="1">
      <c r="A164" s="42" t="s">
        <v>1295</v>
      </c>
      <c r="B164" s="21">
        <v>46264.0</v>
      </c>
      <c r="C164" s="9" t="s">
        <v>132</v>
      </c>
      <c r="D164" s="9" t="s">
        <v>142</v>
      </c>
      <c r="E164" s="9" t="s">
        <v>130</v>
      </c>
      <c r="G164" s="9" t="s">
        <v>143</v>
      </c>
      <c r="H164" s="9" t="s">
        <v>138</v>
      </c>
      <c r="I164" s="9">
        <v>0.0</v>
      </c>
      <c r="J164" s="47">
        <v>0.0</v>
      </c>
    </row>
    <row r="165" ht="12.75" customHeight="1">
      <c r="A165" s="42" t="s">
        <v>1303</v>
      </c>
      <c r="B165" s="21">
        <v>46271.0</v>
      </c>
      <c r="C165" s="9" t="s">
        <v>132</v>
      </c>
      <c r="D165" s="9" t="s">
        <v>142</v>
      </c>
      <c r="E165" s="9" t="s">
        <v>130</v>
      </c>
      <c r="G165" s="9" t="s">
        <v>143</v>
      </c>
      <c r="H165" s="9" t="s">
        <v>138</v>
      </c>
      <c r="I165" s="9">
        <v>0.0</v>
      </c>
      <c r="J165" s="47">
        <v>0.0</v>
      </c>
    </row>
    <row r="166" ht="12.75" customHeight="1">
      <c r="A166" s="42" t="s">
        <v>1311</v>
      </c>
      <c r="B166" s="21">
        <v>46278.0</v>
      </c>
      <c r="C166" s="9" t="s">
        <v>132</v>
      </c>
      <c r="D166" s="9" t="s">
        <v>142</v>
      </c>
      <c r="E166" s="9" t="s">
        <v>130</v>
      </c>
      <c r="G166" s="9" t="s">
        <v>143</v>
      </c>
      <c r="H166" s="9" t="s">
        <v>138</v>
      </c>
      <c r="I166" s="9">
        <v>0.0</v>
      </c>
      <c r="J166" s="47">
        <v>0.0</v>
      </c>
    </row>
    <row r="167" ht="12.75" customHeight="1">
      <c r="A167" s="42" t="s">
        <v>1319</v>
      </c>
      <c r="B167" s="21">
        <v>46285.0</v>
      </c>
      <c r="C167" s="9" t="s">
        <v>132</v>
      </c>
      <c r="D167" s="9" t="s">
        <v>142</v>
      </c>
      <c r="E167" s="9" t="s">
        <v>130</v>
      </c>
      <c r="G167" s="9" t="s">
        <v>143</v>
      </c>
      <c r="H167" s="9" t="s">
        <v>138</v>
      </c>
      <c r="I167" s="9">
        <v>0.0</v>
      </c>
      <c r="J167" s="47">
        <v>0.0</v>
      </c>
    </row>
    <row r="168" ht="12.75" customHeight="1">
      <c r="A168" s="42" t="s">
        <v>1327</v>
      </c>
      <c r="B168" s="21">
        <v>46292.0</v>
      </c>
      <c r="C168" s="9" t="s">
        <v>132</v>
      </c>
      <c r="D168" s="9" t="s">
        <v>142</v>
      </c>
      <c r="E168" s="9" t="s">
        <v>130</v>
      </c>
      <c r="G168" s="9" t="s">
        <v>143</v>
      </c>
      <c r="H168" s="9" t="s">
        <v>138</v>
      </c>
      <c r="I168" s="9">
        <v>0.0</v>
      </c>
      <c r="J168" s="47">
        <v>0.0</v>
      </c>
    </row>
    <row r="169" ht="12.75" customHeight="1">
      <c r="A169" s="42" t="s">
        <v>1335</v>
      </c>
      <c r="B169" s="21">
        <v>46299.0</v>
      </c>
      <c r="C169" s="9" t="s">
        <v>132</v>
      </c>
      <c r="D169" s="9" t="s">
        <v>142</v>
      </c>
      <c r="E169" s="9" t="s">
        <v>130</v>
      </c>
      <c r="G169" s="9" t="s">
        <v>143</v>
      </c>
      <c r="H169" s="9" t="s">
        <v>138</v>
      </c>
      <c r="I169" s="9">
        <v>0.0</v>
      </c>
      <c r="J169" s="47">
        <v>0.0</v>
      </c>
    </row>
    <row r="170" ht="12.75" customHeight="1">
      <c r="A170" s="42" t="s">
        <v>1343</v>
      </c>
      <c r="B170" s="21">
        <v>46306.0</v>
      </c>
      <c r="C170" s="9" t="s">
        <v>132</v>
      </c>
      <c r="D170" s="9" t="s">
        <v>142</v>
      </c>
      <c r="E170" s="9" t="s">
        <v>130</v>
      </c>
      <c r="G170" s="9" t="s">
        <v>143</v>
      </c>
      <c r="H170" s="9" t="s">
        <v>138</v>
      </c>
      <c r="I170" s="9">
        <v>0.0</v>
      </c>
      <c r="J170" s="47">
        <v>0.0</v>
      </c>
    </row>
    <row r="171" ht="12.75" customHeight="1">
      <c r="A171" s="42" t="s">
        <v>1351</v>
      </c>
      <c r="B171" s="21">
        <v>46313.0</v>
      </c>
      <c r="C171" s="9" t="s">
        <v>132</v>
      </c>
      <c r="D171" s="9" t="s">
        <v>142</v>
      </c>
      <c r="E171" s="9" t="s">
        <v>130</v>
      </c>
      <c r="G171" s="9" t="s">
        <v>143</v>
      </c>
      <c r="H171" s="9" t="s">
        <v>138</v>
      </c>
      <c r="I171" s="9">
        <v>0.0</v>
      </c>
      <c r="J171" s="47">
        <v>0.0</v>
      </c>
    </row>
    <row r="172" ht="12.75" customHeight="1">
      <c r="A172" s="42" t="s">
        <v>1359</v>
      </c>
      <c r="B172" s="21">
        <v>46320.0</v>
      </c>
      <c r="C172" s="9" t="s">
        <v>132</v>
      </c>
      <c r="D172" s="9" t="s">
        <v>142</v>
      </c>
      <c r="E172" s="9" t="s">
        <v>130</v>
      </c>
      <c r="G172" s="9" t="s">
        <v>143</v>
      </c>
      <c r="H172" s="9" t="s">
        <v>138</v>
      </c>
      <c r="I172" s="9">
        <v>0.0</v>
      </c>
      <c r="J172" s="47">
        <v>0.0</v>
      </c>
    </row>
    <row r="173" ht="12.75" customHeight="1">
      <c r="A173" s="42" t="s">
        <v>1367</v>
      </c>
      <c r="B173" s="21">
        <v>46327.0</v>
      </c>
      <c r="C173" s="9" t="s">
        <v>132</v>
      </c>
      <c r="D173" s="9" t="s">
        <v>142</v>
      </c>
      <c r="E173" s="9" t="s">
        <v>130</v>
      </c>
      <c r="G173" s="9" t="s">
        <v>143</v>
      </c>
      <c r="H173" s="9" t="s">
        <v>138</v>
      </c>
      <c r="I173" s="9">
        <v>0.0</v>
      </c>
      <c r="J173" s="47">
        <v>0.0</v>
      </c>
    </row>
    <row r="174" ht="12.75" customHeight="1">
      <c r="A174" s="42" t="s">
        <v>1375</v>
      </c>
      <c r="B174" s="21">
        <v>46334.0</v>
      </c>
      <c r="C174" s="9" t="s">
        <v>132</v>
      </c>
      <c r="D174" s="9" t="s">
        <v>142</v>
      </c>
      <c r="E174" s="9" t="s">
        <v>130</v>
      </c>
      <c r="G174" s="9" t="s">
        <v>143</v>
      </c>
      <c r="H174" s="9" t="s">
        <v>138</v>
      </c>
      <c r="I174" s="9">
        <v>0.0</v>
      </c>
      <c r="J174" s="47">
        <v>0.0</v>
      </c>
    </row>
    <row r="175" ht="12.75" customHeight="1">
      <c r="A175" s="42" t="s">
        <v>1383</v>
      </c>
      <c r="B175" s="21">
        <v>46341.0</v>
      </c>
      <c r="C175" s="9" t="s">
        <v>132</v>
      </c>
      <c r="D175" s="9" t="s">
        <v>142</v>
      </c>
      <c r="E175" s="9" t="s">
        <v>130</v>
      </c>
      <c r="G175" s="9" t="s">
        <v>143</v>
      </c>
      <c r="H175" s="9" t="s">
        <v>138</v>
      </c>
      <c r="I175" s="9">
        <v>0.0</v>
      </c>
      <c r="J175" s="47">
        <v>0.0</v>
      </c>
    </row>
    <row r="176" ht="12.75" customHeight="1">
      <c r="A176" s="42" t="s">
        <v>1391</v>
      </c>
      <c r="B176" s="21">
        <v>46348.0</v>
      </c>
      <c r="C176" s="9" t="s">
        <v>132</v>
      </c>
      <c r="D176" s="9" t="s">
        <v>142</v>
      </c>
      <c r="E176" s="9" t="s">
        <v>130</v>
      </c>
      <c r="G176" s="9" t="s">
        <v>143</v>
      </c>
      <c r="H176" s="9" t="s">
        <v>138</v>
      </c>
      <c r="I176" s="9">
        <v>0.0</v>
      </c>
      <c r="J176" s="47">
        <v>0.0</v>
      </c>
    </row>
    <row r="177" ht="12.75" customHeight="1">
      <c r="A177" s="42" t="s">
        <v>1399</v>
      </c>
      <c r="B177" s="21">
        <v>46355.0</v>
      </c>
      <c r="C177" s="9" t="s">
        <v>132</v>
      </c>
      <c r="D177" s="9" t="s">
        <v>142</v>
      </c>
      <c r="E177" s="9" t="s">
        <v>130</v>
      </c>
      <c r="G177" s="9" t="s">
        <v>143</v>
      </c>
      <c r="H177" s="9" t="s">
        <v>138</v>
      </c>
      <c r="I177" s="9">
        <v>0.0</v>
      </c>
      <c r="J177" s="47">
        <v>0.0</v>
      </c>
    </row>
    <row r="178" ht="12.75" customHeight="1">
      <c r="A178" s="42" t="s">
        <v>1407</v>
      </c>
      <c r="B178" s="21">
        <v>46362.0</v>
      </c>
      <c r="C178" s="9" t="s">
        <v>132</v>
      </c>
      <c r="D178" s="9" t="s">
        <v>142</v>
      </c>
      <c r="E178" s="9" t="s">
        <v>130</v>
      </c>
      <c r="G178" s="9" t="s">
        <v>143</v>
      </c>
      <c r="H178" s="9" t="s">
        <v>138</v>
      </c>
      <c r="I178" s="9">
        <v>0.0</v>
      </c>
      <c r="J178" s="47">
        <v>0.0</v>
      </c>
    </row>
    <row r="179" ht="12.75" customHeight="1">
      <c r="A179" s="42" t="s">
        <v>1415</v>
      </c>
      <c r="B179" s="21">
        <v>46369.0</v>
      </c>
      <c r="C179" s="9" t="s">
        <v>132</v>
      </c>
      <c r="D179" s="9" t="s">
        <v>142</v>
      </c>
      <c r="E179" s="9" t="s">
        <v>130</v>
      </c>
      <c r="G179" s="9" t="s">
        <v>143</v>
      </c>
      <c r="H179" s="9" t="s">
        <v>138</v>
      </c>
      <c r="I179" s="9">
        <v>0.0</v>
      </c>
      <c r="J179" s="47">
        <v>0.0</v>
      </c>
    </row>
    <row r="180" ht="12.75" customHeight="1">
      <c r="A180" s="42" t="s">
        <v>1423</v>
      </c>
      <c r="B180" s="21">
        <v>46376.0</v>
      </c>
      <c r="C180" s="9" t="s">
        <v>132</v>
      </c>
      <c r="D180" s="9" t="s">
        <v>142</v>
      </c>
      <c r="E180" s="9" t="s">
        <v>130</v>
      </c>
      <c r="G180" s="9" t="s">
        <v>143</v>
      </c>
      <c r="H180" s="9" t="s">
        <v>138</v>
      </c>
      <c r="I180" s="9">
        <v>0.0</v>
      </c>
      <c r="J180" s="47">
        <v>0.0</v>
      </c>
    </row>
    <row r="181" ht="12.75" customHeight="1">
      <c r="A181" s="42" t="s">
        <v>1431</v>
      </c>
      <c r="B181" s="21">
        <v>46383.0</v>
      </c>
      <c r="C181" s="9" t="s">
        <v>132</v>
      </c>
      <c r="D181" s="9" t="s">
        <v>142</v>
      </c>
      <c r="E181" s="9" t="s">
        <v>130</v>
      </c>
      <c r="G181" s="9" t="s">
        <v>143</v>
      </c>
      <c r="H181" s="9" t="s">
        <v>138</v>
      </c>
      <c r="I181" s="9">
        <v>0.0</v>
      </c>
      <c r="J181" s="47">
        <v>0.0</v>
      </c>
    </row>
    <row r="182" ht="12.75" customHeight="1">
      <c r="A182" s="42" t="s">
        <v>1087</v>
      </c>
      <c r="B182" s="21">
        <v>46082.0</v>
      </c>
      <c r="C182" s="9" t="s">
        <v>132</v>
      </c>
      <c r="D182" s="9" t="s">
        <v>139</v>
      </c>
      <c r="E182" s="9" t="s">
        <v>137</v>
      </c>
      <c r="G182" s="9" t="s">
        <v>136</v>
      </c>
      <c r="H182" s="9" t="s">
        <v>138</v>
      </c>
      <c r="I182" s="9">
        <v>8758.0</v>
      </c>
      <c r="J182" s="47">
        <v>8758.0</v>
      </c>
    </row>
    <row r="183" ht="12.75" customHeight="1">
      <c r="A183" s="42" t="s">
        <v>1095</v>
      </c>
      <c r="B183" s="21">
        <v>46089.0</v>
      </c>
      <c r="C183" s="9" t="s">
        <v>132</v>
      </c>
      <c r="D183" s="9" t="s">
        <v>139</v>
      </c>
      <c r="E183" s="9" t="s">
        <v>137</v>
      </c>
      <c r="G183" s="9" t="s">
        <v>136</v>
      </c>
      <c r="H183" s="9" t="s">
        <v>138</v>
      </c>
      <c r="I183" s="9">
        <v>8758.0</v>
      </c>
      <c r="J183" s="47">
        <v>8758.0</v>
      </c>
    </row>
    <row r="184" ht="12.75" customHeight="1">
      <c r="A184" s="42" t="s">
        <v>1103</v>
      </c>
      <c r="B184" s="21">
        <v>46096.0</v>
      </c>
      <c r="C184" s="9" t="s">
        <v>132</v>
      </c>
      <c r="D184" s="9" t="s">
        <v>139</v>
      </c>
      <c r="E184" s="9" t="s">
        <v>137</v>
      </c>
      <c r="G184" s="9" t="s">
        <v>136</v>
      </c>
      <c r="H184" s="9" t="s">
        <v>138</v>
      </c>
      <c r="I184" s="9">
        <v>8758.0</v>
      </c>
      <c r="J184" s="47">
        <v>8758.0</v>
      </c>
    </row>
    <row r="185" ht="12.75" customHeight="1">
      <c r="A185" s="42" t="s">
        <v>1111</v>
      </c>
      <c r="B185" s="21">
        <v>46103.0</v>
      </c>
      <c r="C185" s="9" t="s">
        <v>132</v>
      </c>
      <c r="D185" s="9" t="s">
        <v>139</v>
      </c>
      <c r="E185" s="9" t="s">
        <v>137</v>
      </c>
      <c r="G185" s="9" t="s">
        <v>136</v>
      </c>
      <c r="H185" s="9" t="s">
        <v>138</v>
      </c>
      <c r="I185" s="9">
        <v>8758.0</v>
      </c>
      <c r="J185" s="47">
        <v>8758.0</v>
      </c>
    </row>
    <row r="186" ht="12.75" customHeight="1">
      <c r="A186" s="42" t="s">
        <v>1119</v>
      </c>
      <c r="B186" s="21">
        <v>46110.0</v>
      </c>
      <c r="C186" s="9" t="s">
        <v>132</v>
      </c>
      <c r="D186" s="9" t="s">
        <v>139</v>
      </c>
      <c r="E186" s="9" t="s">
        <v>137</v>
      </c>
      <c r="G186" s="9" t="s">
        <v>136</v>
      </c>
      <c r="H186" s="9" t="s">
        <v>138</v>
      </c>
      <c r="I186" s="9">
        <v>8758.0</v>
      </c>
      <c r="J186" s="47">
        <v>8758.0</v>
      </c>
    </row>
    <row r="187" ht="12.75" customHeight="1">
      <c r="A187" s="42" t="s">
        <v>1127</v>
      </c>
      <c r="B187" s="21">
        <v>46117.0</v>
      </c>
      <c r="C187" s="9" t="s">
        <v>132</v>
      </c>
      <c r="D187" s="9" t="s">
        <v>139</v>
      </c>
      <c r="E187" s="9" t="s">
        <v>137</v>
      </c>
      <c r="G187" s="9" t="s">
        <v>136</v>
      </c>
      <c r="H187" s="9" t="s">
        <v>138</v>
      </c>
      <c r="I187" s="9">
        <v>8758.0</v>
      </c>
      <c r="J187" s="47">
        <v>8758.0</v>
      </c>
    </row>
    <row r="188" ht="12.75" customHeight="1">
      <c r="A188" s="42" t="s">
        <v>1135</v>
      </c>
      <c r="B188" s="21">
        <v>46124.0</v>
      </c>
      <c r="C188" s="9" t="s">
        <v>132</v>
      </c>
      <c r="D188" s="9" t="s">
        <v>139</v>
      </c>
      <c r="E188" s="9" t="s">
        <v>137</v>
      </c>
      <c r="G188" s="9" t="s">
        <v>136</v>
      </c>
      <c r="H188" s="9" t="s">
        <v>138</v>
      </c>
      <c r="I188" s="9">
        <v>8758.0</v>
      </c>
      <c r="J188" s="47">
        <v>8758.0</v>
      </c>
    </row>
    <row r="189" ht="12.75" customHeight="1">
      <c r="A189" s="42" t="s">
        <v>1143</v>
      </c>
      <c r="B189" s="21">
        <v>46131.0</v>
      </c>
      <c r="C189" s="9" t="s">
        <v>132</v>
      </c>
      <c r="D189" s="9" t="s">
        <v>139</v>
      </c>
      <c r="E189" s="9" t="s">
        <v>137</v>
      </c>
      <c r="G189" s="9" t="s">
        <v>136</v>
      </c>
      <c r="H189" s="9" t="s">
        <v>138</v>
      </c>
      <c r="I189" s="9">
        <v>8758.0</v>
      </c>
      <c r="J189" s="47">
        <v>8758.0</v>
      </c>
    </row>
    <row r="190" ht="12.75" customHeight="1">
      <c r="A190" s="42" t="s">
        <v>1151</v>
      </c>
      <c r="B190" s="21">
        <v>46138.0</v>
      </c>
      <c r="C190" s="9" t="s">
        <v>132</v>
      </c>
      <c r="D190" s="9" t="s">
        <v>139</v>
      </c>
      <c r="E190" s="9" t="s">
        <v>137</v>
      </c>
      <c r="G190" s="9" t="s">
        <v>136</v>
      </c>
      <c r="H190" s="9" t="s">
        <v>138</v>
      </c>
      <c r="I190" s="9">
        <v>23758.0</v>
      </c>
      <c r="J190" s="47">
        <v>23758.0</v>
      </c>
    </row>
    <row r="191" ht="12.75" customHeight="1">
      <c r="A191" s="42" t="s">
        <v>1159</v>
      </c>
      <c r="B191" s="21">
        <v>46145.0</v>
      </c>
      <c r="C191" s="9" t="s">
        <v>132</v>
      </c>
      <c r="D191" s="9" t="s">
        <v>139</v>
      </c>
      <c r="E191" s="9" t="s">
        <v>137</v>
      </c>
      <c r="G191" s="9" t="s">
        <v>136</v>
      </c>
      <c r="H191" s="9" t="s">
        <v>138</v>
      </c>
      <c r="I191" s="9">
        <v>23758.0</v>
      </c>
      <c r="J191" s="47">
        <v>23758.0</v>
      </c>
    </row>
    <row r="192" ht="12.75" customHeight="1">
      <c r="A192" s="42" t="s">
        <v>1167</v>
      </c>
      <c r="B192" s="21">
        <v>46152.0</v>
      </c>
      <c r="C192" s="9" t="s">
        <v>132</v>
      </c>
      <c r="D192" s="9" t="s">
        <v>139</v>
      </c>
      <c r="E192" s="9" t="s">
        <v>137</v>
      </c>
      <c r="G192" s="9" t="s">
        <v>136</v>
      </c>
      <c r="H192" s="9" t="s">
        <v>138</v>
      </c>
      <c r="I192" s="9">
        <v>23758.0</v>
      </c>
      <c r="J192" s="47">
        <v>23758.0</v>
      </c>
    </row>
    <row r="193" ht="12.75" customHeight="1">
      <c r="A193" s="42" t="s">
        <v>1175</v>
      </c>
      <c r="B193" s="21">
        <v>46159.0</v>
      </c>
      <c r="C193" s="9" t="s">
        <v>132</v>
      </c>
      <c r="D193" s="9" t="s">
        <v>139</v>
      </c>
      <c r="E193" s="9" t="s">
        <v>137</v>
      </c>
      <c r="G193" s="9" t="s">
        <v>136</v>
      </c>
      <c r="H193" s="9" t="s">
        <v>138</v>
      </c>
      <c r="I193" s="9">
        <v>28758.0</v>
      </c>
      <c r="J193" s="47">
        <v>28758.0</v>
      </c>
    </row>
    <row r="194" ht="12.75" customHeight="1">
      <c r="A194" s="42" t="s">
        <v>1183</v>
      </c>
      <c r="B194" s="21">
        <v>46166.0</v>
      </c>
      <c r="C194" s="9" t="s">
        <v>132</v>
      </c>
      <c r="D194" s="9" t="s">
        <v>139</v>
      </c>
      <c r="E194" s="9" t="s">
        <v>137</v>
      </c>
      <c r="G194" s="9" t="s">
        <v>136</v>
      </c>
      <c r="H194" s="9" t="s">
        <v>138</v>
      </c>
      <c r="I194" s="9">
        <v>28758.0</v>
      </c>
      <c r="J194" s="47">
        <v>28758.0</v>
      </c>
    </row>
    <row r="195" ht="12.75" customHeight="1">
      <c r="A195" s="42" t="s">
        <v>1193</v>
      </c>
      <c r="B195" s="21">
        <v>46174.0</v>
      </c>
      <c r="C195" s="9" t="s">
        <v>132</v>
      </c>
      <c r="D195" s="9" t="s">
        <v>139</v>
      </c>
      <c r="E195" s="9" t="s">
        <v>137</v>
      </c>
      <c r="G195" s="9" t="s">
        <v>136</v>
      </c>
      <c r="H195" s="9" t="s">
        <v>138</v>
      </c>
      <c r="I195" s="9">
        <v>43758.0</v>
      </c>
      <c r="J195" s="47">
        <v>43758.0</v>
      </c>
    </row>
    <row r="196" ht="12.75" customHeight="1">
      <c r="A196" s="42" t="s">
        <v>1199</v>
      </c>
      <c r="B196" s="21">
        <v>46180.0</v>
      </c>
      <c r="C196" s="9" t="s">
        <v>132</v>
      </c>
      <c r="D196" s="9" t="s">
        <v>139</v>
      </c>
      <c r="E196" s="9" t="s">
        <v>137</v>
      </c>
      <c r="G196" s="9" t="s">
        <v>136</v>
      </c>
      <c r="H196" s="9" t="s">
        <v>138</v>
      </c>
      <c r="I196" s="9">
        <v>43758.0</v>
      </c>
      <c r="J196" s="47">
        <v>43758.0</v>
      </c>
    </row>
    <row r="197" ht="12.75" customHeight="1">
      <c r="A197" s="42" t="s">
        <v>1207</v>
      </c>
      <c r="B197" s="21">
        <v>46187.0</v>
      </c>
      <c r="C197" s="9" t="s">
        <v>132</v>
      </c>
      <c r="D197" s="9" t="s">
        <v>139</v>
      </c>
      <c r="E197" s="9" t="s">
        <v>137</v>
      </c>
      <c r="G197" s="9" t="s">
        <v>136</v>
      </c>
      <c r="H197" s="9" t="s">
        <v>138</v>
      </c>
      <c r="I197" s="9">
        <v>48758.0</v>
      </c>
      <c r="J197" s="47">
        <v>48758.0</v>
      </c>
    </row>
    <row r="198" ht="12.75" customHeight="1">
      <c r="A198" s="42" t="s">
        <v>1215</v>
      </c>
      <c r="B198" s="21">
        <v>46194.0</v>
      </c>
      <c r="C198" s="9" t="s">
        <v>132</v>
      </c>
      <c r="D198" s="9" t="s">
        <v>139</v>
      </c>
      <c r="E198" s="9" t="s">
        <v>137</v>
      </c>
      <c r="G198" s="9" t="s">
        <v>136</v>
      </c>
      <c r="H198" s="9" t="s">
        <v>138</v>
      </c>
      <c r="I198" s="9">
        <v>48758.0</v>
      </c>
      <c r="J198" s="47">
        <v>48758.0</v>
      </c>
    </row>
    <row r="199" ht="12.75" customHeight="1">
      <c r="A199" s="42" t="s">
        <v>1223</v>
      </c>
      <c r="B199" s="21">
        <v>46201.0</v>
      </c>
      <c r="C199" s="9" t="s">
        <v>132</v>
      </c>
      <c r="D199" s="9" t="s">
        <v>139</v>
      </c>
      <c r="E199" s="9" t="s">
        <v>137</v>
      </c>
      <c r="G199" s="9" t="s">
        <v>136</v>
      </c>
      <c r="H199" s="9" t="s">
        <v>138</v>
      </c>
      <c r="I199" s="9">
        <v>48758.0</v>
      </c>
      <c r="J199" s="47">
        <v>48758.0</v>
      </c>
    </row>
    <row r="200" ht="12.75" customHeight="1">
      <c r="A200" s="42" t="s">
        <v>1231</v>
      </c>
      <c r="B200" s="21">
        <v>46208.0</v>
      </c>
      <c r="C200" s="9" t="s">
        <v>132</v>
      </c>
      <c r="D200" s="9" t="s">
        <v>139</v>
      </c>
      <c r="E200" s="9" t="s">
        <v>137</v>
      </c>
      <c r="G200" s="9" t="s">
        <v>136</v>
      </c>
      <c r="H200" s="9" t="s">
        <v>138</v>
      </c>
      <c r="I200" s="9">
        <v>48758.0</v>
      </c>
      <c r="J200" s="47">
        <v>48758.0</v>
      </c>
    </row>
    <row r="201" ht="12.75" customHeight="1">
      <c r="A201" s="42" t="s">
        <v>1239</v>
      </c>
      <c r="B201" s="21">
        <v>46215.0</v>
      </c>
      <c r="C201" s="9" t="s">
        <v>132</v>
      </c>
      <c r="D201" s="9" t="s">
        <v>139</v>
      </c>
      <c r="E201" s="9" t="s">
        <v>137</v>
      </c>
      <c r="G201" s="9" t="s">
        <v>136</v>
      </c>
      <c r="H201" s="9" t="s">
        <v>138</v>
      </c>
      <c r="I201" s="9">
        <v>73758.0</v>
      </c>
      <c r="J201" s="47">
        <v>73758.0</v>
      </c>
    </row>
    <row r="202" ht="12.75" customHeight="1">
      <c r="A202" s="42" t="s">
        <v>1247</v>
      </c>
      <c r="B202" s="21">
        <v>46222.0</v>
      </c>
      <c r="C202" s="9" t="s">
        <v>132</v>
      </c>
      <c r="D202" s="9" t="s">
        <v>139</v>
      </c>
      <c r="E202" s="9" t="s">
        <v>137</v>
      </c>
      <c r="G202" s="9" t="s">
        <v>136</v>
      </c>
      <c r="H202" s="9" t="s">
        <v>138</v>
      </c>
      <c r="I202" s="9">
        <v>73758.0</v>
      </c>
      <c r="J202" s="47">
        <v>73758.0</v>
      </c>
    </row>
    <row r="203" ht="12.75" customHeight="1">
      <c r="A203" s="42" t="s">
        <v>1255</v>
      </c>
      <c r="B203" s="21">
        <v>46229.0</v>
      </c>
      <c r="C203" s="9" t="s">
        <v>132</v>
      </c>
      <c r="D203" s="9" t="s">
        <v>139</v>
      </c>
      <c r="E203" s="9" t="s">
        <v>137</v>
      </c>
      <c r="G203" s="9" t="s">
        <v>136</v>
      </c>
      <c r="H203" s="9" t="s">
        <v>138</v>
      </c>
      <c r="I203" s="9">
        <v>78758.0</v>
      </c>
      <c r="J203" s="47">
        <v>78758.0</v>
      </c>
    </row>
    <row r="204" ht="12.75" customHeight="1">
      <c r="A204" s="42" t="s">
        <v>1263</v>
      </c>
      <c r="B204" s="21">
        <v>46236.0</v>
      </c>
      <c r="C204" s="9" t="s">
        <v>132</v>
      </c>
      <c r="D204" s="9" t="s">
        <v>139</v>
      </c>
      <c r="E204" s="9" t="s">
        <v>137</v>
      </c>
      <c r="G204" s="9" t="s">
        <v>136</v>
      </c>
      <c r="H204" s="9" t="s">
        <v>138</v>
      </c>
      <c r="I204" s="9">
        <v>78758.0</v>
      </c>
      <c r="J204" s="47">
        <v>78758.0</v>
      </c>
    </row>
    <row r="205" ht="12.75" customHeight="1">
      <c r="A205" s="42" t="s">
        <v>1271</v>
      </c>
      <c r="B205" s="21">
        <v>46243.0</v>
      </c>
      <c r="C205" s="9" t="s">
        <v>132</v>
      </c>
      <c r="D205" s="9" t="s">
        <v>139</v>
      </c>
      <c r="E205" s="9" t="s">
        <v>137</v>
      </c>
      <c r="G205" s="9" t="s">
        <v>136</v>
      </c>
      <c r="H205" s="9" t="s">
        <v>138</v>
      </c>
      <c r="I205" s="9">
        <v>83758.0</v>
      </c>
      <c r="J205" s="47">
        <v>83758.0</v>
      </c>
    </row>
    <row r="206" ht="12.75" customHeight="1">
      <c r="A206" s="42" t="s">
        <v>1279</v>
      </c>
      <c r="B206" s="21">
        <v>46250.0</v>
      </c>
      <c r="C206" s="9" t="s">
        <v>132</v>
      </c>
      <c r="D206" s="9" t="s">
        <v>139</v>
      </c>
      <c r="E206" s="9" t="s">
        <v>137</v>
      </c>
      <c r="G206" s="9" t="s">
        <v>136</v>
      </c>
      <c r="H206" s="9" t="s">
        <v>138</v>
      </c>
      <c r="I206" s="9">
        <v>83758.0</v>
      </c>
      <c r="J206" s="47">
        <v>83758.0</v>
      </c>
    </row>
    <row r="207" ht="12.75" customHeight="1">
      <c r="A207" s="42" t="s">
        <v>1287</v>
      </c>
      <c r="B207" s="21">
        <v>46257.0</v>
      </c>
      <c r="C207" s="9" t="s">
        <v>132</v>
      </c>
      <c r="D207" s="9" t="s">
        <v>139</v>
      </c>
      <c r="E207" s="9" t="s">
        <v>137</v>
      </c>
      <c r="G207" s="9" t="s">
        <v>136</v>
      </c>
      <c r="H207" s="9" t="s">
        <v>138</v>
      </c>
      <c r="I207" s="9">
        <v>83758.0</v>
      </c>
      <c r="J207" s="47">
        <v>83758.0</v>
      </c>
    </row>
    <row r="208" ht="12.75" customHeight="1">
      <c r="A208" s="42" t="s">
        <v>1295</v>
      </c>
      <c r="B208" s="21">
        <v>46264.0</v>
      </c>
      <c r="C208" s="9" t="s">
        <v>132</v>
      </c>
      <c r="D208" s="9" t="s">
        <v>139</v>
      </c>
      <c r="E208" s="9" t="s">
        <v>137</v>
      </c>
      <c r="G208" s="9" t="s">
        <v>136</v>
      </c>
      <c r="H208" s="9" t="s">
        <v>138</v>
      </c>
      <c r="I208" s="9">
        <v>83758.0</v>
      </c>
      <c r="J208" s="47">
        <v>83758.0</v>
      </c>
    </row>
    <row r="209" ht="12.75" customHeight="1">
      <c r="A209" s="42" t="s">
        <v>1303</v>
      </c>
      <c r="B209" s="21">
        <v>46271.0</v>
      </c>
      <c r="C209" s="9" t="s">
        <v>132</v>
      </c>
      <c r="D209" s="9" t="s">
        <v>139</v>
      </c>
      <c r="E209" s="9" t="s">
        <v>137</v>
      </c>
      <c r="G209" s="9" t="s">
        <v>136</v>
      </c>
      <c r="H209" s="9" t="s">
        <v>138</v>
      </c>
      <c r="I209" s="9">
        <v>108758.0</v>
      </c>
      <c r="J209" s="47">
        <v>108758.0</v>
      </c>
    </row>
    <row r="210" ht="12.75" customHeight="1">
      <c r="A210" s="42" t="s">
        <v>1311</v>
      </c>
      <c r="B210" s="21">
        <v>46278.0</v>
      </c>
      <c r="C210" s="9" t="s">
        <v>132</v>
      </c>
      <c r="D210" s="9" t="s">
        <v>139</v>
      </c>
      <c r="E210" s="9" t="s">
        <v>137</v>
      </c>
      <c r="G210" s="9" t="s">
        <v>136</v>
      </c>
      <c r="H210" s="9" t="s">
        <v>138</v>
      </c>
      <c r="I210" s="9">
        <v>108758.0</v>
      </c>
      <c r="J210" s="47">
        <v>108758.0</v>
      </c>
    </row>
    <row r="211" ht="12.75" customHeight="1">
      <c r="A211" s="42" t="s">
        <v>1319</v>
      </c>
      <c r="B211" s="21">
        <v>46285.0</v>
      </c>
      <c r="C211" s="9" t="s">
        <v>132</v>
      </c>
      <c r="D211" s="9" t="s">
        <v>139</v>
      </c>
      <c r="E211" s="9" t="s">
        <v>137</v>
      </c>
      <c r="G211" s="9" t="s">
        <v>136</v>
      </c>
      <c r="H211" s="9" t="s">
        <v>138</v>
      </c>
      <c r="I211" s="9">
        <v>113758.0</v>
      </c>
      <c r="J211" s="47">
        <v>113758.0</v>
      </c>
    </row>
    <row r="212" ht="12.75" customHeight="1">
      <c r="A212" s="42" t="s">
        <v>1327</v>
      </c>
      <c r="B212" s="21">
        <v>46292.0</v>
      </c>
      <c r="C212" s="9" t="s">
        <v>132</v>
      </c>
      <c r="D212" s="9" t="s">
        <v>139</v>
      </c>
      <c r="E212" s="9" t="s">
        <v>137</v>
      </c>
      <c r="G212" s="9" t="s">
        <v>136</v>
      </c>
      <c r="H212" s="9" t="s">
        <v>138</v>
      </c>
      <c r="I212" s="9">
        <v>113758.0</v>
      </c>
      <c r="J212" s="47">
        <v>113758.0</v>
      </c>
    </row>
    <row r="213" ht="12.75" customHeight="1">
      <c r="A213" s="42" t="s">
        <v>1335</v>
      </c>
      <c r="B213" s="21">
        <v>46299.0</v>
      </c>
      <c r="C213" s="9" t="s">
        <v>132</v>
      </c>
      <c r="D213" s="9" t="s">
        <v>139</v>
      </c>
      <c r="E213" s="9" t="s">
        <v>137</v>
      </c>
      <c r="G213" s="9" t="s">
        <v>136</v>
      </c>
      <c r="H213" s="9" t="s">
        <v>138</v>
      </c>
      <c r="I213" s="9">
        <v>113758.0</v>
      </c>
      <c r="J213" s="47">
        <v>113758.0</v>
      </c>
    </row>
    <row r="214" ht="12.75" customHeight="1">
      <c r="A214" s="42" t="s">
        <v>1343</v>
      </c>
      <c r="B214" s="21">
        <v>46306.0</v>
      </c>
      <c r="C214" s="9" t="s">
        <v>132</v>
      </c>
      <c r="D214" s="9" t="s">
        <v>139</v>
      </c>
      <c r="E214" s="9" t="s">
        <v>137</v>
      </c>
      <c r="G214" s="9" t="s">
        <v>136</v>
      </c>
      <c r="H214" s="9" t="s">
        <v>138</v>
      </c>
      <c r="I214" s="9">
        <v>133758.0</v>
      </c>
      <c r="J214" s="47">
        <v>133758.0</v>
      </c>
    </row>
    <row r="215" ht="12.75" customHeight="1">
      <c r="A215" s="42" t="s">
        <v>1351</v>
      </c>
      <c r="B215" s="21">
        <v>46313.0</v>
      </c>
      <c r="C215" s="9" t="s">
        <v>132</v>
      </c>
      <c r="D215" s="9" t="s">
        <v>139</v>
      </c>
      <c r="E215" s="9" t="s">
        <v>137</v>
      </c>
      <c r="G215" s="9" t="s">
        <v>136</v>
      </c>
      <c r="H215" s="9" t="s">
        <v>138</v>
      </c>
      <c r="I215" s="9">
        <v>138758.0</v>
      </c>
      <c r="J215" s="47">
        <v>138758.0</v>
      </c>
    </row>
    <row r="216" ht="12.75" customHeight="1">
      <c r="A216" s="42" t="s">
        <v>1359</v>
      </c>
      <c r="B216" s="21">
        <v>46320.0</v>
      </c>
      <c r="C216" s="9" t="s">
        <v>132</v>
      </c>
      <c r="D216" s="9" t="s">
        <v>139</v>
      </c>
      <c r="E216" s="9" t="s">
        <v>137</v>
      </c>
      <c r="G216" s="9" t="s">
        <v>136</v>
      </c>
      <c r="H216" s="9" t="s">
        <v>138</v>
      </c>
      <c r="I216" s="9">
        <v>138758.0</v>
      </c>
      <c r="J216" s="47">
        <v>138758.0</v>
      </c>
    </row>
    <row r="217" ht="12.75" customHeight="1">
      <c r="A217" s="42" t="s">
        <v>1367</v>
      </c>
      <c r="B217" s="21">
        <v>46327.0</v>
      </c>
      <c r="C217" s="9" t="s">
        <v>132</v>
      </c>
      <c r="D217" s="9" t="s">
        <v>139</v>
      </c>
      <c r="E217" s="9" t="s">
        <v>137</v>
      </c>
      <c r="G217" s="9" t="s">
        <v>136</v>
      </c>
      <c r="H217" s="9" t="s">
        <v>138</v>
      </c>
      <c r="I217" s="9">
        <v>138758.0</v>
      </c>
      <c r="J217" s="47">
        <v>138758.0</v>
      </c>
    </row>
    <row r="218" ht="12.75" customHeight="1">
      <c r="A218" s="42" t="s">
        <v>1375</v>
      </c>
      <c r="B218" s="21">
        <v>46334.0</v>
      </c>
      <c r="C218" s="9" t="s">
        <v>132</v>
      </c>
      <c r="D218" s="9" t="s">
        <v>139</v>
      </c>
      <c r="E218" s="9" t="s">
        <v>137</v>
      </c>
      <c r="G218" s="9" t="s">
        <v>136</v>
      </c>
      <c r="H218" s="9" t="s">
        <v>138</v>
      </c>
      <c r="I218" s="9">
        <v>143758.0</v>
      </c>
      <c r="J218" s="47">
        <v>143758.0</v>
      </c>
    </row>
    <row r="219" ht="12.75" customHeight="1">
      <c r="A219" s="42" t="s">
        <v>1383</v>
      </c>
      <c r="B219" s="21">
        <v>46341.0</v>
      </c>
      <c r="C219" s="9" t="s">
        <v>132</v>
      </c>
      <c r="D219" s="9" t="s">
        <v>139</v>
      </c>
      <c r="E219" s="9" t="s">
        <v>137</v>
      </c>
      <c r="G219" s="9" t="s">
        <v>136</v>
      </c>
      <c r="H219" s="9" t="s">
        <v>138</v>
      </c>
      <c r="I219" s="9">
        <v>158758.0</v>
      </c>
      <c r="J219" s="47">
        <v>158758.0</v>
      </c>
    </row>
    <row r="220" ht="12.75" customHeight="1">
      <c r="A220" s="42" t="s">
        <v>1391</v>
      </c>
      <c r="B220" s="21">
        <v>46348.0</v>
      </c>
      <c r="C220" s="9" t="s">
        <v>132</v>
      </c>
      <c r="D220" s="9" t="s">
        <v>139</v>
      </c>
      <c r="E220" s="9" t="s">
        <v>137</v>
      </c>
      <c r="G220" s="9" t="s">
        <v>136</v>
      </c>
      <c r="H220" s="9" t="s">
        <v>138</v>
      </c>
      <c r="I220" s="9">
        <v>158758.0</v>
      </c>
      <c r="J220" s="47">
        <v>158758.0</v>
      </c>
    </row>
    <row r="221" ht="12.75" customHeight="1">
      <c r="A221" s="42" t="s">
        <v>1399</v>
      </c>
      <c r="B221" s="21">
        <v>46355.0</v>
      </c>
      <c r="C221" s="9" t="s">
        <v>132</v>
      </c>
      <c r="D221" s="9" t="s">
        <v>139</v>
      </c>
      <c r="E221" s="9" t="s">
        <v>137</v>
      </c>
      <c r="G221" s="9" t="s">
        <v>136</v>
      </c>
      <c r="H221" s="9" t="s">
        <v>138</v>
      </c>
      <c r="I221" s="9">
        <v>158758.0</v>
      </c>
      <c r="J221" s="47">
        <v>158758.0</v>
      </c>
    </row>
    <row r="222" ht="12.75" customHeight="1">
      <c r="A222" s="42" t="s">
        <v>1407</v>
      </c>
      <c r="B222" s="21">
        <v>46362.0</v>
      </c>
      <c r="C222" s="9" t="s">
        <v>132</v>
      </c>
      <c r="D222" s="9" t="s">
        <v>139</v>
      </c>
      <c r="E222" s="9" t="s">
        <v>137</v>
      </c>
      <c r="G222" s="9" t="s">
        <v>136</v>
      </c>
      <c r="H222" s="9" t="s">
        <v>138</v>
      </c>
      <c r="I222" s="9">
        <v>158758.0</v>
      </c>
      <c r="J222" s="47">
        <v>158758.0</v>
      </c>
    </row>
    <row r="223" ht="12.75" customHeight="1">
      <c r="A223" s="42" t="s">
        <v>1415</v>
      </c>
      <c r="B223" s="21">
        <v>46369.0</v>
      </c>
      <c r="C223" s="9" t="s">
        <v>132</v>
      </c>
      <c r="D223" s="9" t="s">
        <v>139</v>
      </c>
      <c r="E223" s="9" t="s">
        <v>137</v>
      </c>
      <c r="G223" s="9" t="s">
        <v>136</v>
      </c>
      <c r="H223" s="9" t="s">
        <v>138</v>
      </c>
      <c r="I223" s="9">
        <v>158758.0</v>
      </c>
      <c r="J223" s="47">
        <v>158758.0</v>
      </c>
    </row>
    <row r="224" ht="12.75" customHeight="1">
      <c r="A224" s="42" t="s">
        <v>1423</v>
      </c>
      <c r="B224" s="21">
        <v>46376.0</v>
      </c>
      <c r="C224" s="9" t="s">
        <v>132</v>
      </c>
      <c r="D224" s="9" t="s">
        <v>139</v>
      </c>
      <c r="E224" s="9" t="s">
        <v>137</v>
      </c>
      <c r="G224" s="9" t="s">
        <v>136</v>
      </c>
      <c r="H224" s="9" t="s">
        <v>138</v>
      </c>
      <c r="I224" s="9">
        <v>158758.0</v>
      </c>
      <c r="J224" s="47">
        <v>158758.0</v>
      </c>
    </row>
    <row r="225" ht="12.75" customHeight="1">
      <c r="A225" s="42" t="s">
        <v>1431</v>
      </c>
      <c r="B225" s="21">
        <v>46383.0</v>
      </c>
      <c r="C225" s="9" t="s">
        <v>132</v>
      </c>
      <c r="D225" s="9" t="s">
        <v>139</v>
      </c>
      <c r="E225" s="9" t="s">
        <v>137</v>
      </c>
      <c r="G225" s="9" t="s">
        <v>136</v>
      </c>
      <c r="H225" s="9" t="s">
        <v>138</v>
      </c>
      <c r="I225" s="9">
        <v>158758.0</v>
      </c>
      <c r="J225" s="47">
        <v>158758.0</v>
      </c>
    </row>
    <row r="226" ht="12.75" customHeight="1">
      <c r="A226" s="42" t="s">
        <v>1087</v>
      </c>
      <c r="B226" s="21">
        <v>46082.0</v>
      </c>
      <c r="C226" s="9" t="s">
        <v>132</v>
      </c>
      <c r="D226" s="9" t="s">
        <v>140</v>
      </c>
      <c r="E226" s="9" t="s">
        <v>137</v>
      </c>
      <c r="G226" s="9" t="s">
        <v>141</v>
      </c>
      <c r="H226" s="9" t="s">
        <v>138</v>
      </c>
      <c r="I226" s="9">
        <v>1569.0</v>
      </c>
      <c r="J226" s="47">
        <v>1569.0</v>
      </c>
    </row>
    <row r="227" ht="12.75" customHeight="1">
      <c r="A227" s="42" t="s">
        <v>1095</v>
      </c>
      <c r="B227" s="21">
        <v>46089.0</v>
      </c>
      <c r="C227" s="9" t="s">
        <v>132</v>
      </c>
      <c r="D227" s="9" t="s">
        <v>140</v>
      </c>
      <c r="E227" s="9" t="s">
        <v>137</v>
      </c>
      <c r="G227" s="9" t="s">
        <v>141</v>
      </c>
      <c r="H227" s="9" t="s">
        <v>138</v>
      </c>
      <c r="I227" s="9">
        <v>3069.0</v>
      </c>
      <c r="J227" s="47">
        <v>3069.0</v>
      </c>
    </row>
    <row r="228" ht="12.75" customHeight="1">
      <c r="A228" s="42" t="s">
        <v>1103</v>
      </c>
      <c r="B228" s="21">
        <v>46096.0</v>
      </c>
      <c r="C228" s="9" t="s">
        <v>132</v>
      </c>
      <c r="D228" s="9" t="s">
        <v>140</v>
      </c>
      <c r="E228" s="9" t="s">
        <v>137</v>
      </c>
      <c r="G228" s="9" t="s">
        <v>141</v>
      </c>
      <c r="H228" s="9" t="s">
        <v>138</v>
      </c>
      <c r="I228" s="9">
        <v>4569.0</v>
      </c>
      <c r="J228" s="47">
        <v>4569.0</v>
      </c>
    </row>
    <row r="229" ht="12.75" customHeight="1">
      <c r="A229" s="42" t="s">
        <v>1111</v>
      </c>
      <c r="B229" s="21">
        <v>46103.0</v>
      </c>
      <c r="C229" s="9" t="s">
        <v>132</v>
      </c>
      <c r="D229" s="9" t="s">
        <v>140</v>
      </c>
      <c r="E229" s="9" t="s">
        <v>137</v>
      </c>
      <c r="G229" s="9" t="s">
        <v>141</v>
      </c>
      <c r="H229" s="9" t="s">
        <v>138</v>
      </c>
      <c r="I229" s="9">
        <v>6069.0</v>
      </c>
      <c r="J229" s="47">
        <v>6069.0</v>
      </c>
    </row>
    <row r="230" ht="12.75" customHeight="1">
      <c r="A230" s="42" t="s">
        <v>1119</v>
      </c>
      <c r="B230" s="21">
        <v>46110.0</v>
      </c>
      <c r="C230" s="9" t="s">
        <v>132</v>
      </c>
      <c r="D230" s="9" t="s">
        <v>140</v>
      </c>
      <c r="E230" s="9" t="s">
        <v>137</v>
      </c>
      <c r="G230" s="9" t="s">
        <v>141</v>
      </c>
      <c r="H230" s="9" t="s">
        <v>138</v>
      </c>
      <c r="I230" s="9">
        <v>11069.0</v>
      </c>
      <c r="J230" s="47">
        <v>11069.0</v>
      </c>
    </row>
    <row r="231" ht="12.75" customHeight="1">
      <c r="A231" s="42" t="s">
        <v>1127</v>
      </c>
      <c r="B231" s="21">
        <v>46117.0</v>
      </c>
      <c r="C231" s="9" t="s">
        <v>132</v>
      </c>
      <c r="D231" s="9" t="s">
        <v>140</v>
      </c>
      <c r="E231" s="9" t="s">
        <v>137</v>
      </c>
      <c r="G231" s="9" t="s">
        <v>141</v>
      </c>
      <c r="H231" s="9" t="s">
        <v>138</v>
      </c>
      <c r="I231" s="9">
        <v>12569.0</v>
      </c>
      <c r="J231" s="47">
        <v>12569.0</v>
      </c>
    </row>
    <row r="232" ht="12.75" customHeight="1">
      <c r="A232" s="42" t="s">
        <v>1135</v>
      </c>
      <c r="B232" s="21">
        <v>46124.0</v>
      </c>
      <c r="C232" s="9" t="s">
        <v>132</v>
      </c>
      <c r="D232" s="9" t="s">
        <v>140</v>
      </c>
      <c r="E232" s="9" t="s">
        <v>137</v>
      </c>
      <c r="G232" s="9" t="s">
        <v>141</v>
      </c>
      <c r="H232" s="9" t="s">
        <v>138</v>
      </c>
      <c r="I232" s="9">
        <v>14069.0</v>
      </c>
      <c r="J232" s="47">
        <v>14069.0</v>
      </c>
    </row>
    <row r="233" ht="12.75" customHeight="1">
      <c r="A233" s="42" t="s">
        <v>1143</v>
      </c>
      <c r="B233" s="21">
        <v>46131.0</v>
      </c>
      <c r="C233" s="9" t="s">
        <v>132</v>
      </c>
      <c r="D233" s="9" t="s">
        <v>140</v>
      </c>
      <c r="E233" s="9" t="s">
        <v>137</v>
      </c>
      <c r="G233" s="9" t="s">
        <v>141</v>
      </c>
      <c r="H233" s="9" t="s">
        <v>138</v>
      </c>
      <c r="I233" s="9">
        <v>15569.0</v>
      </c>
      <c r="J233" s="47">
        <v>15569.0</v>
      </c>
    </row>
    <row r="234" ht="12.75" customHeight="1">
      <c r="A234" s="42" t="s">
        <v>1151</v>
      </c>
      <c r="B234" s="21">
        <v>46138.0</v>
      </c>
      <c r="C234" s="9" t="s">
        <v>132</v>
      </c>
      <c r="D234" s="9" t="s">
        <v>140</v>
      </c>
      <c r="E234" s="9" t="s">
        <v>137</v>
      </c>
      <c r="G234" s="9" t="s">
        <v>141</v>
      </c>
      <c r="H234" s="9" t="s">
        <v>138</v>
      </c>
      <c r="I234" s="9">
        <v>17069.0</v>
      </c>
      <c r="J234" s="47">
        <v>17069.0</v>
      </c>
    </row>
    <row r="235" ht="12.75" customHeight="1">
      <c r="A235" s="42" t="s">
        <v>1159</v>
      </c>
      <c r="B235" s="21">
        <v>46145.0</v>
      </c>
      <c r="C235" s="9" t="s">
        <v>132</v>
      </c>
      <c r="D235" s="9" t="s">
        <v>140</v>
      </c>
      <c r="E235" s="9" t="s">
        <v>137</v>
      </c>
      <c r="G235" s="9" t="s">
        <v>141</v>
      </c>
      <c r="H235" s="9" t="s">
        <v>138</v>
      </c>
      <c r="I235" s="9">
        <v>18569.0</v>
      </c>
      <c r="J235" s="47">
        <v>18569.0</v>
      </c>
    </row>
    <row r="236" ht="12.75" customHeight="1">
      <c r="A236" s="42" t="s">
        <v>1167</v>
      </c>
      <c r="B236" s="21">
        <v>46152.0</v>
      </c>
      <c r="C236" s="9" t="s">
        <v>132</v>
      </c>
      <c r="D236" s="9" t="s">
        <v>140</v>
      </c>
      <c r="E236" s="9" t="s">
        <v>137</v>
      </c>
      <c r="G236" s="9" t="s">
        <v>141</v>
      </c>
      <c r="H236" s="9" t="s">
        <v>138</v>
      </c>
      <c r="I236" s="9">
        <v>20069.0</v>
      </c>
      <c r="J236" s="47">
        <v>20069.0</v>
      </c>
    </row>
    <row r="237" ht="12.75" customHeight="1">
      <c r="A237" s="42" t="s">
        <v>1175</v>
      </c>
      <c r="B237" s="21">
        <v>46159.0</v>
      </c>
      <c r="C237" s="9" t="s">
        <v>132</v>
      </c>
      <c r="D237" s="9" t="s">
        <v>140</v>
      </c>
      <c r="E237" s="9" t="s">
        <v>137</v>
      </c>
      <c r="G237" s="9" t="s">
        <v>141</v>
      </c>
      <c r="H237" s="9" t="s">
        <v>138</v>
      </c>
      <c r="I237" s="9">
        <v>21569.0</v>
      </c>
      <c r="J237" s="47">
        <v>21569.0</v>
      </c>
    </row>
    <row r="238" ht="12.75" customHeight="1">
      <c r="A238" s="42" t="s">
        <v>1183</v>
      </c>
      <c r="B238" s="21">
        <v>46166.0</v>
      </c>
      <c r="C238" s="9" t="s">
        <v>132</v>
      </c>
      <c r="D238" s="9" t="s">
        <v>140</v>
      </c>
      <c r="E238" s="9" t="s">
        <v>137</v>
      </c>
      <c r="G238" s="9" t="s">
        <v>141</v>
      </c>
      <c r="H238" s="9" t="s">
        <v>138</v>
      </c>
      <c r="I238" s="9">
        <v>23069.0</v>
      </c>
      <c r="J238" s="47">
        <v>23069.0</v>
      </c>
    </row>
    <row r="239" ht="12.75" customHeight="1">
      <c r="A239" s="42" t="s">
        <v>1193</v>
      </c>
      <c r="B239" s="21">
        <v>46174.0</v>
      </c>
      <c r="C239" s="9" t="s">
        <v>132</v>
      </c>
      <c r="D239" s="9" t="s">
        <v>140</v>
      </c>
      <c r="E239" s="9" t="s">
        <v>137</v>
      </c>
      <c r="G239" s="9" t="s">
        <v>141</v>
      </c>
      <c r="H239" s="9" t="s">
        <v>138</v>
      </c>
      <c r="I239" s="9">
        <v>24569.0</v>
      </c>
      <c r="J239" s="47">
        <v>24569.0</v>
      </c>
    </row>
    <row r="240" ht="12.75" customHeight="1">
      <c r="A240" s="42" t="s">
        <v>1199</v>
      </c>
      <c r="B240" s="21">
        <v>46180.0</v>
      </c>
      <c r="C240" s="9" t="s">
        <v>132</v>
      </c>
      <c r="D240" s="9" t="s">
        <v>140</v>
      </c>
      <c r="E240" s="9" t="s">
        <v>137</v>
      </c>
      <c r="G240" s="9" t="s">
        <v>141</v>
      </c>
      <c r="H240" s="9" t="s">
        <v>138</v>
      </c>
      <c r="I240" s="9">
        <v>26069.0</v>
      </c>
      <c r="J240" s="47">
        <v>26069.0</v>
      </c>
    </row>
    <row r="241" ht="12.75" customHeight="1">
      <c r="A241" s="42" t="s">
        <v>1207</v>
      </c>
      <c r="B241" s="21">
        <v>46187.0</v>
      </c>
      <c r="C241" s="9" t="s">
        <v>132</v>
      </c>
      <c r="D241" s="9" t="s">
        <v>140</v>
      </c>
      <c r="E241" s="9" t="s">
        <v>137</v>
      </c>
      <c r="G241" s="9" t="s">
        <v>141</v>
      </c>
      <c r="H241" s="9" t="s">
        <v>138</v>
      </c>
      <c r="I241" s="9">
        <v>27569.0</v>
      </c>
      <c r="J241" s="47">
        <v>27569.0</v>
      </c>
    </row>
    <row r="242" ht="12.75" customHeight="1">
      <c r="A242" s="42" t="s">
        <v>1215</v>
      </c>
      <c r="B242" s="21">
        <v>46194.0</v>
      </c>
      <c r="C242" s="9" t="s">
        <v>132</v>
      </c>
      <c r="D242" s="9" t="s">
        <v>140</v>
      </c>
      <c r="E242" s="9" t="s">
        <v>137</v>
      </c>
      <c r="G242" s="9" t="s">
        <v>141</v>
      </c>
      <c r="H242" s="9" t="s">
        <v>138</v>
      </c>
      <c r="I242" s="9">
        <v>29069.0</v>
      </c>
      <c r="J242" s="47">
        <v>29069.0</v>
      </c>
    </row>
    <row r="243" ht="12.75" customHeight="1">
      <c r="A243" s="42" t="s">
        <v>1223</v>
      </c>
      <c r="B243" s="21">
        <v>46201.0</v>
      </c>
      <c r="C243" s="9" t="s">
        <v>132</v>
      </c>
      <c r="D243" s="9" t="s">
        <v>140</v>
      </c>
      <c r="E243" s="9" t="s">
        <v>137</v>
      </c>
      <c r="G243" s="9" t="s">
        <v>141</v>
      </c>
      <c r="H243" s="9" t="s">
        <v>138</v>
      </c>
      <c r="I243" s="9">
        <v>30819.0</v>
      </c>
      <c r="J243" s="47">
        <v>30819.0</v>
      </c>
    </row>
    <row r="244" ht="12.75" customHeight="1">
      <c r="A244" s="42" t="s">
        <v>1231</v>
      </c>
      <c r="B244" s="21">
        <v>46208.0</v>
      </c>
      <c r="C244" s="9" t="s">
        <v>132</v>
      </c>
      <c r="D244" s="9" t="s">
        <v>140</v>
      </c>
      <c r="E244" s="9" t="s">
        <v>137</v>
      </c>
      <c r="G244" s="9" t="s">
        <v>141</v>
      </c>
      <c r="H244" s="9" t="s">
        <v>138</v>
      </c>
      <c r="I244" s="9">
        <v>32569.0</v>
      </c>
      <c r="J244" s="47">
        <v>32569.0</v>
      </c>
    </row>
    <row r="245" ht="12.75" customHeight="1">
      <c r="A245" s="42" t="s">
        <v>1239</v>
      </c>
      <c r="B245" s="21">
        <v>46215.0</v>
      </c>
      <c r="C245" s="9" t="s">
        <v>132</v>
      </c>
      <c r="D245" s="9" t="s">
        <v>140</v>
      </c>
      <c r="E245" s="9" t="s">
        <v>137</v>
      </c>
      <c r="G245" s="9" t="s">
        <v>141</v>
      </c>
      <c r="H245" s="9" t="s">
        <v>138</v>
      </c>
      <c r="I245" s="9">
        <v>34319.0</v>
      </c>
      <c r="J245" s="47">
        <v>34319.0</v>
      </c>
    </row>
    <row r="246" ht="12.75" customHeight="1">
      <c r="A246" s="42" t="s">
        <v>1247</v>
      </c>
      <c r="B246" s="21">
        <v>46222.0</v>
      </c>
      <c r="C246" s="9" t="s">
        <v>132</v>
      </c>
      <c r="D246" s="9" t="s">
        <v>140</v>
      </c>
      <c r="E246" s="9" t="s">
        <v>137</v>
      </c>
      <c r="G246" s="9" t="s">
        <v>141</v>
      </c>
      <c r="H246" s="9" t="s">
        <v>138</v>
      </c>
      <c r="I246" s="9">
        <v>36069.0</v>
      </c>
      <c r="J246" s="47">
        <v>36069.0</v>
      </c>
    </row>
    <row r="247" ht="12.75" customHeight="1">
      <c r="A247" s="42" t="s">
        <v>1255</v>
      </c>
      <c r="B247" s="21">
        <v>46229.0</v>
      </c>
      <c r="C247" s="9" t="s">
        <v>132</v>
      </c>
      <c r="D247" s="9" t="s">
        <v>140</v>
      </c>
      <c r="E247" s="9" t="s">
        <v>137</v>
      </c>
      <c r="G247" s="9" t="s">
        <v>141</v>
      </c>
      <c r="H247" s="9" t="s">
        <v>138</v>
      </c>
      <c r="I247" s="9">
        <v>37819.0</v>
      </c>
      <c r="J247" s="47">
        <v>37819.0</v>
      </c>
    </row>
    <row r="248" ht="12.75" customHeight="1">
      <c r="A248" s="42" t="s">
        <v>1263</v>
      </c>
      <c r="B248" s="21">
        <v>46236.0</v>
      </c>
      <c r="C248" s="9" t="s">
        <v>132</v>
      </c>
      <c r="D248" s="9" t="s">
        <v>140</v>
      </c>
      <c r="E248" s="9" t="s">
        <v>137</v>
      </c>
      <c r="G248" s="9" t="s">
        <v>141</v>
      </c>
      <c r="H248" s="9" t="s">
        <v>138</v>
      </c>
      <c r="I248" s="9">
        <v>39569.0</v>
      </c>
      <c r="J248" s="47">
        <v>39569.0</v>
      </c>
    </row>
    <row r="249" ht="12.75" customHeight="1">
      <c r="A249" s="42" t="s">
        <v>1271</v>
      </c>
      <c r="B249" s="21">
        <v>46243.0</v>
      </c>
      <c r="C249" s="9" t="s">
        <v>132</v>
      </c>
      <c r="D249" s="9" t="s">
        <v>140</v>
      </c>
      <c r="E249" s="9" t="s">
        <v>137</v>
      </c>
      <c r="G249" s="9" t="s">
        <v>141</v>
      </c>
      <c r="H249" s="9" t="s">
        <v>138</v>
      </c>
      <c r="I249" s="9">
        <v>41319.0</v>
      </c>
      <c r="J249" s="47">
        <v>41319.0</v>
      </c>
    </row>
    <row r="250" ht="12.75" customHeight="1">
      <c r="A250" s="42" t="s">
        <v>1279</v>
      </c>
      <c r="B250" s="21">
        <v>46250.0</v>
      </c>
      <c r="C250" s="9" t="s">
        <v>132</v>
      </c>
      <c r="D250" s="9" t="s">
        <v>140</v>
      </c>
      <c r="E250" s="9" t="s">
        <v>137</v>
      </c>
      <c r="G250" s="9" t="s">
        <v>141</v>
      </c>
      <c r="H250" s="9" t="s">
        <v>138</v>
      </c>
      <c r="I250" s="9">
        <v>43069.0</v>
      </c>
      <c r="J250" s="47">
        <v>43069.0</v>
      </c>
    </row>
    <row r="251" ht="12.75" customHeight="1">
      <c r="A251" s="42" t="s">
        <v>1287</v>
      </c>
      <c r="B251" s="21">
        <v>46257.0</v>
      </c>
      <c r="C251" s="9" t="s">
        <v>132</v>
      </c>
      <c r="D251" s="9" t="s">
        <v>140</v>
      </c>
      <c r="E251" s="9" t="s">
        <v>137</v>
      </c>
      <c r="G251" s="9" t="s">
        <v>141</v>
      </c>
      <c r="H251" s="9" t="s">
        <v>138</v>
      </c>
      <c r="I251" s="9">
        <v>44819.0</v>
      </c>
      <c r="J251" s="47">
        <v>44819.0</v>
      </c>
    </row>
    <row r="252" ht="12.75" customHeight="1">
      <c r="A252" s="42" t="s">
        <v>1295</v>
      </c>
      <c r="B252" s="21">
        <v>46264.0</v>
      </c>
      <c r="C252" s="9" t="s">
        <v>132</v>
      </c>
      <c r="D252" s="9" t="s">
        <v>140</v>
      </c>
      <c r="E252" s="9" t="s">
        <v>137</v>
      </c>
      <c r="G252" s="9" t="s">
        <v>141</v>
      </c>
      <c r="H252" s="9" t="s">
        <v>138</v>
      </c>
      <c r="I252" s="9">
        <v>47319.0</v>
      </c>
      <c r="J252" s="47">
        <v>47319.0</v>
      </c>
    </row>
    <row r="253" ht="12.75" customHeight="1">
      <c r="A253" s="42" t="s">
        <v>1303</v>
      </c>
      <c r="B253" s="21">
        <v>46271.0</v>
      </c>
      <c r="C253" s="9" t="s">
        <v>132</v>
      </c>
      <c r="D253" s="9" t="s">
        <v>140</v>
      </c>
      <c r="E253" s="9" t="s">
        <v>137</v>
      </c>
      <c r="G253" s="9" t="s">
        <v>141</v>
      </c>
      <c r="H253" s="9" t="s">
        <v>138</v>
      </c>
      <c r="I253" s="9">
        <v>49819.0</v>
      </c>
      <c r="J253" s="47">
        <v>49819.0</v>
      </c>
    </row>
    <row r="254" ht="12.75" customHeight="1">
      <c r="A254" s="42" t="s">
        <v>1311</v>
      </c>
      <c r="B254" s="21">
        <v>46278.0</v>
      </c>
      <c r="C254" s="9" t="s">
        <v>132</v>
      </c>
      <c r="D254" s="9" t="s">
        <v>140</v>
      </c>
      <c r="E254" s="9" t="s">
        <v>137</v>
      </c>
      <c r="G254" s="9" t="s">
        <v>141</v>
      </c>
      <c r="H254" s="9" t="s">
        <v>138</v>
      </c>
      <c r="I254" s="9">
        <v>52319.0</v>
      </c>
      <c r="J254" s="47">
        <v>52319.0</v>
      </c>
    </row>
    <row r="255" ht="12.75" customHeight="1">
      <c r="A255" s="42" t="s">
        <v>1319</v>
      </c>
      <c r="B255" s="21">
        <v>46285.0</v>
      </c>
      <c r="C255" s="9" t="s">
        <v>132</v>
      </c>
      <c r="D255" s="9" t="s">
        <v>140</v>
      </c>
      <c r="E255" s="9" t="s">
        <v>137</v>
      </c>
      <c r="G255" s="9" t="s">
        <v>141</v>
      </c>
      <c r="H255" s="9" t="s">
        <v>138</v>
      </c>
      <c r="I255" s="9">
        <v>54819.0</v>
      </c>
      <c r="J255" s="47">
        <v>54819.0</v>
      </c>
    </row>
    <row r="256" ht="12.75" customHeight="1">
      <c r="A256" s="42" t="s">
        <v>1327</v>
      </c>
      <c r="B256" s="21">
        <v>46292.0</v>
      </c>
      <c r="C256" s="9" t="s">
        <v>132</v>
      </c>
      <c r="D256" s="9" t="s">
        <v>140</v>
      </c>
      <c r="E256" s="9" t="s">
        <v>137</v>
      </c>
      <c r="G256" s="9" t="s">
        <v>141</v>
      </c>
      <c r="H256" s="9" t="s">
        <v>138</v>
      </c>
      <c r="I256" s="9">
        <v>57319.0</v>
      </c>
      <c r="J256" s="47">
        <v>57319.0</v>
      </c>
    </row>
    <row r="257" ht="12.75" customHeight="1">
      <c r="A257" s="42" t="s">
        <v>1335</v>
      </c>
      <c r="B257" s="21">
        <v>46299.0</v>
      </c>
      <c r="C257" s="9" t="s">
        <v>132</v>
      </c>
      <c r="D257" s="9" t="s">
        <v>140</v>
      </c>
      <c r="E257" s="9" t="s">
        <v>137</v>
      </c>
      <c r="G257" s="9" t="s">
        <v>141</v>
      </c>
      <c r="H257" s="9" t="s">
        <v>138</v>
      </c>
      <c r="I257" s="9">
        <v>59819.0</v>
      </c>
      <c r="J257" s="47">
        <v>59819.0</v>
      </c>
    </row>
    <row r="258" ht="12.75" customHeight="1">
      <c r="A258" s="42" t="s">
        <v>1343</v>
      </c>
      <c r="B258" s="21">
        <v>46306.0</v>
      </c>
      <c r="C258" s="9" t="s">
        <v>132</v>
      </c>
      <c r="D258" s="9" t="s">
        <v>140</v>
      </c>
      <c r="E258" s="9" t="s">
        <v>137</v>
      </c>
      <c r="G258" s="9" t="s">
        <v>141</v>
      </c>
      <c r="H258" s="9" t="s">
        <v>138</v>
      </c>
      <c r="I258" s="9">
        <v>62319.0</v>
      </c>
      <c r="J258" s="47">
        <v>62319.0</v>
      </c>
    </row>
    <row r="259" ht="12.75" customHeight="1">
      <c r="A259" s="42" t="s">
        <v>1351</v>
      </c>
      <c r="B259" s="21">
        <v>46313.0</v>
      </c>
      <c r="C259" s="9" t="s">
        <v>132</v>
      </c>
      <c r="D259" s="9" t="s">
        <v>140</v>
      </c>
      <c r="E259" s="9" t="s">
        <v>137</v>
      </c>
      <c r="G259" s="9" t="s">
        <v>141</v>
      </c>
      <c r="H259" s="9" t="s">
        <v>138</v>
      </c>
      <c r="I259" s="9">
        <v>64819.0</v>
      </c>
      <c r="J259" s="47">
        <v>64819.0</v>
      </c>
    </row>
    <row r="260" ht="12.75" customHeight="1">
      <c r="A260" s="42" t="s">
        <v>1359</v>
      </c>
      <c r="B260" s="21">
        <v>46320.0</v>
      </c>
      <c r="C260" s="9" t="s">
        <v>132</v>
      </c>
      <c r="D260" s="9" t="s">
        <v>140</v>
      </c>
      <c r="E260" s="9" t="s">
        <v>137</v>
      </c>
      <c r="G260" s="9" t="s">
        <v>141</v>
      </c>
      <c r="H260" s="9" t="s">
        <v>138</v>
      </c>
      <c r="I260" s="9">
        <v>67319.0</v>
      </c>
      <c r="J260" s="47">
        <v>67319.0</v>
      </c>
    </row>
    <row r="261" ht="12.75" customHeight="1">
      <c r="A261" s="42" t="s">
        <v>1367</v>
      </c>
      <c r="B261" s="21">
        <v>46327.0</v>
      </c>
      <c r="C261" s="9" t="s">
        <v>132</v>
      </c>
      <c r="D261" s="9" t="s">
        <v>140</v>
      </c>
      <c r="E261" s="9" t="s">
        <v>137</v>
      </c>
      <c r="G261" s="9" t="s">
        <v>141</v>
      </c>
      <c r="H261" s="9" t="s">
        <v>138</v>
      </c>
      <c r="I261" s="9">
        <v>69819.0</v>
      </c>
      <c r="J261" s="47">
        <v>69819.0</v>
      </c>
    </row>
    <row r="262" ht="12.75" customHeight="1">
      <c r="A262" s="42" t="s">
        <v>1375</v>
      </c>
      <c r="B262" s="21">
        <v>46334.0</v>
      </c>
      <c r="C262" s="9" t="s">
        <v>132</v>
      </c>
      <c r="D262" s="9" t="s">
        <v>140</v>
      </c>
      <c r="E262" s="9" t="s">
        <v>137</v>
      </c>
      <c r="G262" s="9" t="s">
        <v>141</v>
      </c>
      <c r="H262" s="9" t="s">
        <v>138</v>
      </c>
      <c r="I262" s="9">
        <v>72319.0</v>
      </c>
      <c r="J262" s="47">
        <v>72319.0</v>
      </c>
    </row>
    <row r="263" ht="12.75" customHeight="1">
      <c r="A263" s="42" t="s">
        <v>1383</v>
      </c>
      <c r="B263" s="21">
        <v>46341.0</v>
      </c>
      <c r="C263" s="9" t="s">
        <v>132</v>
      </c>
      <c r="D263" s="9" t="s">
        <v>140</v>
      </c>
      <c r="E263" s="9" t="s">
        <v>137</v>
      </c>
      <c r="G263" s="9" t="s">
        <v>141</v>
      </c>
      <c r="H263" s="9" t="s">
        <v>138</v>
      </c>
      <c r="I263" s="9">
        <v>74819.0</v>
      </c>
      <c r="J263" s="47">
        <v>74819.0</v>
      </c>
    </row>
    <row r="264" ht="12.75" customHeight="1">
      <c r="A264" s="42" t="s">
        <v>1391</v>
      </c>
      <c r="B264" s="21">
        <v>46348.0</v>
      </c>
      <c r="C264" s="9" t="s">
        <v>132</v>
      </c>
      <c r="D264" s="9" t="s">
        <v>140</v>
      </c>
      <c r="E264" s="9" t="s">
        <v>137</v>
      </c>
      <c r="G264" s="9" t="s">
        <v>141</v>
      </c>
      <c r="H264" s="9" t="s">
        <v>138</v>
      </c>
      <c r="I264" s="9">
        <v>74819.0</v>
      </c>
      <c r="J264" s="47">
        <v>74819.0</v>
      </c>
    </row>
    <row r="265" ht="12.75" customHeight="1">
      <c r="A265" s="42" t="s">
        <v>1399</v>
      </c>
      <c r="B265" s="21">
        <v>46355.0</v>
      </c>
      <c r="C265" s="9" t="s">
        <v>132</v>
      </c>
      <c r="D265" s="9" t="s">
        <v>140</v>
      </c>
      <c r="E265" s="9" t="s">
        <v>137</v>
      </c>
      <c r="G265" s="9" t="s">
        <v>141</v>
      </c>
      <c r="H265" s="9" t="s">
        <v>138</v>
      </c>
      <c r="I265" s="9">
        <v>74819.0</v>
      </c>
      <c r="J265" s="47">
        <v>74819.0</v>
      </c>
    </row>
    <row r="266" ht="12.75" customHeight="1">
      <c r="A266" s="42" t="s">
        <v>1407</v>
      </c>
      <c r="B266" s="21">
        <v>46362.0</v>
      </c>
      <c r="C266" s="9" t="s">
        <v>132</v>
      </c>
      <c r="D266" s="9" t="s">
        <v>140</v>
      </c>
      <c r="E266" s="9" t="s">
        <v>137</v>
      </c>
      <c r="G266" s="9" t="s">
        <v>141</v>
      </c>
      <c r="H266" s="9" t="s">
        <v>138</v>
      </c>
      <c r="I266" s="9">
        <v>74819.0</v>
      </c>
      <c r="J266" s="47">
        <v>74819.0</v>
      </c>
    </row>
    <row r="267" ht="12.75" customHeight="1">
      <c r="A267" s="42" t="s">
        <v>1415</v>
      </c>
      <c r="B267" s="21">
        <v>46369.0</v>
      </c>
      <c r="C267" s="9" t="s">
        <v>132</v>
      </c>
      <c r="D267" s="9" t="s">
        <v>140</v>
      </c>
      <c r="E267" s="9" t="s">
        <v>137</v>
      </c>
      <c r="G267" s="9" t="s">
        <v>141</v>
      </c>
      <c r="H267" s="9" t="s">
        <v>138</v>
      </c>
      <c r="I267" s="9">
        <v>74819.0</v>
      </c>
      <c r="J267" s="47">
        <v>74819.0</v>
      </c>
    </row>
    <row r="268" ht="12.75" customHeight="1">
      <c r="A268" s="42" t="s">
        <v>1423</v>
      </c>
      <c r="B268" s="21">
        <v>46376.0</v>
      </c>
      <c r="C268" s="9" t="s">
        <v>132</v>
      </c>
      <c r="D268" s="9" t="s">
        <v>140</v>
      </c>
      <c r="E268" s="9" t="s">
        <v>137</v>
      </c>
      <c r="G268" s="9" t="s">
        <v>141</v>
      </c>
      <c r="H268" s="9" t="s">
        <v>138</v>
      </c>
      <c r="I268" s="9">
        <v>74819.0</v>
      </c>
      <c r="J268" s="47">
        <v>74819.0</v>
      </c>
    </row>
    <row r="269" ht="12.75" customHeight="1">
      <c r="A269" s="42" t="s">
        <v>1431</v>
      </c>
      <c r="B269" s="21">
        <v>46383.0</v>
      </c>
      <c r="C269" s="9" t="s">
        <v>132</v>
      </c>
      <c r="D269" s="9" t="s">
        <v>140</v>
      </c>
      <c r="E269" s="9" t="s">
        <v>137</v>
      </c>
      <c r="G269" s="9" t="s">
        <v>141</v>
      </c>
      <c r="H269" s="9" t="s">
        <v>138</v>
      </c>
      <c r="I269" s="9">
        <v>74819.0</v>
      </c>
      <c r="J269" s="47">
        <v>74819.0</v>
      </c>
    </row>
    <row r="270" ht="12.75" customHeight="1">
      <c r="A270" s="42" t="s">
        <v>1087</v>
      </c>
      <c r="B270" s="21">
        <v>46082.0</v>
      </c>
      <c r="C270" s="9" t="s">
        <v>132</v>
      </c>
      <c r="D270" s="9" t="s">
        <v>140</v>
      </c>
      <c r="E270" s="9" t="s">
        <v>130</v>
      </c>
      <c r="G270" s="9" t="s">
        <v>141</v>
      </c>
      <c r="H270" s="9" t="s">
        <v>138</v>
      </c>
      <c r="I270" s="9">
        <v>3308.0</v>
      </c>
      <c r="J270" s="47">
        <v>3308.0</v>
      </c>
    </row>
    <row r="271" ht="12.75" customHeight="1">
      <c r="A271" s="42" t="s">
        <v>1087</v>
      </c>
      <c r="B271" s="21">
        <v>46082.0</v>
      </c>
      <c r="C271" s="9" t="s">
        <v>118</v>
      </c>
      <c r="D271" s="9" t="s">
        <v>135</v>
      </c>
      <c r="E271" s="9" t="s">
        <v>137</v>
      </c>
      <c r="G271" s="9" t="s">
        <v>136</v>
      </c>
      <c r="H271" s="9" t="s">
        <v>131</v>
      </c>
      <c r="I271" s="9">
        <v>2802.4</v>
      </c>
      <c r="J271" s="47">
        <v>2802.4</v>
      </c>
    </row>
    <row r="272" ht="12.75" customHeight="1">
      <c r="A272" s="42" t="s">
        <v>1095</v>
      </c>
      <c r="B272" s="21">
        <v>46089.0</v>
      </c>
      <c r="C272" s="9" t="s">
        <v>118</v>
      </c>
      <c r="D272" s="9" t="s">
        <v>135</v>
      </c>
      <c r="E272" s="9" t="s">
        <v>137</v>
      </c>
      <c r="G272" s="9" t="s">
        <v>136</v>
      </c>
      <c r="H272" s="9" t="s">
        <v>131</v>
      </c>
      <c r="I272" s="9">
        <v>0.0</v>
      </c>
      <c r="J272" s="47">
        <v>0.0</v>
      </c>
    </row>
    <row r="273" ht="12.75" customHeight="1">
      <c r="A273" s="42" t="s">
        <v>1103</v>
      </c>
      <c r="B273" s="21">
        <v>46096.0</v>
      </c>
      <c r="C273" s="9" t="s">
        <v>118</v>
      </c>
      <c r="D273" s="9" t="s">
        <v>135</v>
      </c>
      <c r="E273" s="9" t="s">
        <v>137</v>
      </c>
      <c r="G273" s="9" t="s">
        <v>136</v>
      </c>
      <c r="H273" s="9" t="s">
        <v>131</v>
      </c>
      <c r="I273" s="9">
        <v>0.0</v>
      </c>
      <c r="J273" s="47">
        <v>0.0</v>
      </c>
    </row>
    <row r="274" ht="12.75" customHeight="1">
      <c r="A274" s="42" t="s">
        <v>1111</v>
      </c>
      <c r="B274" s="21">
        <v>46103.0</v>
      </c>
      <c r="C274" s="9" t="s">
        <v>118</v>
      </c>
      <c r="D274" s="9" t="s">
        <v>135</v>
      </c>
      <c r="E274" s="9" t="s">
        <v>137</v>
      </c>
      <c r="G274" s="9" t="s">
        <v>136</v>
      </c>
      <c r="H274" s="9" t="s">
        <v>131</v>
      </c>
      <c r="I274" s="9">
        <v>0.0</v>
      </c>
      <c r="J274" s="47">
        <v>0.0</v>
      </c>
    </row>
    <row r="275" ht="12.75" customHeight="1">
      <c r="A275" s="42" t="s">
        <v>1119</v>
      </c>
      <c r="B275" s="21">
        <v>46110.0</v>
      </c>
      <c r="C275" s="9" t="s">
        <v>118</v>
      </c>
      <c r="D275" s="9" t="s">
        <v>135</v>
      </c>
      <c r="E275" s="9" t="s">
        <v>137</v>
      </c>
      <c r="G275" s="9" t="s">
        <v>136</v>
      </c>
      <c r="H275" s="9" t="s">
        <v>131</v>
      </c>
      <c r="I275" s="9">
        <v>0.0</v>
      </c>
      <c r="J275" s="47">
        <v>0.0</v>
      </c>
    </row>
    <row r="276" ht="12.75" customHeight="1">
      <c r="A276" s="42" t="s">
        <v>1127</v>
      </c>
      <c r="B276" s="21">
        <v>46117.0</v>
      </c>
      <c r="C276" s="9" t="s">
        <v>118</v>
      </c>
      <c r="D276" s="9" t="s">
        <v>135</v>
      </c>
      <c r="E276" s="9" t="s">
        <v>137</v>
      </c>
      <c r="G276" s="9" t="s">
        <v>136</v>
      </c>
      <c r="H276" s="9" t="s">
        <v>131</v>
      </c>
      <c r="I276" s="9">
        <v>0.0</v>
      </c>
      <c r="J276" s="47">
        <v>0.0</v>
      </c>
    </row>
    <row r="277" ht="12.75" customHeight="1">
      <c r="A277" s="42" t="s">
        <v>1135</v>
      </c>
      <c r="B277" s="21">
        <v>46124.0</v>
      </c>
      <c r="C277" s="9" t="s">
        <v>118</v>
      </c>
      <c r="D277" s="9" t="s">
        <v>135</v>
      </c>
      <c r="E277" s="9" t="s">
        <v>137</v>
      </c>
      <c r="G277" s="9" t="s">
        <v>136</v>
      </c>
      <c r="H277" s="9" t="s">
        <v>131</v>
      </c>
      <c r="I277" s="9">
        <v>0.0</v>
      </c>
      <c r="J277" s="47">
        <v>0.0</v>
      </c>
    </row>
    <row r="278" ht="12.75" customHeight="1">
      <c r="A278" s="42" t="s">
        <v>1143</v>
      </c>
      <c r="B278" s="21">
        <v>46131.0</v>
      </c>
      <c r="C278" s="9" t="s">
        <v>118</v>
      </c>
      <c r="D278" s="9" t="s">
        <v>135</v>
      </c>
      <c r="E278" s="9" t="s">
        <v>137</v>
      </c>
      <c r="G278" s="9" t="s">
        <v>136</v>
      </c>
      <c r="H278" s="9" t="s">
        <v>131</v>
      </c>
      <c r="I278" s="9">
        <v>0.0</v>
      </c>
      <c r="J278" s="47">
        <v>0.0</v>
      </c>
    </row>
    <row r="279" ht="12.75" customHeight="1">
      <c r="A279" s="42" t="s">
        <v>1151</v>
      </c>
      <c r="B279" s="21">
        <v>46138.0</v>
      </c>
      <c r="C279" s="9" t="s">
        <v>118</v>
      </c>
      <c r="D279" s="9" t="s">
        <v>135</v>
      </c>
      <c r="E279" s="9" t="s">
        <v>137</v>
      </c>
      <c r="G279" s="9" t="s">
        <v>136</v>
      </c>
      <c r="H279" s="9" t="s">
        <v>131</v>
      </c>
      <c r="I279" s="9">
        <v>4800.0</v>
      </c>
      <c r="J279" s="47">
        <v>4800.0</v>
      </c>
    </row>
    <row r="280" ht="12.75" customHeight="1">
      <c r="A280" s="42" t="s">
        <v>1159</v>
      </c>
      <c r="B280" s="21">
        <v>46145.0</v>
      </c>
      <c r="C280" s="9" t="s">
        <v>118</v>
      </c>
      <c r="D280" s="9" t="s">
        <v>135</v>
      </c>
      <c r="E280" s="9" t="s">
        <v>137</v>
      </c>
      <c r="G280" s="9" t="s">
        <v>136</v>
      </c>
      <c r="H280" s="9" t="s">
        <v>131</v>
      </c>
      <c r="I280" s="9">
        <v>0.0</v>
      </c>
      <c r="J280" s="47">
        <v>0.0</v>
      </c>
    </row>
    <row r="281" ht="12.75" customHeight="1">
      <c r="A281" s="42" t="s">
        <v>1167</v>
      </c>
      <c r="B281" s="21">
        <v>46152.0</v>
      </c>
      <c r="C281" s="9" t="s">
        <v>118</v>
      </c>
      <c r="D281" s="9" t="s">
        <v>135</v>
      </c>
      <c r="E281" s="9" t="s">
        <v>137</v>
      </c>
      <c r="G281" s="9" t="s">
        <v>136</v>
      </c>
      <c r="H281" s="9" t="s">
        <v>131</v>
      </c>
      <c r="I281" s="9">
        <v>0.0</v>
      </c>
      <c r="J281" s="47">
        <v>0.0</v>
      </c>
    </row>
    <row r="282" ht="12.75" customHeight="1">
      <c r="A282" s="42" t="s">
        <v>1175</v>
      </c>
      <c r="B282" s="21">
        <v>46159.0</v>
      </c>
      <c r="C282" s="9" t="s">
        <v>118</v>
      </c>
      <c r="D282" s="9" t="s">
        <v>135</v>
      </c>
      <c r="E282" s="9" t="s">
        <v>137</v>
      </c>
      <c r="G282" s="9" t="s">
        <v>136</v>
      </c>
      <c r="H282" s="9" t="s">
        <v>131</v>
      </c>
      <c r="I282" s="9">
        <v>1600.0</v>
      </c>
      <c r="J282" s="47">
        <v>1600.0</v>
      </c>
    </row>
    <row r="283" ht="12.75" customHeight="1">
      <c r="A283" s="42" t="s">
        <v>1183</v>
      </c>
      <c r="B283" s="21">
        <v>46166.0</v>
      </c>
      <c r="C283" s="9" t="s">
        <v>118</v>
      </c>
      <c r="D283" s="9" t="s">
        <v>135</v>
      </c>
      <c r="E283" s="9" t="s">
        <v>137</v>
      </c>
      <c r="G283" s="9" t="s">
        <v>136</v>
      </c>
      <c r="H283" s="9" t="s">
        <v>131</v>
      </c>
      <c r="I283" s="9">
        <v>0.0</v>
      </c>
      <c r="J283" s="47">
        <v>0.0</v>
      </c>
    </row>
    <row r="284" ht="12.75" customHeight="1">
      <c r="A284" s="42" t="s">
        <v>1193</v>
      </c>
      <c r="B284" s="21">
        <v>46174.0</v>
      </c>
      <c r="C284" s="9" t="s">
        <v>118</v>
      </c>
      <c r="D284" s="9" t="s">
        <v>135</v>
      </c>
      <c r="E284" s="9" t="s">
        <v>137</v>
      </c>
      <c r="G284" s="9" t="s">
        <v>136</v>
      </c>
      <c r="H284" s="9" t="s">
        <v>131</v>
      </c>
      <c r="I284" s="9">
        <v>4800.0</v>
      </c>
      <c r="J284" s="47">
        <v>4800.0</v>
      </c>
    </row>
    <row r="285" ht="12.75" customHeight="1">
      <c r="A285" s="42" t="s">
        <v>1199</v>
      </c>
      <c r="B285" s="21">
        <v>46180.0</v>
      </c>
      <c r="C285" s="9" t="s">
        <v>118</v>
      </c>
      <c r="D285" s="9" t="s">
        <v>135</v>
      </c>
      <c r="E285" s="9" t="s">
        <v>137</v>
      </c>
      <c r="G285" s="9" t="s">
        <v>136</v>
      </c>
      <c r="H285" s="9" t="s">
        <v>131</v>
      </c>
      <c r="I285" s="9">
        <v>0.0</v>
      </c>
      <c r="J285" s="47">
        <v>0.0</v>
      </c>
    </row>
    <row r="286" ht="12.75" customHeight="1">
      <c r="A286" s="42" t="s">
        <v>1207</v>
      </c>
      <c r="B286" s="21">
        <v>46187.0</v>
      </c>
      <c r="C286" s="9" t="s">
        <v>118</v>
      </c>
      <c r="D286" s="9" t="s">
        <v>135</v>
      </c>
      <c r="E286" s="9" t="s">
        <v>137</v>
      </c>
      <c r="G286" s="9" t="s">
        <v>136</v>
      </c>
      <c r="H286" s="9" t="s">
        <v>131</v>
      </c>
      <c r="I286" s="9">
        <v>1600.0</v>
      </c>
      <c r="J286" s="47">
        <v>1600.0</v>
      </c>
    </row>
    <row r="287" ht="12.75" customHeight="1">
      <c r="A287" s="42" t="s">
        <v>1215</v>
      </c>
      <c r="B287" s="21">
        <v>46194.0</v>
      </c>
      <c r="C287" s="9" t="s">
        <v>118</v>
      </c>
      <c r="D287" s="9" t="s">
        <v>135</v>
      </c>
      <c r="E287" s="9" t="s">
        <v>137</v>
      </c>
      <c r="G287" s="9" t="s">
        <v>136</v>
      </c>
      <c r="H287" s="9" t="s">
        <v>131</v>
      </c>
      <c r="I287" s="9">
        <v>0.0</v>
      </c>
      <c r="J287" s="47">
        <v>0.0</v>
      </c>
    </row>
    <row r="288" ht="12.75" customHeight="1">
      <c r="A288" s="42" t="s">
        <v>1223</v>
      </c>
      <c r="B288" s="21">
        <v>46201.0</v>
      </c>
      <c r="C288" s="9" t="s">
        <v>118</v>
      </c>
      <c r="D288" s="9" t="s">
        <v>135</v>
      </c>
      <c r="E288" s="9" t="s">
        <v>137</v>
      </c>
      <c r="G288" s="9" t="s">
        <v>136</v>
      </c>
      <c r="H288" s="9" t="s">
        <v>131</v>
      </c>
      <c r="I288" s="9">
        <v>0.0</v>
      </c>
      <c r="J288" s="47">
        <v>0.0</v>
      </c>
    </row>
    <row r="289" ht="12.75" customHeight="1">
      <c r="A289" s="42" t="s">
        <v>1231</v>
      </c>
      <c r="B289" s="21">
        <v>46208.0</v>
      </c>
      <c r="C289" s="9" t="s">
        <v>118</v>
      </c>
      <c r="D289" s="9" t="s">
        <v>135</v>
      </c>
      <c r="E289" s="9" t="s">
        <v>137</v>
      </c>
      <c r="G289" s="9" t="s">
        <v>136</v>
      </c>
      <c r="H289" s="9" t="s">
        <v>131</v>
      </c>
      <c r="I289" s="9">
        <v>0.0</v>
      </c>
      <c r="J289" s="47">
        <v>0.0</v>
      </c>
    </row>
    <row r="290" ht="12.75" customHeight="1">
      <c r="A290" s="42" t="s">
        <v>1239</v>
      </c>
      <c r="B290" s="21">
        <v>46215.0</v>
      </c>
      <c r="C290" s="9" t="s">
        <v>118</v>
      </c>
      <c r="D290" s="9" t="s">
        <v>135</v>
      </c>
      <c r="E290" s="9" t="s">
        <v>137</v>
      </c>
      <c r="G290" s="9" t="s">
        <v>136</v>
      </c>
      <c r="H290" s="9" t="s">
        <v>131</v>
      </c>
      <c r="I290" s="9">
        <v>8000.0</v>
      </c>
      <c r="J290" s="47">
        <v>8000.0</v>
      </c>
    </row>
    <row r="291" ht="12.75" customHeight="1">
      <c r="A291" s="42" t="s">
        <v>1247</v>
      </c>
      <c r="B291" s="21">
        <v>46222.0</v>
      </c>
      <c r="C291" s="9" t="s">
        <v>118</v>
      </c>
      <c r="D291" s="9" t="s">
        <v>135</v>
      </c>
      <c r="E291" s="9" t="s">
        <v>137</v>
      </c>
      <c r="G291" s="9" t="s">
        <v>136</v>
      </c>
      <c r="H291" s="9" t="s">
        <v>131</v>
      </c>
      <c r="I291" s="9">
        <v>0.0</v>
      </c>
      <c r="J291" s="47">
        <v>0.0</v>
      </c>
    </row>
    <row r="292" ht="12.75" customHeight="1">
      <c r="A292" s="42" t="s">
        <v>1255</v>
      </c>
      <c r="B292" s="21">
        <v>46229.0</v>
      </c>
      <c r="C292" s="9" t="s">
        <v>118</v>
      </c>
      <c r="D292" s="9" t="s">
        <v>135</v>
      </c>
      <c r="E292" s="9" t="s">
        <v>137</v>
      </c>
      <c r="G292" s="9" t="s">
        <v>136</v>
      </c>
      <c r="H292" s="9" t="s">
        <v>131</v>
      </c>
      <c r="I292" s="9">
        <v>1600.0</v>
      </c>
      <c r="J292" s="47">
        <v>1600.0</v>
      </c>
    </row>
    <row r="293" ht="12.75" customHeight="1">
      <c r="A293" s="42" t="s">
        <v>1263</v>
      </c>
      <c r="B293" s="21">
        <v>46236.0</v>
      </c>
      <c r="C293" s="9" t="s">
        <v>118</v>
      </c>
      <c r="D293" s="9" t="s">
        <v>135</v>
      </c>
      <c r="E293" s="9" t="s">
        <v>137</v>
      </c>
      <c r="G293" s="9" t="s">
        <v>136</v>
      </c>
      <c r="H293" s="9" t="s">
        <v>131</v>
      </c>
      <c r="I293" s="9">
        <v>0.0</v>
      </c>
      <c r="J293" s="47">
        <v>0.0</v>
      </c>
    </row>
    <row r="294" ht="12.75" customHeight="1">
      <c r="A294" s="42" t="s">
        <v>1271</v>
      </c>
      <c r="B294" s="21">
        <v>46243.0</v>
      </c>
      <c r="C294" s="9" t="s">
        <v>118</v>
      </c>
      <c r="D294" s="9" t="s">
        <v>135</v>
      </c>
      <c r="E294" s="9" t="s">
        <v>137</v>
      </c>
      <c r="G294" s="9" t="s">
        <v>136</v>
      </c>
      <c r="H294" s="9" t="s">
        <v>131</v>
      </c>
      <c r="I294" s="9">
        <v>1600.0</v>
      </c>
      <c r="J294" s="47">
        <v>1600.0</v>
      </c>
    </row>
    <row r="295" ht="12.75" customHeight="1">
      <c r="A295" s="42" t="s">
        <v>1279</v>
      </c>
      <c r="B295" s="21">
        <v>46250.0</v>
      </c>
      <c r="C295" s="9" t="s">
        <v>118</v>
      </c>
      <c r="D295" s="9" t="s">
        <v>135</v>
      </c>
      <c r="E295" s="9" t="s">
        <v>137</v>
      </c>
      <c r="G295" s="9" t="s">
        <v>136</v>
      </c>
      <c r="H295" s="9" t="s">
        <v>131</v>
      </c>
      <c r="I295" s="9">
        <v>0.0</v>
      </c>
      <c r="J295" s="47">
        <v>0.0</v>
      </c>
    </row>
    <row r="296" ht="12.75" customHeight="1">
      <c r="A296" s="42" t="s">
        <v>1287</v>
      </c>
      <c r="B296" s="21">
        <v>46257.0</v>
      </c>
      <c r="C296" s="9" t="s">
        <v>118</v>
      </c>
      <c r="D296" s="9" t="s">
        <v>135</v>
      </c>
      <c r="E296" s="9" t="s">
        <v>137</v>
      </c>
      <c r="G296" s="9" t="s">
        <v>136</v>
      </c>
      <c r="H296" s="9" t="s">
        <v>131</v>
      </c>
      <c r="I296" s="9">
        <v>0.0</v>
      </c>
      <c r="J296" s="47">
        <v>0.0</v>
      </c>
    </row>
    <row r="297" ht="12.75" customHeight="1">
      <c r="A297" s="42" t="s">
        <v>1295</v>
      </c>
      <c r="B297" s="21">
        <v>46264.0</v>
      </c>
      <c r="C297" s="9" t="s">
        <v>118</v>
      </c>
      <c r="D297" s="9" t="s">
        <v>135</v>
      </c>
      <c r="E297" s="9" t="s">
        <v>137</v>
      </c>
      <c r="G297" s="9" t="s">
        <v>136</v>
      </c>
      <c r="H297" s="9" t="s">
        <v>131</v>
      </c>
      <c r="I297" s="9">
        <v>0.0</v>
      </c>
      <c r="J297" s="47">
        <v>0.0</v>
      </c>
    </row>
    <row r="298" ht="12.75" customHeight="1">
      <c r="A298" s="42" t="s">
        <v>1303</v>
      </c>
      <c r="B298" s="21">
        <v>46271.0</v>
      </c>
      <c r="C298" s="9" t="s">
        <v>118</v>
      </c>
      <c r="D298" s="9" t="s">
        <v>135</v>
      </c>
      <c r="E298" s="9" t="s">
        <v>137</v>
      </c>
      <c r="G298" s="9" t="s">
        <v>136</v>
      </c>
      <c r="H298" s="9" t="s">
        <v>131</v>
      </c>
      <c r="I298" s="9">
        <v>8000.0</v>
      </c>
      <c r="J298" s="47">
        <v>8000.0</v>
      </c>
    </row>
    <row r="299" ht="12.75" customHeight="1">
      <c r="A299" s="42" t="s">
        <v>1311</v>
      </c>
      <c r="B299" s="21">
        <v>46278.0</v>
      </c>
      <c r="C299" s="9" t="s">
        <v>118</v>
      </c>
      <c r="D299" s="9" t="s">
        <v>135</v>
      </c>
      <c r="E299" s="9" t="s">
        <v>137</v>
      </c>
      <c r="G299" s="9" t="s">
        <v>136</v>
      </c>
      <c r="H299" s="9" t="s">
        <v>131</v>
      </c>
      <c r="I299" s="9">
        <v>0.0</v>
      </c>
      <c r="J299" s="47">
        <v>0.0</v>
      </c>
    </row>
    <row r="300" ht="12.75" customHeight="1">
      <c r="A300" s="42" t="s">
        <v>1319</v>
      </c>
      <c r="B300" s="21">
        <v>46285.0</v>
      </c>
      <c r="C300" s="9" t="s">
        <v>118</v>
      </c>
      <c r="D300" s="9" t="s">
        <v>135</v>
      </c>
      <c r="E300" s="9" t="s">
        <v>137</v>
      </c>
      <c r="G300" s="9" t="s">
        <v>136</v>
      </c>
      <c r="H300" s="9" t="s">
        <v>131</v>
      </c>
      <c r="I300" s="9">
        <v>1600.0</v>
      </c>
      <c r="J300" s="47">
        <v>1600.0</v>
      </c>
    </row>
    <row r="301" ht="12.75" customHeight="1">
      <c r="A301" s="42" t="s">
        <v>1327</v>
      </c>
      <c r="B301" s="21">
        <v>46292.0</v>
      </c>
      <c r="C301" s="9" t="s">
        <v>118</v>
      </c>
      <c r="D301" s="9" t="s">
        <v>135</v>
      </c>
      <c r="E301" s="9" t="s">
        <v>137</v>
      </c>
      <c r="G301" s="9" t="s">
        <v>136</v>
      </c>
      <c r="H301" s="9" t="s">
        <v>131</v>
      </c>
      <c r="I301" s="9">
        <v>0.0</v>
      </c>
      <c r="J301" s="47">
        <v>0.0</v>
      </c>
    </row>
    <row r="302" ht="12.75" customHeight="1">
      <c r="A302" s="42" t="s">
        <v>1335</v>
      </c>
      <c r="B302" s="21">
        <v>46299.0</v>
      </c>
      <c r="C302" s="9" t="s">
        <v>118</v>
      </c>
      <c r="D302" s="9" t="s">
        <v>135</v>
      </c>
      <c r="E302" s="9" t="s">
        <v>137</v>
      </c>
      <c r="G302" s="9" t="s">
        <v>136</v>
      </c>
      <c r="H302" s="9" t="s">
        <v>131</v>
      </c>
      <c r="I302" s="9">
        <v>0.0</v>
      </c>
      <c r="J302" s="47">
        <v>0.0</v>
      </c>
    </row>
    <row r="303" ht="12.75" customHeight="1">
      <c r="A303" s="42" t="s">
        <v>1343</v>
      </c>
      <c r="B303" s="21">
        <v>46306.0</v>
      </c>
      <c r="C303" s="9" t="s">
        <v>118</v>
      </c>
      <c r="D303" s="9" t="s">
        <v>135</v>
      </c>
      <c r="E303" s="9" t="s">
        <v>137</v>
      </c>
      <c r="G303" s="9" t="s">
        <v>136</v>
      </c>
      <c r="H303" s="9" t="s">
        <v>131</v>
      </c>
      <c r="I303" s="9">
        <v>6400.0</v>
      </c>
      <c r="J303" s="47">
        <v>6400.0</v>
      </c>
    </row>
    <row r="304" ht="12.75" customHeight="1">
      <c r="A304" s="42" t="s">
        <v>1351</v>
      </c>
      <c r="B304" s="21">
        <v>46313.0</v>
      </c>
      <c r="C304" s="9" t="s">
        <v>118</v>
      </c>
      <c r="D304" s="9" t="s">
        <v>135</v>
      </c>
      <c r="E304" s="9" t="s">
        <v>137</v>
      </c>
      <c r="G304" s="9" t="s">
        <v>136</v>
      </c>
      <c r="H304" s="9" t="s">
        <v>131</v>
      </c>
      <c r="I304" s="9">
        <v>1600.0</v>
      </c>
      <c r="J304" s="47">
        <v>1600.0</v>
      </c>
    </row>
    <row r="305" ht="12.75" customHeight="1">
      <c r="A305" s="42" t="s">
        <v>1359</v>
      </c>
      <c r="B305" s="21">
        <v>46320.0</v>
      </c>
      <c r="C305" s="9" t="s">
        <v>118</v>
      </c>
      <c r="D305" s="9" t="s">
        <v>135</v>
      </c>
      <c r="E305" s="9" t="s">
        <v>137</v>
      </c>
      <c r="G305" s="9" t="s">
        <v>136</v>
      </c>
      <c r="H305" s="9" t="s">
        <v>131</v>
      </c>
      <c r="I305" s="9">
        <v>0.0</v>
      </c>
      <c r="J305" s="47">
        <v>0.0</v>
      </c>
    </row>
    <row r="306" ht="12.75" customHeight="1">
      <c r="A306" s="42" t="s">
        <v>1367</v>
      </c>
      <c r="B306" s="21">
        <v>46327.0</v>
      </c>
      <c r="C306" s="9" t="s">
        <v>118</v>
      </c>
      <c r="D306" s="9" t="s">
        <v>135</v>
      </c>
      <c r="E306" s="9" t="s">
        <v>137</v>
      </c>
      <c r="G306" s="9" t="s">
        <v>136</v>
      </c>
      <c r="H306" s="9" t="s">
        <v>131</v>
      </c>
      <c r="I306" s="9">
        <v>0.0</v>
      </c>
      <c r="J306" s="47">
        <v>0.0</v>
      </c>
    </row>
    <row r="307" ht="12.75" customHeight="1">
      <c r="A307" s="42" t="s">
        <v>1375</v>
      </c>
      <c r="B307" s="21">
        <v>46334.0</v>
      </c>
      <c r="C307" s="9" t="s">
        <v>118</v>
      </c>
      <c r="D307" s="9" t="s">
        <v>135</v>
      </c>
      <c r="E307" s="9" t="s">
        <v>137</v>
      </c>
      <c r="G307" s="9" t="s">
        <v>136</v>
      </c>
      <c r="H307" s="9" t="s">
        <v>131</v>
      </c>
      <c r="I307" s="9">
        <v>1600.0</v>
      </c>
      <c r="J307" s="47">
        <v>1600.0</v>
      </c>
    </row>
    <row r="308" ht="12.75" customHeight="1">
      <c r="A308" s="42" t="s">
        <v>1383</v>
      </c>
      <c r="B308" s="21">
        <v>46341.0</v>
      </c>
      <c r="C308" s="9" t="s">
        <v>118</v>
      </c>
      <c r="D308" s="9" t="s">
        <v>135</v>
      </c>
      <c r="E308" s="9" t="s">
        <v>137</v>
      </c>
      <c r="G308" s="9" t="s">
        <v>136</v>
      </c>
      <c r="H308" s="9" t="s">
        <v>131</v>
      </c>
      <c r="I308" s="9">
        <v>4800.0</v>
      </c>
      <c r="J308" s="47">
        <v>4800.0</v>
      </c>
    </row>
    <row r="309" ht="12.75" customHeight="1">
      <c r="A309" s="42" t="s">
        <v>1391</v>
      </c>
      <c r="B309" s="21">
        <v>46348.0</v>
      </c>
      <c r="C309" s="9" t="s">
        <v>118</v>
      </c>
      <c r="D309" s="9" t="s">
        <v>135</v>
      </c>
      <c r="E309" s="9" t="s">
        <v>137</v>
      </c>
      <c r="G309" s="9" t="s">
        <v>136</v>
      </c>
      <c r="H309" s="9" t="s">
        <v>131</v>
      </c>
      <c r="I309" s="9">
        <v>0.0</v>
      </c>
      <c r="J309" s="47">
        <v>0.0</v>
      </c>
    </row>
    <row r="310" ht="12.75" customHeight="1">
      <c r="A310" s="42" t="s">
        <v>1399</v>
      </c>
      <c r="B310" s="21">
        <v>46355.0</v>
      </c>
      <c r="C310" s="9" t="s">
        <v>118</v>
      </c>
      <c r="D310" s="9" t="s">
        <v>135</v>
      </c>
      <c r="E310" s="9" t="s">
        <v>137</v>
      </c>
      <c r="G310" s="9" t="s">
        <v>136</v>
      </c>
      <c r="H310" s="9" t="s">
        <v>131</v>
      </c>
      <c r="I310" s="9">
        <v>0.0</v>
      </c>
      <c r="J310" s="47">
        <v>0.0</v>
      </c>
    </row>
    <row r="311" ht="12.75" customHeight="1">
      <c r="A311" s="42" t="s">
        <v>1407</v>
      </c>
      <c r="B311" s="21">
        <v>46362.0</v>
      </c>
      <c r="C311" s="9" t="s">
        <v>118</v>
      </c>
      <c r="D311" s="9" t="s">
        <v>135</v>
      </c>
      <c r="E311" s="9" t="s">
        <v>137</v>
      </c>
      <c r="G311" s="9" t="s">
        <v>136</v>
      </c>
      <c r="H311" s="9" t="s">
        <v>131</v>
      </c>
      <c r="I311" s="9">
        <v>0.0</v>
      </c>
      <c r="J311" s="47">
        <v>0.0</v>
      </c>
    </row>
    <row r="312" ht="12.75" customHeight="1">
      <c r="A312" s="42" t="s">
        <v>1415</v>
      </c>
      <c r="B312" s="21">
        <v>46369.0</v>
      </c>
      <c r="C312" s="9" t="s">
        <v>118</v>
      </c>
      <c r="D312" s="9" t="s">
        <v>135</v>
      </c>
      <c r="E312" s="9" t="s">
        <v>137</v>
      </c>
      <c r="G312" s="9" t="s">
        <v>136</v>
      </c>
      <c r="H312" s="9" t="s">
        <v>131</v>
      </c>
      <c r="I312" s="9">
        <v>0.0</v>
      </c>
      <c r="J312" s="47">
        <v>0.0</v>
      </c>
    </row>
    <row r="313" ht="12.75" customHeight="1">
      <c r="A313" s="42" t="s">
        <v>1423</v>
      </c>
      <c r="B313" s="21">
        <v>46376.0</v>
      </c>
      <c r="C313" s="9" t="s">
        <v>118</v>
      </c>
      <c r="D313" s="9" t="s">
        <v>135</v>
      </c>
      <c r="E313" s="9" t="s">
        <v>137</v>
      </c>
      <c r="G313" s="9" t="s">
        <v>136</v>
      </c>
      <c r="H313" s="9" t="s">
        <v>131</v>
      </c>
      <c r="I313" s="9">
        <v>0.0</v>
      </c>
      <c r="J313" s="47">
        <v>0.0</v>
      </c>
    </row>
    <row r="314" ht="12.75" customHeight="1">
      <c r="A314" s="42" t="s">
        <v>1431</v>
      </c>
      <c r="B314" s="21">
        <v>46383.0</v>
      </c>
      <c r="C314" s="9" t="s">
        <v>118</v>
      </c>
      <c r="D314" s="9" t="s">
        <v>135</v>
      </c>
      <c r="E314" s="9" t="s">
        <v>137</v>
      </c>
      <c r="G314" s="9" t="s">
        <v>136</v>
      </c>
      <c r="H314" s="9" t="s">
        <v>131</v>
      </c>
      <c r="I314" s="9">
        <v>0.0</v>
      </c>
      <c r="J314" s="47">
        <v>0.0</v>
      </c>
    </row>
    <row r="315" ht="12.75" customHeight="1">
      <c r="A315" s="42" t="s">
        <v>1087</v>
      </c>
      <c r="B315" s="21">
        <v>46082.0</v>
      </c>
      <c r="C315" s="9" t="s">
        <v>118</v>
      </c>
      <c r="D315" s="9" t="s">
        <v>135</v>
      </c>
      <c r="E315" s="9" t="s">
        <v>130</v>
      </c>
      <c r="G315" s="9" t="s">
        <v>136</v>
      </c>
      <c r="H315" s="9" t="s">
        <v>131</v>
      </c>
      <c r="I315" s="9">
        <v>870.0</v>
      </c>
      <c r="J315" s="47">
        <v>870.0</v>
      </c>
    </row>
    <row r="316" ht="12.75" customHeight="1">
      <c r="A316" s="42" t="s">
        <v>1103</v>
      </c>
      <c r="B316" s="21">
        <v>46096.0</v>
      </c>
      <c r="C316" s="9" t="s">
        <v>118</v>
      </c>
      <c r="D316" s="9" t="s">
        <v>135</v>
      </c>
      <c r="E316" s="9" t="s">
        <v>130</v>
      </c>
      <c r="G316" s="9" t="s">
        <v>136</v>
      </c>
      <c r="H316" s="9" t="s">
        <v>131</v>
      </c>
      <c r="I316" s="9">
        <v>2621.0</v>
      </c>
      <c r="J316" s="47">
        <v>2621.0</v>
      </c>
    </row>
    <row r="317" ht="12.75" customHeight="1">
      <c r="A317" s="42" t="s">
        <v>1087</v>
      </c>
      <c r="B317" s="21">
        <v>46082.0</v>
      </c>
      <c r="C317" s="9" t="s">
        <v>118</v>
      </c>
      <c r="D317" s="9" t="s">
        <v>155</v>
      </c>
      <c r="E317" s="9" t="s">
        <v>137</v>
      </c>
      <c r="G317" s="9" t="s">
        <v>141</v>
      </c>
      <c r="H317" s="9" t="s">
        <v>154</v>
      </c>
      <c r="I317" s="9">
        <v>1255.2</v>
      </c>
      <c r="J317" s="47">
        <v>1255.2</v>
      </c>
    </row>
    <row r="318" ht="12.75" customHeight="1">
      <c r="A318" s="42" t="s">
        <v>1095</v>
      </c>
      <c r="B318" s="21">
        <v>46089.0</v>
      </c>
      <c r="C318" s="9" t="s">
        <v>118</v>
      </c>
      <c r="D318" s="9" t="s">
        <v>155</v>
      </c>
      <c r="E318" s="9" t="s">
        <v>137</v>
      </c>
      <c r="G318" s="9" t="s">
        <v>141</v>
      </c>
      <c r="H318" s="9" t="s">
        <v>154</v>
      </c>
      <c r="I318" s="9">
        <v>1200.0</v>
      </c>
      <c r="J318" s="47">
        <v>1200.0</v>
      </c>
    </row>
    <row r="319" ht="12.75" customHeight="1">
      <c r="A319" s="42" t="s">
        <v>1103</v>
      </c>
      <c r="B319" s="21">
        <v>46096.0</v>
      </c>
      <c r="C319" s="9" t="s">
        <v>118</v>
      </c>
      <c r="D319" s="9" t="s">
        <v>155</v>
      </c>
      <c r="E319" s="9" t="s">
        <v>137</v>
      </c>
      <c r="G319" s="9" t="s">
        <v>141</v>
      </c>
      <c r="H319" s="9" t="s">
        <v>154</v>
      </c>
      <c r="I319" s="9">
        <v>1200.0</v>
      </c>
      <c r="J319" s="47">
        <v>1200.0</v>
      </c>
    </row>
    <row r="320" ht="12.75" customHeight="1">
      <c r="A320" s="42" t="s">
        <v>1111</v>
      </c>
      <c r="B320" s="21">
        <v>46103.0</v>
      </c>
      <c r="C320" s="9" t="s">
        <v>118</v>
      </c>
      <c r="D320" s="9" t="s">
        <v>155</v>
      </c>
      <c r="E320" s="9" t="s">
        <v>137</v>
      </c>
      <c r="G320" s="9" t="s">
        <v>141</v>
      </c>
      <c r="H320" s="9" t="s">
        <v>154</v>
      </c>
      <c r="I320" s="9">
        <v>1200.0</v>
      </c>
      <c r="J320" s="47">
        <v>1200.0</v>
      </c>
    </row>
    <row r="321" ht="12.75" customHeight="1">
      <c r="A321" s="42" t="s">
        <v>1119</v>
      </c>
      <c r="B321" s="21">
        <v>46110.0</v>
      </c>
      <c r="C321" s="9" t="s">
        <v>118</v>
      </c>
      <c r="D321" s="9" t="s">
        <v>155</v>
      </c>
      <c r="E321" s="9" t="s">
        <v>137</v>
      </c>
      <c r="G321" s="9" t="s">
        <v>141</v>
      </c>
      <c r="H321" s="9" t="s">
        <v>154</v>
      </c>
      <c r="I321" s="9">
        <v>4000.0</v>
      </c>
      <c r="J321" s="47">
        <v>4000.0</v>
      </c>
    </row>
    <row r="322" ht="12.75" customHeight="1">
      <c r="A322" s="42" t="s">
        <v>1127</v>
      </c>
      <c r="B322" s="21">
        <v>46117.0</v>
      </c>
      <c r="C322" s="9" t="s">
        <v>118</v>
      </c>
      <c r="D322" s="9" t="s">
        <v>155</v>
      </c>
      <c r="E322" s="9" t="s">
        <v>137</v>
      </c>
      <c r="G322" s="9" t="s">
        <v>141</v>
      </c>
      <c r="H322" s="9" t="s">
        <v>154</v>
      </c>
      <c r="I322" s="9">
        <v>1200.0</v>
      </c>
      <c r="J322" s="47">
        <v>1200.0</v>
      </c>
    </row>
    <row r="323" ht="12.75" customHeight="1">
      <c r="A323" s="42" t="s">
        <v>1135</v>
      </c>
      <c r="B323" s="21">
        <v>46124.0</v>
      </c>
      <c r="C323" s="9" t="s">
        <v>118</v>
      </c>
      <c r="D323" s="9" t="s">
        <v>155</v>
      </c>
      <c r="E323" s="9" t="s">
        <v>137</v>
      </c>
      <c r="G323" s="9" t="s">
        <v>141</v>
      </c>
      <c r="H323" s="9" t="s">
        <v>154</v>
      </c>
      <c r="I323" s="9">
        <v>4092.8</v>
      </c>
      <c r="J323" s="47">
        <v>4092.8</v>
      </c>
    </row>
    <row r="324" ht="12.75" customHeight="1">
      <c r="A324" s="42" t="s">
        <v>1143</v>
      </c>
      <c r="B324" s="21">
        <v>46131.0</v>
      </c>
      <c r="C324" s="9" t="s">
        <v>118</v>
      </c>
      <c r="D324" s="9" t="s">
        <v>155</v>
      </c>
      <c r="E324" s="9" t="s">
        <v>137</v>
      </c>
      <c r="G324" s="9" t="s">
        <v>141</v>
      </c>
      <c r="H324" s="9" t="s">
        <v>154</v>
      </c>
      <c r="I324" s="9">
        <v>1200.0</v>
      </c>
      <c r="J324" s="47">
        <v>1200.0</v>
      </c>
    </row>
    <row r="325" ht="12.75" customHeight="1">
      <c r="A325" s="42" t="s">
        <v>1151</v>
      </c>
      <c r="B325" s="21">
        <v>46138.0</v>
      </c>
      <c r="C325" s="9" t="s">
        <v>118</v>
      </c>
      <c r="D325" s="9" t="s">
        <v>155</v>
      </c>
      <c r="E325" s="9" t="s">
        <v>137</v>
      </c>
      <c r="G325" s="9" t="s">
        <v>141</v>
      </c>
      <c r="H325" s="9" t="s">
        <v>154</v>
      </c>
      <c r="I325" s="9">
        <v>1200.0</v>
      </c>
      <c r="J325" s="47">
        <v>1200.0</v>
      </c>
    </row>
    <row r="326" ht="12.75" customHeight="1">
      <c r="A326" s="42" t="s">
        <v>1159</v>
      </c>
      <c r="B326" s="21">
        <v>46145.0</v>
      </c>
      <c r="C326" s="9" t="s">
        <v>118</v>
      </c>
      <c r="D326" s="9" t="s">
        <v>155</v>
      </c>
      <c r="E326" s="9" t="s">
        <v>137</v>
      </c>
      <c r="G326" s="9" t="s">
        <v>141</v>
      </c>
      <c r="H326" s="9" t="s">
        <v>154</v>
      </c>
      <c r="I326" s="9">
        <v>1200.0</v>
      </c>
      <c r="J326" s="47">
        <v>1200.0</v>
      </c>
    </row>
    <row r="327" ht="12.75" customHeight="1">
      <c r="A327" s="42" t="s">
        <v>1167</v>
      </c>
      <c r="B327" s="21">
        <v>46152.0</v>
      </c>
      <c r="C327" s="9" t="s">
        <v>118</v>
      </c>
      <c r="D327" s="9" t="s">
        <v>155</v>
      </c>
      <c r="E327" s="9" t="s">
        <v>137</v>
      </c>
      <c r="G327" s="9" t="s">
        <v>141</v>
      </c>
      <c r="H327" s="9" t="s">
        <v>154</v>
      </c>
      <c r="I327" s="9">
        <v>1200.0</v>
      </c>
      <c r="J327" s="47">
        <v>1200.0</v>
      </c>
    </row>
    <row r="328" ht="12.75" customHeight="1">
      <c r="A328" s="42" t="s">
        <v>1175</v>
      </c>
      <c r="B328" s="21">
        <v>46159.0</v>
      </c>
      <c r="C328" s="9" t="s">
        <v>118</v>
      </c>
      <c r="D328" s="9" t="s">
        <v>155</v>
      </c>
      <c r="E328" s="9" t="s">
        <v>137</v>
      </c>
      <c r="G328" s="9" t="s">
        <v>141</v>
      </c>
      <c r="H328" s="9" t="s">
        <v>154</v>
      </c>
      <c r="I328" s="9">
        <v>1200.0</v>
      </c>
      <c r="J328" s="47">
        <v>1200.0</v>
      </c>
    </row>
    <row r="329" ht="12.75" customHeight="1">
      <c r="A329" s="42" t="s">
        <v>1183</v>
      </c>
      <c r="B329" s="21">
        <v>46166.0</v>
      </c>
      <c r="C329" s="9" t="s">
        <v>118</v>
      </c>
      <c r="D329" s="9" t="s">
        <v>155</v>
      </c>
      <c r="E329" s="9" t="s">
        <v>137</v>
      </c>
      <c r="G329" s="9" t="s">
        <v>141</v>
      </c>
      <c r="H329" s="9" t="s">
        <v>154</v>
      </c>
      <c r="I329" s="9">
        <v>1200.0</v>
      </c>
      <c r="J329" s="47">
        <v>1200.0</v>
      </c>
    </row>
    <row r="330" ht="12.75" customHeight="1">
      <c r="A330" s="42" t="s">
        <v>1193</v>
      </c>
      <c r="B330" s="21">
        <v>46174.0</v>
      </c>
      <c r="C330" s="9" t="s">
        <v>118</v>
      </c>
      <c r="D330" s="9" t="s">
        <v>155</v>
      </c>
      <c r="E330" s="9" t="s">
        <v>137</v>
      </c>
      <c r="G330" s="9" t="s">
        <v>141</v>
      </c>
      <c r="H330" s="9" t="s">
        <v>154</v>
      </c>
      <c r="I330" s="9">
        <v>1200.0</v>
      </c>
      <c r="J330" s="47">
        <v>1200.0</v>
      </c>
    </row>
    <row r="331" ht="12.75" customHeight="1">
      <c r="A331" s="42" t="s">
        <v>1199</v>
      </c>
      <c r="B331" s="21">
        <v>46180.0</v>
      </c>
      <c r="C331" s="9" t="s">
        <v>118</v>
      </c>
      <c r="D331" s="9" t="s">
        <v>155</v>
      </c>
      <c r="E331" s="9" t="s">
        <v>137</v>
      </c>
      <c r="G331" s="9" t="s">
        <v>141</v>
      </c>
      <c r="H331" s="9" t="s">
        <v>154</v>
      </c>
      <c r="I331" s="9">
        <v>1200.0</v>
      </c>
      <c r="J331" s="47">
        <v>1200.0</v>
      </c>
    </row>
    <row r="332" ht="12.75" customHeight="1">
      <c r="A332" s="42" t="s">
        <v>1207</v>
      </c>
      <c r="B332" s="21">
        <v>46187.0</v>
      </c>
      <c r="C332" s="9" t="s">
        <v>118</v>
      </c>
      <c r="D332" s="9" t="s">
        <v>155</v>
      </c>
      <c r="E332" s="9" t="s">
        <v>137</v>
      </c>
      <c r="G332" s="9" t="s">
        <v>141</v>
      </c>
      <c r="H332" s="9" t="s">
        <v>154</v>
      </c>
      <c r="I332" s="9">
        <v>1200.0</v>
      </c>
      <c r="J332" s="47">
        <v>1200.0</v>
      </c>
    </row>
    <row r="333" ht="12.75" customHeight="1">
      <c r="A333" s="42" t="s">
        <v>1215</v>
      </c>
      <c r="B333" s="21">
        <v>46194.0</v>
      </c>
      <c r="C333" s="9" t="s">
        <v>118</v>
      </c>
      <c r="D333" s="9" t="s">
        <v>155</v>
      </c>
      <c r="E333" s="9" t="s">
        <v>137</v>
      </c>
      <c r="G333" s="9" t="s">
        <v>141</v>
      </c>
      <c r="H333" s="9" t="s">
        <v>154</v>
      </c>
      <c r="I333" s="9">
        <v>1200.0</v>
      </c>
      <c r="J333" s="47">
        <v>1200.0</v>
      </c>
    </row>
    <row r="334" ht="12.75" customHeight="1">
      <c r="A334" s="42" t="s">
        <v>1223</v>
      </c>
      <c r="B334" s="21">
        <v>46201.0</v>
      </c>
      <c r="C334" s="9" t="s">
        <v>118</v>
      </c>
      <c r="D334" s="9" t="s">
        <v>155</v>
      </c>
      <c r="E334" s="9" t="s">
        <v>137</v>
      </c>
      <c r="G334" s="9" t="s">
        <v>141</v>
      </c>
      <c r="H334" s="9" t="s">
        <v>154</v>
      </c>
      <c r="I334" s="9">
        <v>1400.0</v>
      </c>
      <c r="J334" s="47">
        <v>1400.0</v>
      </c>
    </row>
    <row r="335" ht="12.75" customHeight="1">
      <c r="A335" s="42" t="s">
        <v>1231</v>
      </c>
      <c r="B335" s="21">
        <v>46208.0</v>
      </c>
      <c r="C335" s="9" t="s">
        <v>118</v>
      </c>
      <c r="D335" s="9" t="s">
        <v>155</v>
      </c>
      <c r="E335" s="9" t="s">
        <v>137</v>
      </c>
      <c r="G335" s="9" t="s">
        <v>141</v>
      </c>
      <c r="H335" s="9" t="s">
        <v>154</v>
      </c>
      <c r="I335" s="9">
        <v>1400.0</v>
      </c>
      <c r="J335" s="47">
        <v>1400.0</v>
      </c>
    </row>
    <row r="336" ht="12.75" customHeight="1">
      <c r="A336" s="42" t="s">
        <v>1239</v>
      </c>
      <c r="B336" s="21">
        <v>46215.0</v>
      </c>
      <c r="C336" s="9" t="s">
        <v>118</v>
      </c>
      <c r="D336" s="9" t="s">
        <v>155</v>
      </c>
      <c r="E336" s="9" t="s">
        <v>137</v>
      </c>
      <c r="G336" s="9" t="s">
        <v>141</v>
      </c>
      <c r="H336" s="9" t="s">
        <v>154</v>
      </c>
      <c r="I336" s="9">
        <v>1400.0</v>
      </c>
      <c r="J336" s="47">
        <v>1400.0</v>
      </c>
    </row>
    <row r="337" ht="12.75" customHeight="1">
      <c r="A337" s="42" t="s">
        <v>1247</v>
      </c>
      <c r="B337" s="21">
        <v>46222.0</v>
      </c>
      <c r="C337" s="9" t="s">
        <v>118</v>
      </c>
      <c r="D337" s="9" t="s">
        <v>155</v>
      </c>
      <c r="E337" s="9" t="s">
        <v>137</v>
      </c>
      <c r="G337" s="9" t="s">
        <v>141</v>
      </c>
      <c r="H337" s="9" t="s">
        <v>154</v>
      </c>
      <c r="I337" s="9">
        <v>1400.0</v>
      </c>
      <c r="J337" s="47">
        <v>1400.0</v>
      </c>
    </row>
    <row r="338" ht="12.75" customHeight="1">
      <c r="A338" s="42" t="s">
        <v>1255</v>
      </c>
      <c r="B338" s="21">
        <v>46229.0</v>
      </c>
      <c r="C338" s="9" t="s">
        <v>118</v>
      </c>
      <c r="D338" s="9" t="s">
        <v>155</v>
      </c>
      <c r="E338" s="9" t="s">
        <v>137</v>
      </c>
      <c r="G338" s="9" t="s">
        <v>141</v>
      </c>
      <c r="H338" s="9" t="s">
        <v>154</v>
      </c>
      <c r="I338" s="9">
        <v>1400.0</v>
      </c>
      <c r="J338" s="47">
        <v>1400.0</v>
      </c>
    </row>
    <row r="339" ht="12.75" customHeight="1">
      <c r="A339" s="42" t="s">
        <v>1263</v>
      </c>
      <c r="B339" s="21">
        <v>46236.0</v>
      </c>
      <c r="C339" s="9" t="s">
        <v>118</v>
      </c>
      <c r="D339" s="9" t="s">
        <v>155</v>
      </c>
      <c r="E339" s="9" t="s">
        <v>137</v>
      </c>
      <c r="G339" s="9" t="s">
        <v>141</v>
      </c>
      <c r="H339" s="9" t="s">
        <v>154</v>
      </c>
      <c r="I339" s="9">
        <v>1400.0</v>
      </c>
      <c r="J339" s="47">
        <v>1400.0</v>
      </c>
    </row>
    <row r="340" ht="12.75" customHeight="1">
      <c r="A340" s="42" t="s">
        <v>1271</v>
      </c>
      <c r="B340" s="21">
        <v>46243.0</v>
      </c>
      <c r="C340" s="9" t="s">
        <v>118</v>
      </c>
      <c r="D340" s="9" t="s">
        <v>155</v>
      </c>
      <c r="E340" s="9" t="s">
        <v>137</v>
      </c>
      <c r="G340" s="9" t="s">
        <v>141</v>
      </c>
      <c r="H340" s="9" t="s">
        <v>154</v>
      </c>
      <c r="I340" s="9">
        <v>1400.0</v>
      </c>
      <c r="J340" s="47">
        <v>1400.0</v>
      </c>
    </row>
    <row r="341" ht="12.75" customHeight="1">
      <c r="A341" s="42" t="s">
        <v>1279</v>
      </c>
      <c r="B341" s="21">
        <v>46250.0</v>
      </c>
      <c r="C341" s="9" t="s">
        <v>118</v>
      </c>
      <c r="D341" s="9" t="s">
        <v>155</v>
      </c>
      <c r="E341" s="9" t="s">
        <v>137</v>
      </c>
      <c r="G341" s="9" t="s">
        <v>141</v>
      </c>
      <c r="H341" s="9" t="s">
        <v>154</v>
      </c>
      <c r="I341" s="9">
        <v>1400.0</v>
      </c>
      <c r="J341" s="47">
        <v>1400.0</v>
      </c>
    </row>
    <row r="342" ht="12.75" customHeight="1">
      <c r="A342" s="42" t="s">
        <v>1287</v>
      </c>
      <c r="B342" s="21">
        <v>46257.0</v>
      </c>
      <c r="C342" s="9" t="s">
        <v>118</v>
      </c>
      <c r="D342" s="9" t="s">
        <v>155</v>
      </c>
      <c r="E342" s="9" t="s">
        <v>137</v>
      </c>
      <c r="G342" s="9" t="s">
        <v>141</v>
      </c>
      <c r="H342" s="9" t="s">
        <v>154</v>
      </c>
      <c r="I342" s="9">
        <v>1400.0</v>
      </c>
      <c r="J342" s="47">
        <v>1400.0</v>
      </c>
    </row>
    <row r="343" ht="12.75" customHeight="1">
      <c r="A343" s="42" t="s">
        <v>1295</v>
      </c>
      <c r="B343" s="21">
        <v>46264.0</v>
      </c>
      <c r="C343" s="9" t="s">
        <v>118</v>
      </c>
      <c r="D343" s="9" t="s">
        <v>155</v>
      </c>
      <c r="E343" s="9" t="s">
        <v>137</v>
      </c>
      <c r="G343" s="9" t="s">
        <v>141</v>
      </c>
      <c r="H343" s="9" t="s">
        <v>154</v>
      </c>
      <c r="I343" s="9">
        <v>2000.0</v>
      </c>
      <c r="J343" s="47">
        <v>2000.0</v>
      </c>
    </row>
    <row r="344" ht="12.75" customHeight="1">
      <c r="A344" s="42" t="s">
        <v>1303</v>
      </c>
      <c r="B344" s="21">
        <v>46271.0</v>
      </c>
      <c r="C344" s="9" t="s">
        <v>118</v>
      </c>
      <c r="D344" s="9" t="s">
        <v>155</v>
      </c>
      <c r="E344" s="9" t="s">
        <v>137</v>
      </c>
      <c r="G344" s="9" t="s">
        <v>141</v>
      </c>
      <c r="H344" s="9" t="s">
        <v>154</v>
      </c>
      <c r="I344" s="9">
        <v>2000.0</v>
      </c>
      <c r="J344" s="47">
        <v>2000.0</v>
      </c>
    </row>
    <row r="345" ht="12.75" customHeight="1">
      <c r="A345" s="42" t="s">
        <v>1311</v>
      </c>
      <c r="B345" s="21">
        <v>46278.0</v>
      </c>
      <c r="C345" s="9" t="s">
        <v>118</v>
      </c>
      <c r="D345" s="9" t="s">
        <v>155</v>
      </c>
      <c r="E345" s="9" t="s">
        <v>137</v>
      </c>
      <c r="G345" s="9" t="s">
        <v>141</v>
      </c>
      <c r="H345" s="9" t="s">
        <v>154</v>
      </c>
      <c r="I345" s="9">
        <v>2000.0</v>
      </c>
      <c r="J345" s="47">
        <v>2000.0</v>
      </c>
    </row>
    <row r="346" ht="12.75" customHeight="1">
      <c r="A346" s="42" t="s">
        <v>1319</v>
      </c>
      <c r="B346" s="21">
        <v>46285.0</v>
      </c>
      <c r="C346" s="9" t="s">
        <v>118</v>
      </c>
      <c r="D346" s="9" t="s">
        <v>155</v>
      </c>
      <c r="E346" s="9" t="s">
        <v>137</v>
      </c>
      <c r="G346" s="9" t="s">
        <v>141</v>
      </c>
      <c r="H346" s="9" t="s">
        <v>154</v>
      </c>
      <c r="I346" s="9">
        <v>2000.0</v>
      </c>
      <c r="J346" s="47">
        <v>2000.0</v>
      </c>
    </row>
    <row r="347" ht="12.75" customHeight="1">
      <c r="A347" s="42" t="s">
        <v>1327</v>
      </c>
      <c r="B347" s="21">
        <v>46292.0</v>
      </c>
      <c r="C347" s="9" t="s">
        <v>118</v>
      </c>
      <c r="D347" s="9" t="s">
        <v>155</v>
      </c>
      <c r="E347" s="9" t="s">
        <v>137</v>
      </c>
      <c r="G347" s="9" t="s">
        <v>141</v>
      </c>
      <c r="H347" s="9" t="s">
        <v>154</v>
      </c>
      <c r="I347" s="9">
        <v>2000.0</v>
      </c>
      <c r="J347" s="47">
        <v>2000.0</v>
      </c>
    </row>
    <row r="348" ht="12.75" customHeight="1">
      <c r="A348" s="42" t="s">
        <v>1335</v>
      </c>
      <c r="B348" s="21">
        <v>46299.0</v>
      </c>
      <c r="C348" s="9" t="s">
        <v>118</v>
      </c>
      <c r="D348" s="9" t="s">
        <v>155</v>
      </c>
      <c r="E348" s="9" t="s">
        <v>137</v>
      </c>
      <c r="G348" s="9" t="s">
        <v>141</v>
      </c>
      <c r="H348" s="9" t="s">
        <v>154</v>
      </c>
      <c r="I348" s="9">
        <v>2000.0</v>
      </c>
      <c r="J348" s="47">
        <v>2000.0</v>
      </c>
    </row>
    <row r="349" ht="12.75" customHeight="1">
      <c r="A349" s="42" t="s">
        <v>1343</v>
      </c>
      <c r="B349" s="21">
        <v>46306.0</v>
      </c>
      <c r="C349" s="9" t="s">
        <v>118</v>
      </c>
      <c r="D349" s="9" t="s">
        <v>155</v>
      </c>
      <c r="E349" s="9" t="s">
        <v>137</v>
      </c>
      <c r="G349" s="9" t="s">
        <v>141</v>
      </c>
      <c r="H349" s="9" t="s">
        <v>154</v>
      </c>
      <c r="I349" s="9">
        <v>2000.0</v>
      </c>
      <c r="J349" s="47">
        <v>2000.0</v>
      </c>
    </row>
    <row r="350" ht="12.75" customHeight="1">
      <c r="A350" s="42" t="s">
        <v>1351</v>
      </c>
      <c r="B350" s="21">
        <v>46313.0</v>
      </c>
      <c r="C350" s="9" t="s">
        <v>118</v>
      </c>
      <c r="D350" s="9" t="s">
        <v>155</v>
      </c>
      <c r="E350" s="9" t="s">
        <v>137</v>
      </c>
      <c r="G350" s="9" t="s">
        <v>141</v>
      </c>
      <c r="H350" s="9" t="s">
        <v>154</v>
      </c>
      <c r="I350" s="9">
        <v>2000.0</v>
      </c>
      <c r="J350" s="47">
        <v>2000.0</v>
      </c>
    </row>
    <row r="351" ht="12.75" customHeight="1">
      <c r="A351" s="42" t="s">
        <v>1359</v>
      </c>
      <c r="B351" s="21">
        <v>46320.0</v>
      </c>
      <c r="C351" s="9" t="s">
        <v>118</v>
      </c>
      <c r="D351" s="9" t="s">
        <v>155</v>
      </c>
      <c r="E351" s="9" t="s">
        <v>137</v>
      </c>
      <c r="G351" s="9" t="s">
        <v>141</v>
      </c>
      <c r="H351" s="9" t="s">
        <v>154</v>
      </c>
      <c r="I351" s="9">
        <v>2000.0</v>
      </c>
      <c r="J351" s="47">
        <v>2000.0</v>
      </c>
    </row>
    <row r="352" ht="12.75" customHeight="1">
      <c r="A352" s="42" t="s">
        <v>1367</v>
      </c>
      <c r="B352" s="21">
        <v>46327.0</v>
      </c>
      <c r="C352" s="9" t="s">
        <v>118</v>
      </c>
      <c r="D352" s="9" t="s">
        <v>155</v>
      </c>
      <c r="E352" s="9" t="s">
        <v>137</v>
      </c>
      <c r="G352" s="9" t="s">
        <v>141</v>
      </c>
      <c r="H352" s="9" t="s">
        <v>154</v>
      </c>
      <c r="I352" s="9">
        <v>2000.0</v>
      </c>
      <c r="J352" s="47">
        <v>2000.0</v>
      </c>
    </row>
    <row r="353" ht="12.75" customHeight="1">
      <c r="A353" s="42" t="s">
        <v>1375</v>
      </c>
      <c r="B353" s="21">
        <v>46334.0</v>
      </c>
      <c r="C353" s="9" t="s">
        <v>118</v>
      </c>
      <c r="D353" s="9" t="s">
        <v>155</v>
      </c>
      <c r="E353" s="9" t="s">
        <v>137</v>
      </c>
      <c r="G353" s="9" t="s">
        <v>141</v>
      </c>
      <c r="H353" s="9" t="s">
        <v>154</v>
      </c>
      <c r="I353" s="9">
        <v>2000.0</v>
      </c>
      <c r="J353" s="47">
        <v>2000.0</v>
      </c>
    </row>
    <row r="354" ht="12.75" customHeight="1">
      <c r="A354" s="42" t="s">
        <v>1383</v>
      </c>
      <c r="B354" s="21">
        <v>46341.0</v>
      </c>
      <c r="C354" s="9" t="s">
        <v>118</v>
      </c>
      <c r="D354" s="9" t="s">
        <v>155</v>
      </c>
      <c r="E354" s="9" t="s">
        <v>137</v>
      </c>
      <c r="G354" s="9" t="s">
        <v>141</v>
      </c>
      <c r="H354" s="9" t="s">
        <v>154</v>
      </c>
      <c r="I354" s="9">
        <v>2000.0</v>
      </c>
      <c r="J354" s="47">
        <v>2000.0</v>
      </c>
    </row>
    <row r="355" ht="12.75" customHeight="1">
      <c r="A355" s="42" t="s">
        <v>1391</v>
      </c>
      <c r="B355" s="21">
        <v>46348.0</v>
      </c>
      <c r="C355" s="9" t="s">
        <v>118</v>
      </c>
      <c r="D355" s="9" t="s">
        <v>155</v>
      </c>
      <c r="E355" s="9" t="s">
        <v>137</v>
      </c>
      <c r="G355" s="9" t="s">
        <v>141</v>
      </c>
      <c r="H355" s="9" t="s">
        <v>154</v>
      </c>
      <c r="I355" s="9">
        <v>0.0</v>
      </c>
      <c r="J355" s="47">
        <v>0.0</v>
      </c>
    </row>
    <row r="356" ht="12.75" customHeight="1">
      <c r="A356" s="42" t="s">
        <v>1399</v>
      </c>
      <c r="B356" s="21">
        <v>46355.0</v>
      </c>
      <c r="C356" s="9" t="s">
        <v>118</v>
      </c>
      <c r="D356" s="9" t="s">
        <v>155</v>
      </c>
      <c r="E356" s="9" t="s">
        <v>137</v>
      </c>
      <c r="G356" s="9" t="s">
        <v>141</v>
      </c>
      <c r="H356" s="9" t="s">
        <v>154</v>
      </c>
      <c r="I356" s="9">
        <v>0.0</v>
      </c>
      <c r="J356" s="47">
        <v>0.0</v>
      </c>
    </row>
    <row r="357" ht="12.75" customHeight="1">
      <c r="A357" s="42" t="s">
        <v>1407</v>
      </c>
      <c r="B357" s="21">
        <v>46362.0</v>
      </c>
      <c r="C357" s="9" t="s">
        <v>118</v>
      </c>
      <c r="D357" s="9" t="s">
        <v>155</v>
      </c>
      <c r="E357" s="9" t="s">
        <v>137</v>
      </c>
      <c r="G357" s="9" t="s">
        <v>141</v>
      </c>
      <c r="H357" s="9" t="s">
        <v>154</v>
      </c>
      <c r="I357" s="9">
        <v>0.0</v>
      </c>
      <c r="J357" s="47">
        <v>0.0</v>
      </c>
    </row>
    <row r="358" ht="12.75" customHeight="1">
      <c r="A358" s="42" t="s">
        <v>1415</v>
      </c>
      <c r="B358" s="21">
        <v>46369.0</v>
      </c>
      <c r="C358" s="9" t="s">
        <v>118</v>
      </c>
      <c r="D358" s="9" t="s">
        <v>155</v>
      </c>
      <c r="E358" s="9" t="s">
        <v>137</v>
      </c>
      <c r="G358" s="9" t="s">
        <v>141</v>
      </c>
      <c r="H358" s="9" t="s">
        <v>154</v>
      </c>
      <c r="I358" s="9">
        <v>0.0</v>
      </c>
      <c r="J358" s="47">
        <v>0.0</v>
      </c>
    </row>
    <row r="359" ht="12.75" customHeight="1">
      <c r="A359" s="42" t="s">
        <v>1423</v>
      </c>
      <c r="B359" s="21">
        <v>46376.0</v>
      </c>
      <c r="C359" s="9" t="s">
        <v>118</v>
      </c>
      <c r="D359" s="9" t="s">
        <v>155</v>
      </c>
      <c r="E359" s="9" t="s">
        <v>137</v>
      </c>
      <c r="G359" s="9" t="s">
        <v>141</v>
      </c>
      <c r="H359" s="9" t="s">
        <v>154</v>
      </c>
      <c r="I359" s="9">
        <v>0.0</v>
      </c>
      <c r="J359" s="47">
        <v>0.0</v>
      </c>
    </row>
    <row r="360" ht="12.75" customHeight="1">
      <c r="A360" s="42" t="s">
        <v>1431</v>
      </c>
      <c r="B360" s="21">
        <v>46383.0</v>
      </c>
      <c r="C360" s="9" t="s">
        <v>118</v>
      </c>
      <c r="D360" s="9" t="s">
        <v>155</v>
      </c>
      <c r="E360" s="9" t="s">
        <v>137</v>
      </c>
      <c r="G360" s="9" t="s">
        <v>141</v>
      </c>
      <c r="H360" s="9" t="s">
        <v>154</v>
      </c>
      <c r="I360" s="9">
        <v>0.0</v>
      </c>
      <c r="J360" s="47">
        <v>0.0</v>
      </c>
    </row>
    <row r="361" ht="12.75" customHeight="1">
      <c r="A361" s="42" t="s">
        <v>1087</v>
      </c>
      <c r="B361" s="21">
        <v>46082.0</v>
      </c>
      <c r="C361" s="9" t="s">
        <v>118</v>
      </c>
      <c r="D361" s="9" t="s">
        <v>155</v>
      </c>
      <c r="E361" s="9" t="s">
        <v>130</v>
      </c>
      <c r="G361" s="9" t="s">
        <v>141</v>
      </c>
      <c r="H361" s="9" t="s">
        <v>154</v>
      </c>
      <c r="I361" s="9">
        <v>1500.0</v>
      </c>
      <c r="J361" s="47">
        <v>1500.0</v>
      </c>
    </row>
    <row r="362" ht="12.75" customHeight="1">
      <c r="A362" s="42" t="s">
        <v>1087</v>
      </c>
      <c r="B362" s="21">
        <v>46082.0</v>
      </c>
      <c r="C362" s="9" t="s">
        <v>118</v>
      </c>
      <c r="D362" s="9" t="s">
        <v>152</v>
      </c>
      <c r="E362" s="9" t="s">
        <v>137</v>
      </c>
      <c r="F362" s="9" t="s">
        <v>123</v>
      </c>
      <c r="G362" s="9" t="s">
        <v>122</v>
      </c>
      <c r="H362" s="9" t="s">
        <v>146</v>
      </c>
      <c r="I362" s="9">
        <v>150.0</v>
      </c>
      <c r="J362" s="47">
        <v>150.0</v>
      </c>
    </row>
    <row r="363" ht="12.75" customHeight="1">
      <c r="A363" s="42" t="s">
        <v>1095</v>
      </c>
      <c r="B363" s="21">
        <v>46089.0</v>
      </c>
      <c r="C363" s="9" t="s">
        <v>118</v>
      </c>
      <c r="D363" s="9" t="s">
        <v>152</v>
      </c>
      <c r="E363" s="9" t="s">
        <v>137</v>
      </c>
      <c r="F363" s="9" t="s">
        <v>123</v>
      </c>
      <c r="G363" s="9" t="s">
        <v>122</v>
      </c>
      <c r="H363" s="9" t="s">
        <v>146</v>
      </c>
      <c r="I363" s="9">
        <v>150.0</v>
      </c>
      <c r="J363" s="47">
        <v>150.0</v>
      </c>
    </row>
    <row r="364" ht="12.75" customHeight="1">
      <c r="A364" s="42" t="s">
        <v>1103</v>
      </c>
      <c r="B364" s="21">
        <v>46096.0</v>
      </c>
      <c r="C364" s="9" t="s">
        <v>118</v>
      </c>
      <c r="D364" s="9" t="s">
        <v>152</v>
      </c>
      <c r="E364" s="9" t="s">
        <v>137</v>
      </c>
      <c r="F364" s="9" t="s">
        <v>123</v>
      </c>
      <c r="G364" s="9" t="s">
        <v>122</v>
      </c>
      <c r="H364" s="9" t="s">
        <v>146</v>
      </c>
      <c r="I364" s="9">
        <v>150.0</v>
      </c>
      <c r="J364" s="47">
        <v>150.0</v>
      </c>
    </row>
    <row r="365" ht="12.75" customHeight="1">
      <c r="A365" s="42" t="s">
        <v>1111</v>
      </c>
      <c r="B365" s="21">
        <v>46103.0</v>
      </c>
      <c r="C365" s="9" t="s">
        <v>118</v>
      </c>
      <c r="D365" s="9" t="s">
        <v>152</v>
      </c>
      <c r="E365" s="9" t="s">
        <v>137</v>
      </c>
      <c r="F365" s="9" t="s">
        <v>123</v>
      </c>
      <c r="G365" s="9" t="s">
        <v>122</v>
      </c>
      <c r="H365" s="9" t="s">
        <v>146</v>
      </c>
      <c r="I365" s="9">
        <v>150.0</v>
      </c>
      <c r="J365" s="47">
        <v>150.0</v>
      </c>
    </row>
    <row r="366" ht="12.75" customHeight="1">
      <c r="A366" s="42" t="s">
        <v>1119</v>
      </c>
      <c r="B366" s="21">
        <v>46110.0</v>
      </c>
      <c r="C366" s="9" t="s">
        <v>118</v>
      </c>
      <c r="D366" s="9" t="s">
        <v>152</v>
      </c>
      <c r="E366" s="9" t="s">
        <v>137</v>
      </c>
      <c r="F366" s="9" t="s">
        <v>123</v>
      </c>
      <c r="G366" s="9" t="s">
        <v>122</v>
      </c>
      <c r="H366" s="9" t="s">
        <v>146</v>
      </c>
      <c r="I366" s="9">
        <v>207.0</v>
      </c>
      <c r="J366" s="47">
        <v>207.0</v>
      </c>
    </row>
    <row r="367" ht="12.75" customHeight="1">
      <c r="A367" s="42" t="s">
        <v>1127</v>
      </c>
      <c r="B367" s="21">
        <v>46117.0</v>
      </c>
      <c r="C367" s="9" t="s">
        <v>118</v>
      </c>
      <c r="D367" s="9" t="s">
        <v>152</v>
      </c>
      <c r="E367" s="9" t="s">
        <v>137</v>
      </c>
      <c r="F367" s="9" t="s">
        <v>123</v>
      </c>
      <c r="G367" s="9" t="s">
        <v>122</v>
      </c>
      <c r="H367" s="9" t="s">
        <v>146</v>
      </c>
      <c r="I367" s="9">
        <v>245.0</v>
      </c>
      <c r="J367" s="47">
        <v>245.0</v>
      </c>
    </row>
    <row r="368" ht="12.75" customHeight="1">
      <c r="A368" s="42" t="s">
        <v>1135</v>
      </c>
      <c r="B368" s="21">
        <v>46124.0</v>
      </c>
      <c r="C368" s="9" t="s">
        <v>118</v>
      </c>
      <c r="D368" s="9" t="s">
        <v>152</v>
      </c>
      <c r="E368" s="9" t="s">
        <v>137</v>
      </c>
      <c r="F368" s="9" t="s">
        <v>123</v>
      </c>
      <c r="G368" s="9" t="s">
        <v>122</v>
      </c>
      <c r="H368" s="9" t="s">
        <v>146</v>
      </c>
      <c r="I368" s="9">
        <v>245.0</v>
      </c>
      <c r="J368" s="47">
        <v>245.0</v>
      </c>
    </row>
    <row r="369" ht="12.75" customHeight="1">
      <c r="A369" s="42" t="s">
        <v>1143</v>
      </c>
      <c r="B369" s="21">
        <v>46131.0</v>
      </c>
      <c r="C369" s="9" t="s">
        <v>118</v>
      </c>
      <c r="D369" s="9" t="s">
        <v>152</v>
      </c>
      <c r="E369" s="9" t="s">
        <v>137</v>
      </c>
      <c r="F369" s="9" t="s">
        <v>123</v>
      </c>
      <c r="G369" s="9" t="s">
        <v>122</v>
      </c>
      <c r="H369" s="9" t="s">
        <v>146</v>
      </c>
      <c r="I369" s="9">
        <v>245.0</v>
      </c>
      <c r="J369" s="47">
        <v>245.0</v>
      </c>
    </row>
    <row r="370" ht="12.75" customHeight="1">
      <c r="A370" s="42" t="s">
        <v>1151</v>
      </c>
      <c r="B370" s="21">
        <v>46138.0</v>
      </c>
      <c r="C370" s="9" t="s">
        <v>118</v>
      </c>
      <c r="D370" s="9" t="s">
        <v>152</v>
      </c>
      <c r="E370" s="9" t="s">
        <v>137</v>
      </c>
      <c r="F370" s="9" t="s">
        <v>123</v>
      </c>
      <c r="G370" s="9" t="s">
        <v>122</v>
      </c>
      <c r="H370" s="9" t="s">
        <v>146</v>
      </c>
      <c r="I370" s="9">
        <v>269.0</v>
      </c>
      <c r="J370" s="47">
        <v>269.0</v>
      </c>
    </row>
    <row r="371" ht="12.75" customHeight="1">
      <c r="A371" s="42" t="s">
        <v>1159</v>
      </c>
      <c r="B371" s="21">
        <v>46145.0</v>
      </c>
      <c r="C371" s="9" t="s">
        <v>118</v>
      </c>
      <c r="D371" s="9" t="s">
        <v>152</v>
      </c>
      <c r="E371" s="9" t="s">
        <v>137</v>
      </c>
      <c r="F371" s="9" t="s">
        <v>123</v>
      </c>
      <c r="G371" s="9" t="s">
        <v>122</v>
      </c>
      <c r="H371" s="9" t="s">
        <v>146</v>
      </c>
      <c r="I371" s="9">
        <v>365.0</v>
      </c>
      <c r="J371" s="47">
        <v>365.0</v>
      </c>
    </row>
    <row r="372" ht="12.75" customHeight="1">
      <c r="A372" s="42" t="s">
        <v>1167</v>
      </c>
      <c r="B372" s="21">
        <v>46152.0</v>
      </c>
      <c r="C372" s="9" t="s">
        <v>118</v>
      </c>
      <c r="D372" s="9" t="s">
        <v>152</v>
      </c>
      <c r="E372" s="9" t="s">
        <v>137</v>
      </c>
      <c r="F372" s="9" t="s">
        <v>123</v>
      </c>
      <c r="G372" s="9" t="s">
        <v>122</v>
      </c>
      <c r="H372" s="9" t="s">
        <v>146</v>
      </c>
      <c r="I372" s="9">
        <v>365.0</v>
      </c>
      <c r="J372" s="47">
        <v>365.0</v>
      </c>
    </row>
    <row r="373" ht="12.75" customHeight="1">
      <c r="A373" s="42" t="s">
        <v>1175</v>
      </c>
      <c r="B373" s="21">
        <v>46159.0</v>
      </c>
      <c r="C373" s="9" t="s">
        <v>118</v>
      </c>
      <c r="D373" s="9" t="s">
        <v>152</v>
      </c>
      <c r="E373" s="9" t="s">
        <v>137</v>
      </c>
      <c r="F373" s="9" t="s">
        <v>123</v>
      </c>
      <c r="G373" s="9" t="s">
        <v>122</v>
      </c>
      <c r="H373" s="9" t="s">
        <v>146</v>
      </c>
      <c r="I373" s="9">
        <v>365.0</v>
      </c>
      <c r="J373" s="47">
        <v>365.0</v>
      </c>
    </row>
    <row r="374" ht="12.75" customHeight="1">
      <c r="A374" s="42" t="s">
        <v>1183</v>
      </c>
      <c r="B374" s="21">
        <v>46166.0</v>
      </c>
      <c r="C374" s="9" t="s">
        <v>118</v>
      </c>
      <c r="D374" s="9" t="s">
        <v>152</v>
      </c>
      <c r="E374" s="9" t="s">
        <v>137</v>
      </c>
      <c r="F374" s="9" t="s">
        <v>123</v>
      </c>
      <c r="G374" s="9" t="s">
        <v>122</v>
      </c>
      <c r="H374" s="9" t="s">
        <v>146</v>
      </c>
      <c r="I374" s="9">
        <v>292.0</v>
      </c>
      <c r="J374" s="47">
        <v>292.0</v>
      </c>
    </row>
    <row r="375" ht="12.75" customHeight="1">
      <c r="A375" s="42" t="s">
        <v>1193</v>
      </c>
      <c r="B375" s="21">
        <v>46174.0</v>
      </c>
      <c r="C375" s="9" t="s">
        <v>118</v>
      </c>
      <c r="D375" s="9" t="s">
        <v>152</v>
      </c>
      <c r="E375" s="9" t="s">
        <v>137</v>
      </c>
      <c r="F375" s="9" t="s">
        <v>123</v>
      </c>
      <c r="G375" s="9" t="s">
        <v>122</v>
      </c>
      <c r="H375" s="9" t="s">
        <v>146</v>
      </c>
      <c r="I375" s="9">
        <v>410.0</v>
      </c>
      <c r="J375" s="47">
        <v>410.0</v>
      </c>
    </row>
    <row r="376" ht="12.75" customHeight="1">
      <c r="A376" s="42" t="s">
        <v>1199</v>
      </c>
      <c r="B376" s="21">
        <v>46180.0</v>
      </c>
      <c r="C376" s="9" t="s">
        <v>118</v>
      </c>
      <c r="D376" s="9" t="s">
        <v>152</v>
      </c>
      <c r="E376" s="9" t="s">
        <v>137</v>
      </c>
      <c r="F376" s="9" t="s">
        <v>123</v>
      </c>
      <c r="G376" s="9" t="s">
        <v>122</v>
      </c>
      <c r="H376" s="9" t="s">
        <v>146</v>
      </c>
      <c r="I376" s="9">
        <v>410.0</v>
      </c>
      <c r="J376" s="47">
        <v>410.0</v>
      </c>
    </row>
    <row r="377" ht="12.75" customHeight="1">
      <c r="A377" s="42" t="s">
        <v>1207</v>
      </c>
      <c r="B377" s="21">
        <v>46187.0</v>
      </c>
      <c r="C377" s="9" t="s">
        <v>118</v>
      </c>
      <c r="D377" s="9" t="s">
        <v>152</v>
      </c>
      <c r="E377" s="9" t="s">
        <v>137</v>
      </c>
      <c r="F377" s="9" t="s">
        <v>123</v>
      </c>
      <c r="G377" s="9" t="s">
        <v>122</v>
      </c>
      <c r="H377" s="9" t="s">
        <v>146</v>
      </c>
      <c r="I377" s="9">
        <v>328.0</v>
      </c>
      <c r="J377" s="47">
        <v>328.0</v>
      </c>
    </row>
    <row r="378" ht="12.75" customHeight="1">
      <c r="A378" s="42" t="s">
        <v>1215</v>
      </c>
      <c r="B378" s="21">
        <v>46194.0</v>
      </c>
      <c r="C378" s="9" t="s">
        <v>118</v>
      </c>
      <c r="D378" s="9" t="s">
        <v>152</v>
      </c>
      <c r="E378" s="9" t="s">
        <v>137</v>
      </c>
      <c r="F378" s="9" t="s">
        <v>123</v>
      </c>
      <c r="G378" s="9" t="s">
        <v>122</v>
      </c>
      <c r="H378" s="9" t="s">
        <v>146</v>
      </c>
      <c r="I378" s="9">
        <v>410.0</v>
      </c>
      <c r="J378" s="47">
        <v>410.0</v>
      </c>
    </row>
    <row r="379" ht="12.75" customHeight="1">
      <c r="A379" s="42" t="s">
        <v>1223</v>
      </c>
      <c r="B379" s="21">
        <v>46201.0</v>
      </c>
      <c r="C379" s="9" t="s">
        <v>118</v>
      </c>
      <c r="D379" s="9" t="s">
        <v>152</v>
      </c>
      <c r="E379" s="9" t="s">
        <v>137</v>
      </c>
      <c r="F379" s="9" t="s">
        <v>123</v>
      </c>
      <c r="G379" s="9" t="s">
        <v>122</v>
      </c>
      <c r="H379" s="9" t="s">
        <v>146</v>
      </c>
      <c r="I379" s="9">
        <v>350.0</v>
      </c>
      <c r="J379" s="47">
        <v>350.0</v>
      </c>
    </row>
    <row r="380" ht="12.75" customHeight="1">
      <c r="A380" s="42" t="s">
        <v>1231</v>
      </c>
      <c r="B380" s="21">
        <v>46208.0</v>
      </c>
      <c r="C380" s="9" t="s">
        <v>118</v>
      </c>
      <c r="D380" s="9" t="s">
        <v>152</v>
      </c>
      <c r="E380" s="9" t="s">
        <v>137</v>
      </c>
      <c r="F380" s="9" t="s">
        <v>123</v>
      </c>
      <c r="G380" s="9" t="s">
        <v>122</v>
      </c>
      <c r="H380" s="9" t="s">
        <v>146</v>
      </c>
      <c r="I380" s="9">
        <v>465.0</v>
      </c>
      <c r="J380" s="47">
        <v>465.0</v>
      </c>
    </row>
    <row r="381" ht="12.75" customHeight="1">
      <c r="A381" s="42" t="s">
        <v>1239</v>
      </c>
      <c r="B381" s="21">
        <v>46215.0</v>
      </c>
      <c r="C381" s="9" t="s">
        <v>118</v>
      </c>
      <c r="D381" s="9" t="s">
        <v>152</v>
      </c>
      <c r="E381" s="9" t="s">
        <v>137</v>
      </c>
      <c r="F381" s="9" t="s">
        <v>123</v>
      </c>
      <c r="G381" s="9" t="s">
        <v>122</v>
      </c>
      <c r="H381" s="9" t="s">
        <v>146</v>
      </c>
      <c r="I381" s="9">
        <v>465.0</v>
      </c>
      <c r="J381" s="47">
        <v>465.0</v>
      </c>
    </row>
    <row r="382" ht="12.75" customHeight="1">
      <c r="A382" s="42" t="s">
        <v>1247</v>
      </c>
      <c r="B382" s="21">
        <v>46222.0</v>
      </c>
      <c r="C382" s="9" t="s">
        <v>118</v>
      </c>
      <c r="D382" s="9" t="s">
        <v>152</v>
      </c>
      <c r="E382" s="9" t="s">
        <v>137</v>
      </c>
      <c r="F382" s="9" t="s">
        <v>123</v>
      </c>
      <c r="G382" s="9" t="s">
        <v>122</v>
      </c>
      <c r="H382" s="9" t="s">
        <v>146</v>
      </c>
      <c r="I382" s="9">
        <v>465.0</v>
      </c>
      <c r="J382" s="47">
        <v>465.0</v>
      </c>
    </row>
    <row r="383" ht="12.75" customHeight="1">
      <c r="A383" s="42" t="s">
        <v>1255</v>
      </c>
      <c r="B383" s="21">
        <v>46229.0</v>
      </c>
      <c r="C383" s="9" t="s">
        <v>118</v>
      </c>
      <c r="D383" s="9" t="s">
        <v>152</v>
      </c>
      <c r="E383" s="9" t="s">
        <v>137</v>
      </c>
      <c r="F383" s="9" t="s">
        <v>123</v>
      </c>
      <c r="G383" s="9" t="s">
        <v>122</v>
      </c>
      <c r="H383" s="9" t="s">
        <v>146</v>
      </c>
      <c r="I383" s="9">
        <v>465.0</v>
      </c>
      <c r="J383" s="47">
        <v>465.0</v>
      </c>
    </row>
    <row r="384" ht="12.75" customHeight="1">
      <c r="A384" s="42" t="s">
        <v>1263</v>
      </c>
      <c r="B384" s="21">
        <v>46236.0</v>
      </c>
      <c r="C384" s="9" t="s">
        <v>118</v>
      </c>
      <c r="D384" s="9" t="s">
        <v>152</v>
      </c>
      <c r="E384" s="9" t="s">
        <v>137</v>
      </c>
      <c r="F384" s="9" t="s">
        <v>123</v>
      </c>
      <c r="G384" s="9" t="s">
        <v>122</v>
      </c>
      <c r="H384" s="9" t="s">
        <v>146</v>
      </c>
      <c r="I384" s="9">
        <v>530.0</v>
      </c>
      <c r="J384" s="47">
        <v>530.0</v>
      </c>
    </row>
    <row r="385" ht="12.75" customHeight="1">
      <c r="A385" s="42" t="s">
        <v>1271</v>
      </c>
      <c r="B385" s="21">
        <v>46243.0</v>
      </c>
      <c r="C385" s="9" t="s">
        <v>118</v>
      </c>
      <c r="D385" s="9" t="s">
        <v>152</v>
      </c>
      <c r="E385" s="9" t="s">
        <v>137</v>
      </c>
      <c r="F385" s="9" t="s">
        <v>123</v>
      </c>
      <c r="G385" s="9" t="s">
        <v>122</v>
      </c>
      <c r="H385" s="9" t="s">
        <v>146</v>
      </c>
      <c r="I385" s="9">
        <v>530.0</v>
      </c>
      <c r="J385" s="47">
        <v>530.0</v>
      </c>
    </row>
    <row r="386" ht="12.75" customHeight="1">
      <c r="A386" s="42" t="s">
        <v>1279</v>
      </c>
      <c r="B386" s="21">
        <v>46250.0</v>
      </c>
      <c r="C386" s="9" t="s">
        <v>118</v>
      </c>
      <c r="D386" s="9" t="s">
        <v>152</v>
      </c>
      <c r="E386" s="9" t="s">
        <v>137</v>
      </c>
      <c r="F386" s="9" t="s">
        <v>123</v>
      </c>
      <c r="G386" s="9" t="s">
        <v>122</v>
      </c>
      <c r="H386" s="9" t="s">
        <v>146</v>
      </c>
      <c r="I386" s="9">
        <v>530.0</v>
      </c>
      <c r="J386" s="47">
        <v>530.0</v>
      </c>
    </row>
    <row r="387" ht="12.75" customHeight="1">
      <c r="A387" s="42" t="s">
        <v>1287</v>
      </c>
      <c r="B387" s="21">
        <v>46257.0</v>
      </c>
      <c r="C387" s="9" t="s">
        <v>118</v>
      </c>
      <c r="D387" s="9" t="s">
        <v>152</v>
      </c>
      <c r="E387" s="9" t="s">
        <v>137</v>
      </c>
      <c r="F387" s="9" t="s">
        <v>123</v>
      </c>
      <c r="G387" s="9" t="s">
        <v>122</v>
      </c>
      <c r="H387" s="9" t="s">
        <v>146</v>
      </c>
      <c r="I387" s="9">
        <v>530.0</v>
      </c>
      <c r="J387" s="47">
        <v>530.0</v>
      </c>
    </row>
    <row r="388" ht="12.75" customHeight="1">
      <c r="A388" s="42" t="s">
        <v>1295</v>
      </c>
      <c r="B388" s="21">
        <v>46264.0</v>
      </c>
      <c r="C388" s="9" t="s">
        <v>118</v>
      </c>
      <c r="D388" s="9" t="s">
        <v>152</v>
      </c>
      <c r="E388" s="9" t="s">
        <v>137</v>
      </c>
      <c r="F388" s="9" t="s">
        <v>123</v>
      </c>
      <c r="G388" s="9" t="s">
        <v>122</v>
      </c>
      <c r="H388" s="9" t="s">
        <v>146</v>
      </c>
      <c r="I388" s="9">
        <v>586.0</v>
      </c>
      <c r="J388" s="47">
        <v>586.0</v>
      </c>
    </row>
    <row r="389" ht="12.75" customHeight="1">
      <c r="A389" s="42" t="s">
        <v>1303</v>
      </c>
      <c r="B389" s="21">
        <v>46271.0</v>
      </c>
      <c r="C389" s="9" t="s">
        <v>118</v>
      </c>
      <c r="D389" s="9" t="s">
        <v>152</v>
      </c>
      <c r="E389" s="9" t="s">
        <v>137</v>
      </c>
      <c r="F389" s="9" t="s">
        <v>123</v>
      </c>
      <c r="G389" s="9" t="s">
        <v>122</v>
      </c>
      <c r="H389" s="9" t="s">
        <v>146</v>
      </c>
      <c r="I389" s="9">
        <v>480.0</v>
      </c>
      <c r="J389" s="47">
        <v>480.0</v>
      </c>
    </row>
    <row r="390" ht="12.75" customHeight="1">
      <c r="A390" s="42" t="s">
        <v>1311</v>
      </c>
      <c r="B390" s="21">
        <v>46278.0</v>
      </c>
      <c r="C390" s="9" t="s">
        <v>118</v>
      </c>
      <c r="D390" s="9" t="s">
        <v>152</v>
      </c>
      <c r="E390" s="9" t="s">
        <v>137</v>
      </c>
      <c r="F390" s="9" t="s">
        <v>123</v>
      </c>
      <c r="G390" s="9" t="s">
        <v>122</v>
      </c>
      <c r="H390" s="9" t="s">
        <v>146</v>
      </c>
      <c r="I390" s="9">
        <v>600.0</v>
      </c>
      <c r="J390" s="47">
        <v>600.0</v>
      </c>
    </row>
    <row r="391" ht="12.75" customHeight="1">
      <c r="A391" s="42" t="s">
        <v>1319</v>
      </c>
      <c r="B391" s="21">
        <v>46285.0</v>
      </c>
      <c r="C391" s="9" t="s">
        <v>118</v>
      </c>
      <c r="D391" s="9" t="s">
        <v>152</v>
      </c>
      <c r="E391" s="9" t="s">
        <v>137</v>
      </c>
      <c r="F391" s="9" t="s">
        <v>123</v>
      </c>
      <c r="G391" s="9" t="s">
        <v>122</v>
      </c>
      <c r="H391" s="9" t="s">
        <v>146</v>
      </c>
      <c r="I391" s="9">
        <v>600.0</v>
      </c>
      <c r="J391" s="47">
        <v>600.0</v>
      </c>
    </row>
    <row r="392" ht="12.75" customHeight="1">
      <c r="A392" s="42" t="s">
        <v>1327</v>
      </c>
      <c r="B392" s="21">
        <v>46292.0</v>
      </c>
      <c r="C392" s="9" t="s">
        <v>118</v>
      </c>
      <c r="D392" s="9" t="s">
        <v>152</v>
      </c>
      <c r="E392" s="9" t="s">
        <v>137</v>
      </c>
      <c r="F392" s="9" t="s">
        <v>123</v>
      </c>
      <c r="G392" s="9" t="s">
        <v>122</v>
      </c>
      <c r="H392" s="9" t="s">
        <v>146</v>
      </c>
      <c r="I392" s="9">
        <v>618.0</v>
      </c>
      <c r="J392" s="47">
        <v>618.0</v>
      </c>
    </row>
    <row r="393" ht="12.75" customHeight="1">
      <c r="A393" s="42" t="s">
        <v>1335</v>
      </c>
      <c r="B393" s="21">
        <v>46299.0</v>
      </c>
      <c r="C393" s="9" t="s">
        <v>118</v>
      </c>
      <c r="D393" s="9" t="s">
        <v>152</v>
      </c>
      <c r="E393" s="9" t="s">
        <v>137</v>
      </c>
      <c r="F393" s="9" t="s">
        <v>123</v>
      </c>
      <c r="G393" s="9" t="s">
        <v>122</v>
      </c>
      <c r="H393" s="9" t="s">
        <v>146</v>
      </c>
      <c r="I393" s="9">
        <v>645.0</v>
      </c>
      <c r="J393" s="47">
        <v>645.0</v>
      </c>
    </row>
    <row r="394" ht="12.75" customHeight="1">
      <c r="A394" s="42" t="s">
        <v>1343</v>
      </c>
      <c r="B394" s="21">
        <v>46306.0</v>
      </c>
      <c r="C394" s="9" t="s">
        <v>118</v>
      </c>
      <c r="D394" s="9" t="s">
        <v>152</v>
      </c>
      <c r="E394" s="9" t="s">
        <v>137</v>
      </c>
      <c r="F394" s="9" t="s">
        <v>123</v>
      </c>
      <c r="G394" s="9" t="s">
        <v>122</v>
      </c>
      <c r="H394" s="9" t="s">
        <v>146</v>
      </c>
      <c r="I394" s="9">
        <v>516.0</v>
      </c>
      <c r="J394" s="47">
        <v>516.0</v>
      </c>
    </row>
    <row r="395" ht="12.75" customHeight="1">
      <c r="A395" s="42" t="s">
        <v>1351</v>
      </c>
      <c r="B395" s="21">
        <v>46313.0</v>
      </c>
      <c r="C395" s="9" t="s">
        <v>118</v>
      </c>
      <c r="D395" s="9" t="s">
        <v>152</v>
      </c>
      <c r="E395" s="9" t="s">
        <v>137</v>
      </c>
      <c r="F395" s="9" t="s">
        <v>123</v>
      </c>
      <c r="G395" s="9" t="s">
        <v>122</v>
      </c>
      <c r="H395" s="9" t="s">
        <v>146</v>
      </c>
      <c r="I395" s="9">
        <v>645.0</v>
      </c>
      <c r="J395" s="47">
        <v>645.0</v>
      </c>
    </row>
    <row r="396" ht="12.75" customHeight="1">
      <c r="A396" s="42" t="s">
        <v>1359</v>
      </c>
      <c r="B396" s="21">
        <v>46320.0</v>
      </c>
      <c r="C396" s="9" t="s">
        <v>118</v>
      </c>
      <c r="D396" s="9" t="s">
        <v>152</v>
      </c>
      <c r="E396" s="9" t="s">
        <v>137</v>
      </c>
      <c r="F396" s="9" t="s">
        <v>123</v>
      </c>
      <c r="G396" s="9" t="s">
        <v>122</v>
      </c>
      <c r="H396" s="9" t="s">
        <v>146</v>
      </c>
      <c r="I396" s="9">
        <v>645.0</v>
      </c>
      <c r="J396" s="47">
        <v>645.0</v>
      </c>
    </row>
    <row r="397" ht="12.75" customHeight="1">
      <c r="A397" s="42" t="s">
        <v>1367</v>
      </c>
      <c r="B397" s="21">
        <v>46327.0</v>
      </c>
      <c r="C397" s="9" t="s">
        <v>118</v>
      </c>
      <c r="D397" s="9" t="s">
        <v>152</v>
      </c>
      <c r="E397" s="9" t="s">
        <v>137</v>
      </c>
      <c r="F397" s="9" t="s">
        <v>123</v>
      </c>
      <c r="G397" s="9" t="s">
        <v>122</v>
      </c>
      <c r="H397" s="9" t="s">
        <v>146</v>
      </c>
      <c r="I397" s="9">
        <v>680.0</v>
      </c>
      <c r="J397" s="47">
        <v>680.0</v>
      </c>
    </row>
    <row r="398" ht="12.75" customHeight="1">
      <c r="A398" s="42" t="s">
        <v>1375</v>
      </c>
      <c r="B398" s="21">
        <v>46334.0</v>
      </c>
      <c r="C398" s="9" t="s">
        <v>118</v>
      </c>
      <c r="D398" s="9" t="s">
        <v>152</v>
      </c>
      <c r="E398" s="9" t="s">
        <v>137</v>
      </c>
      <c r="F398" s="9" t="s">
        <v>123</v>
      </c>
      <c r="G398" s="9" t="s">
        <v>122</v>
      </c>
      <c r="H398" s="9" t="s">
        <v>146</v>
      </c>
      <c r="I398" s="9">
        <v>544.0</v>
      </c>
      <c r="J398" s="47">
        <v>544.0</v>
      </c>
    </row>
    <row r="399" ht="12.75" customHeight="1">
      <c r="A399" s="42" t="s">
        <v>1383</v>
      </c>
      <c r="B399" s="21">
        <v>46341.0</v>
      </c>
      <c r="C399" s="9" t="s">
        <v>118</v>
      </c>
      <c r="D399" s="9" t="s">
        <v>152</v>
      </c>
      <c r="E399" s="9" t="s">
        <v>137</v>
      </c>
      <c r="F399" s="9" t="s">
        <v>123</v>
      </c>
      <c r="G399" s="9" t="s">
        <v>122</v>
      </c>
      <c r="H399" s="9" t="s">
        <v>146</v>
      </c>
      <c r="I399" s="9">
        <v>680.0</v>
      </c>
      <c r="J399" s="47">
        <v>680.0</v>
      </c>
    </row>
    <row r="400" ht="12.75" customHeight="1">
      <c r="A400" s="42" t="s">
        <v>1391</v>
      </c>
      <c r="B400" s="21">
        <v>46348.0</v>
      </c>
      <c r="C400" s="9" t="s">
        <v>118</v>
      </c>
      <c r="D400" s="9" t="s">
        <v>152</v>
      </c>
      <c r="E400" s="9" t="s">
        <v>137</v>
      </c>
      <c r="F400" s="9" t="s">
        <v>123</v>
      </c>
      <c r="G400" s="9" t="s">
        <v>122</v>
      </c>
      <c r="H400" s="9" t="s">
        <v>146</v>
      </c>
      <c r="I400" s="9">
        <v>408.0</v>
      </c>
      <c r="J400" s="47">
        <v>408.0</v>
      </c>
    </row>
    <row r="401" ht="12.75" customHeight="1">
      <c r="A401" s="42" t="s">
        <v>1399</v>
      </c>
      <c r="B401" s="21">
        <v>46355.0</v>
      </c>
      <c r="C401" s="9" t="s">
        <v>118</v>
      </c>
      <c r="D401" s="9" t="s">
        <v>152</v>
      </c>
      <c r="E401" s="9" t="s">
        <v>137</v>
      </c>
      <c r="F401" s="9" t="s">
        <v>123</v>
      </c>
      <c r="G401" s="9" t="s">
        <v>122</v>
      </c>
      <c r="H401" s="9" t="s">
        <v>146</v>
      </c>
      <c r="I401" s="9">
        <v>536.0</v>
      </c>
      <c r="J401" s="47">
        <v>536.0</v>
      </c>
    </row>
    <row r="402" ht="12.75" customHeight="1">
      <c r="A402" s="42" t="s">
        <v>1407</v>
      </c>
      <c r="B402" s="21">
        <v>46362.0</v>
      </c>
      <c r="C402" s="9" t="s">
        <v>118</v>
      </c>
      <c r="D402" s="9" t="s">
        <v>152</v>
      </c>
      <c r="E402" s="9" t="s">
        <v>137</v>
      </c>
      <c r="F402" s="9" t="s">
        <v>123</v>
      </c>
      <c r="G402" s="9" t="s">
        <v>122</v>
      </c>
      <c r="H402" s="9" t="s">
        <v>146</v>
      </c>
      <c r="I402" s="9">
        <v>500.0</v>
      </c>
      <c r="J402" s="47">
        <v>500.0</v>
      </c>
    </row>
    <row r="403" ht="12.75" customHeight="1">
      <c r="A403" s="42" t="s">
        <v>1415</v>
      </c>
      <c r="B403" s="21">
        <v>46369.0</v>
      </c>
      <c r="C403" s="9" t="s">
        <v>118</v>
      </c>
      <c r="D403" s="9" t="s">
        <v>152</v>
      </c>
      <c r="E403" s="9" t="s">
        <v>137</v>
      </c>
      <c r="F403" s="9" t="s">
        <v>123</v>
      </c>
      <c r="G403" s="9" t="s">
        <v>122</v>
      </c>
      <c r="H403" s="9" t="s">
        <v>146</v>
      </c>
      <c r="I403" s="9">
        <v>500.0</v>
      </c>
      <c r="J403" s="47">
        <v>500.0</v>
      </c>
    </row>
    <row r="404" ht="12.75" customHeight="1">
      <c r="A404" s="42" t="s">
        <v>1423</v>
      </c>
      <c r="B404" s="21">
        <v>46376.0</v>
      </c>
      <c r="C404" s="9" t="s">
        <v>118</v>
      </c>
      <c r="D404" s="9" t="s">
        <v>152</v>
      </c>
      <c r="E404" s="9" t="s">
        <v>137</v>
      </c>
      <c r="F404" s="9" t="s">
        <v>123</v>
      </c>
      <c r="G404" s="9" t="s">
        <v>122</v>
      </c>
      <c r="H404" s="9" t="s">
        <v>146</v>
      </c>
      <c r="I404" s="9">
        <v>400.0</v>
      </c>
      <c r="J404" s="47">
        <v>400.0</v>
      </c>
    </row>
    <row r="405" ht="12.75" customHeight="1">
      <c r="A405" s="42" t="s">
        <v>1431</v>
      </c>
      <c r="B405" s="21">
        <v>46383.0</v>
      </c>
      <c r="C405" s="9" t="s">
        <v>118</v>
      </c>
      <c r="D405" s="9" t="s">
        <v>152</v>
      </c>
      <c r="E405" s="9" t="s">
        <v>137</v>
      </c>
      <c r="F405" s="9" t="s">
        <v>123</v>
      </c>
      <c r="G405" s="9" t="s">
        <v>122</v>
      </c>
      <c r="H405" s="9" t="s">
        <v>146</v>
      </c>
      <c r="I405" s="9">
        <v>400.0</v>
      </c>
      <c r="J405" s="47">
        <v>400.0</v>
      </c>
    </row>
    <row r="406" ht="12.75" customHeight="1">
      <c r="A406" s="42" t="s">
        <v>1087</v>
      </c>
      <c r="B406" s="21">
        <v>46082.0</v>
      </c>
      <c r="C406" s="9" t="s">
        <v>118</v>
      </c>
      <c r="D406" s="9" t="s">
        <v>152</v>
      </c>
      <c r="E406" s="9" t="s">
        <v>137</v>
      </c>
      <c r="F406" s="9" t="s">
        <v>121</v>
      </c>
      <c r="G406" s="9" t="s">
        <v>122</v>
      </c>
      <c r="H406" s="9" t="s">
        <v>146</v>
      </c>
      <c r="I406" s="9">
        <v>140.0</v>
      </c>
      <c r="J406" s="47">
        <v>140.0</v>
      </c>
    </row>
    <row r="407" ht="12.75" customHeight="1">
      <c r="A407" s="42" t="s">
        <v>1095</v>
      </c>
      <c r="B407" s="21">
        <v>46089.0</v>
      </c>
      <c r="C407" s="9" t="s">
        <v>118</v>
      </c>
      <c r="D407" s="9" t="s">
        <v>152</v>
      </c>
      <c r="E407" s="9" t="s">
        <v>137</v>
      </c>
      <c r="F407" s="9" t="s">
        <v>121</v>
      </c>
      <c r="G407" s="9" t="s">
        <v>122</v>
      </c>
      <c r="H407" s="9" t="s">
        <v>146</v>
      </c>
      <c r="I407" s="9">
        <v>140.0</v>
      </c>
      <c r="J407" s="47">
        <v>140.0</v>
      </c>
    </row>
    <row r="408" ht="12.75" customHeight="1">
      <c r="A408" s="42" t="s">
        <v>1103</v>
      </c>
      <c r="B408" s="21">
        <v>46096.0</v>
      </c>
      <c r="C408" s="9" t="s">
        <v>118</v>
      </c>
      <c r="D408" s="9" t="s">
        <v>152</v>
      </c>
      <c r="E408" s="9" t="s">
        <v>137</v>
      </c>
      <c r="F408" s="9" t="s">
        <v>121</v>
      </c>
      <c r="G408" s="9" t="s">
        <v>122</v>
      </c>
      <c r="H408" s="9" t="s">
        <v>146</v>
      </c>
      <c r="I408" s="9">
        <v>140.0</v>
      </c>
      <c r="J408" s="47">
        <v>140.0</v>
      </c>
    </row>
    <row r="409" ht="12.75" customHeight="1">
      <c r="A409" s="42" t="s">
        <v>1111</v>
      </c>
      <c r="B409" s="21">
        <v>46103.0</v>
      </c>
      <c r="C409" s="9" t="s">
        <v>118</v>
      </c>
      <c r="D409" s="9" t="s">
        <v>152</v>
      </c>
      <c r="E409" s="9" t="s">
        <v>137</v>
      </c>
      <c r="F409" s="9" t="s">
        <v>121</v>
      </c>
      <c r="G409" s="9" t="s">
        <v>122</v>
      </c>
      <c r="H409" s="9" t="s">
        <v>146</v>
      </c>
      <c r="I409" s="9">
        <v>140.0</v>
      </c>
      <c r="J409" s="47">
        <v>140.0</v>
      </c>
    </row>
    <row r="410" ht="12.75" customHeight="1">
      <c r="A410" s="42" t="s">
        <v>1119</v>
      </c>
      <c r="B410" s="21">
        <v>46110.0</v>
      </c>
      <c r="C410" s="9" t="s">
        <v>118</v>
      </c>
      <c r="D410" s="9" t="s">
        <v>152</v>
      </c>
      <c r="E410" s="9" t="s">
        <v>137</v>
      </c>
      <c r="F410" s="9" t="s">
        <v>121</v>
      </c>
      <c r="G410" s="9" t="s">
        <v>122</v>
      </c>
      <c r="H410" s="9" t="s">
        <v>146</v>
      </c>
      <c r="I410" s="9">
        <v>167.0</v>
      </c>
      <c r="J410" s="47">
        <v>167.0</v>
      </c>
    </row>
    <row r="411" ht="12.75" customHeight="1">
      <c r="A411" s="42" t="s">
        <v>1127</v>
      </c>
      <c r="B411" s="21">
        <v>46117.0</v>
      </c>
      <c r="C411" s="9" t="s">
        <v>118</v>
      </c>
      <c r="D411" s="9" t="s">
        <v>152</v>
      </c>
      <c r="E411" s="9" t="s">
        <v>137</v>
      </c>
      <c r="F411" s="9" t="s">
        <v>121</v>
      </c>
      <c r="G411" s="9" t="s">
        <v>122</v>
      </c>
      <c r="H411" s="9" t="s">
        <v>146</v>
      </c>
      <c r="I411" s="9">
        <v>185.0</v>
      </c>
      <c r="J411" s="47">
        <v>185.0</v>
      </c>
    </row>
    <row r="412" ht="12.75" customHeight="1">
      <c r="A412" s="42" t="s">
        <v>1135</v>
      </c>
      <c r="B412" s="21">
        <v>46124.0</v>
      </c>
      <c r="C412" s="9" t="s">
        <v>118</v>
      </c>
      <c r="D412" s="9" t="s">
        <v>152</v>
      </c>
      <c r="E412" s="9" t="s">
        <v>137</v>
      </c>
      <c r="F412" s="9" t="s">
        <v>121</v>
      </c>
      <c r="G412" s="9" t="s">
        <v>122</v>
      </c>
      <c r="H412" s="9" t="s">
        <v>146</v>
      </c>
      <c r="I412" s="9">
        <v>185.0</v>
      </c>
      <c r="J412" s="47">
        <v>185.0</v>
      </c>
    </row>
    <row r="413" ht="12.75" customHeight="1">
      <c r="A413" s="42" t="s">
        <v>1143</v>
      </c>
      <c r="B413" s="21">
        <v>46131.0</v>
      </c>
      <c r="C413" s="9" t="s">
        <v>118</v>
      </c>
      <c r="D413" s="9" t="s">
        <v>152</v>
      </c>
      <c r="E413" s="9" t="s">
        <v>137</v>
      </c>
      <c r="F413" s="9" t="s">
        <v>121</v>
      </c>
      <c r="G413" s="9" t="s">
        <v>122</v>
      </c>
      <c r="H413" s="9" t="s">
        <v>146</v>
      </c>
      <c r="I413" s="9">
        <v>185.0</v>
      </c>
      <c r="J413" s="47">
        <v>185.0</v>
      </c>
    </row>
    <row r="414" ht="12.75" customHeight="1">
      <c r="A414" s="42" t="s">
        <v>1151</v>
      </c>
      <c r="B414" s="21">
        <v>46138.0</v>
      </c>
      <c r="C414" s="9" t="s">
        <v>118</v>
      </c>
      <c r="D414" s="9" t="s">
        <v>152</v>
      </c>
      <c r="E414" s="9" t="s">
        <v>137</v>
      </c>
      <c r="F414" s="9" t="s">
        <v>121</v>
      </c>
      <c r="G414" s="9" t="s">
        <v>122</v>
      </c>
      <c r="H414" s="9" t="s">
        <v>146</v>
      </c>
      <c r="I414" s="9">
        <v>206.0</v>
      </c>
      <c r="J414" s="47">
        <v>206.0</v>
      </c>
    </row>
    <row r="415" ht="12.75" customHeight="1">
      <c r="A415" s="42" t="s">
        <v>1159</v>
      </c>
      <c r="B415" s="21">
        <v>46145.0</v>
      </c>
      <c r="C415" s="9" t="s">
        <v>118</v>
      </c>
      <c r="D415" s="9" t="s">
        <v>152</v>
      </c>
      <c r="E415" s="9" t="s">
        <v>137</v>
      </c>
      <c r="F415" s="9" t="s">
        <v>121</v>
      </c>
      <c r="G415" s="9" t="s">
        <v>122</v>
      </c>
      <c r="H415" s="9" t="s">
        <v>146</v>
      </c>
      <c r="I415" s="9">
        <v>290.0</v>
      </c>
      <c r="J415" s="47">
        <v>290.0</v>
      </c>
    </row>
    <row r="416" ht="12.75" customHeight="1">
      <c r="A416" s="42" t="s">
        <v>1167</v>
      </c>
      <c r="B416" s="21">
        <v>46152.0</v>
      </c>
      <c r="C416" s="9" t="s">
        <v>118</v>
      </c>
      <c r="D416" s="9" t="s">
        <v>152</v>
      </c>
      <c r="E416" s="9" t="s">
        <v>137</v>
      </c>
      <c r="F416" s="9" t="s">
        <v>121</v>
      </c>
      <c r="G416" s="9" t="s">
        <v>122</v>
      </c>
      <c r="H416" s="9" t="s">
        <v>146</v>
      </c>
      <c r="I416" s="9">
        <v>290.0</v>
      </c>
      <c r="J416" s="47">
        <v>290.0</v>
      </c>
    </row>
    <row r="417" ht="12.75" customHeight="1">
      <c r="A417" s="42" t="s">
        <v>1175</v>
      </c>
      <c r="B417" s="21">
        <v>46159.0</v>
      </c>
      <c r="C417" s="9" t="s">
        <v>118</v>
      </c>
      <c r="D417" s="9" t="s">
        <v>152</v>
      </c>
      <c r="E417" s="9" t="s">
        <v>137</v>
      </c>
      <c r="F417" s="9" t="s">
        <v>121</v>
      </c>
      <c r="G417" s="9" t="s">
        <v>122</v>
      </c>
      <c r="H417" s="9" t="s">
        <v>146</v>
      </c>
      <c r="I417" s="9">
        <v>290.0</v>
      </c>
      <c r="J417" s="47">
        <v>290.0</v>
      </c>
    </row>
    <row r="418" ht="12.75" customHeight="1">
      <c r="A418" s="42" t="s">
        <v>1183</v>
      </c>
      <c r="B418" s="21">
        <v>46166.0</v>
      </c>
      <c r="C418" s="9" t="s">
        <v>118</v>
      </c>
      <c r="D418" s="9" t="s">
        <v>152</v>
      </c>
      <c r="E418" s="9" t="s">
        <v>137</v>
      </c>
      <c r="F418" s="9" t="s">
        <v>121</v>
      </c>
      <c r="G418" s="9" t="s">
        <v>122</v>
      </c>
      <c r="H418" s="9" t="s">
        <v>146</v>
      </c>
      <c r="I418" s="9">
        <v>232.0</v>
      </c>
      <c r="J418" s="47">
        <v>232.0</v>
      </c>
    </row>
    <row r="419" ht="12.75" customHeight="1">
      <c r="A419" s="42" t="s">
        <v>1193</v>
      </c>
      <c r="B419" s="21">
        <v>46174.0</v>
      </c>
      <c r="C419" s="9" t="s">
        <v>118</v>
      </c>
      <c r="D419" s="9" t="s">
        <v>152</v>
      </c>
      <c r="E419" s="9" t="s">
        <v>137</v>
      </c>
      <c r="F419" s="9" t="s">
        <v>121</v>
      </c>
      <c r="G419" s="9" t="s">
        <v>122</v>
      </c>
      <c r="H419" s="9" t="s">
        <v>146</v>
      </c>
      <c r="I419" s="9">
        <v>325.0</v>
      </c>
      <c r="J419" s="47">
        <v>325.0</v>
      </c>
    </row>
    <row r="420" ht="12.75" customHeight="1">
      <c r="A420" s="42" t="s">
        <v>1199</v>
      </c>
      <c r="B420" s="21">
        <v>46180.0</v>
      </c>
      <c r="C420" s="9" t="s">
        <v>118</v>
      </c>
      <c r="D420" s="9" t="s">
        <v>152</v>
      </c>
      <c r="E420" s="9" t="s">
        <v>137</v>
      </c>
      <c r="F420" s="9" t="s">
        <v>121</v>
      </c>
      <c r="G420" s="9" t="s">
        <v>122</v>
      </c>
      <c r="H420" s="9" t="s">
        <v>146</v>
      </c>
      <c r="I420" s="9">
        <v>325.0</v>
      </c>
      <c r="J420" s="47">
        <v>325.0</v>
      </c>
    </row>
    <row r="421" ht="12.75" customHeight="1">
      <c r="A421" s="42" t="s">
        <v>1207</v>
      </c>
      <c r="B421" s="21">
        <v>46187.0</v>
      </c>
      <c r="C421" s="9" t="s">
        <v>118</v>
      </c>
      <c r="D421" s="9" t="s">
        <v>152</v>
      </c>
      <c r="E421" s="9" t="s">
        <v>137</v>
      </c>
      <c r="F421" s="9" t="s">
        <v>121</v>
      </c>
      <c r="G421" s="9" t="s">
        <v>122</v>
      </c>
      <c r="H421" s="9" t="s">
        <v>146</v>
      </c>
      <c r="I421" s="9">
        <v>260.0</v>
      </c>
      <c r="J421" s="47">
        <v>260.0</v>
      </c>
    </row>
    <row r="422" ht="12.75" customHeight="1">
      <c r="A422" s="42" t="s">
        <v>1215</v>
      </c>
      <c r="B422" s="21">
        <v>46194.0</v>
      </c>
      <c r="C422" s="9" t="s">
        <v>118</v>
      </c>
      <c r="D422" s="9" t="s">
        <v>152</v>
      </c>
      <c r="E422" s="9" t="s">
        <v>137</v>
      </c>
      <c r="F422" s="9" t="s">
        <v>121</v>
      </c>
      <c r="G422" s="9" t="s">
        <v>122</v>
      </c>
      <c r="H422" s="9" t="s">
        <v>146</v>
      </c>
      <c r="I422" s="9">
        <v>325.0</v>
      </c>
      <c r="J422" s="47">
        <v>325.0</v>
      </c>
    </row>
    <row r="423" ht="12.75" customHeight="1">
      <c r="A423" s="42" t="s">
        <v>1223</v>
      </c>
      <c r="B423" s="21">
        <v>46201.0</v>
      </c>
      <c r="C423" s="9" t="s">
        <v>118</v>
      </c>
      <c r="D423" s="9" t="s">
        <v>152</v>
      </c>
      <c r="E423" s="9" t="s">
        <v>137</v>
      </c>
      <c r="F423" s="9" t="s">
        <v>121</v>
      </c>
      <c r="G423" s="9" t="s">
        <v>122</v>
      </c>
      <c r="H423" s="9" t="s">
        <v>146</v>
      </c>
      <c r="I423" s="9">
        <v>284.0</v>
      </c>
      <c r="J423" s="47">
        <v>284.0</v>
      </c>
    </row>
    <row r="424" ht="12.75" customHeight="1">
      <c r="A424" s="42" t="s">
        <v>1231</v>
      </c>
      <c r="B424" s="21">
        <v>46208.0</v>
      </c>
      <c r="C424" s="9" t="s">
        <v>118</v>
      </c>
      <c r="D424" s="9" t="s">
        <v>152</v>
      </c>
      <c r="E424" s="9" t="s">
        <v>137</v>
      </c>
      <c r="F424" s="9" t="s">
        <v>121</v>
      </c>
      <c r="G424" s="9" t="s">
        <v>122</v>
      </c>
      <c r="H424" s="9" t="s">
        <v>146</v>
      </c>
      <c r="I424" s="9">
        <v>385.0</v>
      </c>
      <c r="J424" s="47">
        <v>385.0</v>
      </c>
    </row>
    <row r="425" ht="12.75" customHeight="1">
      <c r="A425" s="42" t="s">
        <v>1239</v>
      </c>
      <c r="B425" s="21">
        <v>46215.0</v>
      </c>
      <c r="C425" s="9" t="s">
        <v>118</v>
      </c>
      <c r="D425" s="9" t="s">
        <v>152</v>
      </c>
      <c r="E425" s="9" t="s">
        <v>137</v>
      </c>
      <c r="F425" s="9" t="s">
        <v>121</v>
      </c>
      <c r="G425" s="9" t="s">
        <v>122</v>
      </c>
      <c r="H425" s="9" t="s">
        <v>146</v>
      </c>
      <c r="I425" s="9">
        <v>385.0</v>
      </c>
      <c r="J425" s="47">
        <v>385.0</v>
      </c>
    </row>
    <row r="426" ht="12.75" customHeight="1">
      <c r="A426" s="42" t="s">
        <v>1247</v>
      </c>
      <c r="B426" s="21">
        <v>46222.0</v>
      </c>
      <c r="C426" s="9" t="s">
        <v>118</v>
      </c>
      <c r="D426" s="9" t="s">
        <v>152</v>
      </c>
      <c r="E426" s="9" t="s">
        <v>137</v>
      </c>
      <c r="F426" s="9" t="s">
        <v>121</v>
      </c>
      <c r="G426" s="9" t="s">
        <v>122</v>
      </c>
      <c r="H426" s="9" t="s">
        <v>146</v>
      </c>
      <c r="I426" s="9">
        <v>385.0</v>
      </c>
      <c r="J426" s="47">
        <v>385.0</v>
      </c>
    </row>
    <row r="427" ht="12.75" customHeight="1">
      <c r="A427" s="42" t="s">
        <v>1255</v>
      </c>
      <c r="B427" s="21">
        <v>46229.0</v>
      </c>
      <c r="C427" s="9" t="s">
        <v>118</v>
      </c>
      <c r="D427" s="9" t="s">
        <v>152</v>
      </c>
      <c r="E427" s="9" t="s">
        <v>137</v>
      </c>
      <c r="F427" s="9" t="s">
        <v>121</v>
      </c>
      <c r="G427" s="9" t="s">
        <v>122</v>
      </c>
      <c r="H427" s="9" t="s">
        <v>146</v>
      </c>
      <c r="I427" s="9">
        <v>385.0</v>
      </c>
      <c r="J427" s="47">
        <v>385.0</v>
      </c>
    </row>
    <row r="428" ht="12.75" customHeight="1">
      <c r="A428" s="42" t="s">
        <v>1263</v>
      </c>
      <c r="B428" s="21">
        <v>46236.0</v>
      </c>
      <c r="C428" s="9" t="s">
        <v>118</v>
      </c>
      <c r="D428" s="9" t="s">
        <v>152</v>
      </c>
      <c r="E428" s="9" t="s">
        <v>137</v>
      </c>
      <c r="F428" s="9" t="s">
        <v>121</v>
      </c>
      <c r="G428" s="9" t="s">
        <v>122</v>
      </c>
      <c r="H428" s="9" t="s">
        <v>146</v>
      </c>
      <c r="I428" s="9">
        <v>455.0</v>
      </c>
      <c r="J428" s="47">
        <v>455.0</v>
      </c>
    </row>
    <row r="429" ht="12.75" customHeight="1">
      <c r="A429" s="42" t="s">
        <v>1271</v>
      </c>
      <c r="B429" s="21">
        <v>46243.0</v>
      </c>
      <c r="C429" s="9" t="s">
        <v>118</v>
      </c>
      <c r="D429" s="9" t="s">
        <v>152</v>
      </c>
      <c r="E429" s="9" t="s">
        <v>137</v>
      </c>
      <c r="F429" s="9" t="s">
        <v>121</v>
      </c>
      <c r="G429" s="9" t="s">
        <v>122</v>
      </c>
      <c r="H429" s="9" t="s">
        <v>146</v>
      </c>
      <c r="I429" s="9">
        <v>455.0</v>
      </c>
      <c r="J429" s="47">
        <v>455.0</v>
      </c>
    </row>
    <row r="430" ht="12.75" customHeight="1">
      <c r="A430" s="42" t="s">
        <v>1279</v>
      </c>
      <c r="B430" s="21">
        <v>46250.0</v>
      </c>
      <c r="C430" s="9" t="s">
        <v>118</v>
      </c>
      <c r="D430" s="9" t="s">
        <v>152</v>
      </c>
      <c r="E430" s="9" t="s">
        <v>137</v>
      </c>
      <c r="F430" s="9" t="s">
        <v>121</v>
      </c>
      <c r="G430" s="9" t="s">
        <v>122</v>
      </c>
      <c r="H430" s="9" t="s">
        <v>146</v>
      </c>
      <c r="I430" s="9">
        <v>455.0</v>
      </c>
      <c r="J430" s="47">
        <v>455.0</v>
      </c>
    </row>
    <row r="431" ht="12.75" customHeight="1">
      <c r="A431" s="42" t="s">
        <v>1287</v>
      </c>
      <c r="B431" s="21">
        <v>46257.0</v>
      </c>
      <c r="C431" s="9" t="s">
        <v>118</v>
      </c>
      <c r="D431" s="9" t="s">
        <v>152</v>
      </c>
      <c r="E431" s="9" t="s">
        <v>137</v>
      </c>
      <c r="F431" s="9" t="s">
        <v>121</v>
      </c>
      <c r="G431" s="9" t="s">
        <v>122</v>
      </c>
      <c r="H431" s="9" t="s">
        <v>146</v>
      </c>
      <c r="I431" s="9">
        <v>455.0</v>
      </c>
      <c r="J431" s="47">
        <v>455.0</v>
      </c>
    </row>
    <row r="432" ht="12.75" customHeight="1">
      <c r="A432" s="42" t="s">
        <v>1295</v>
      </c>
      <c r="B432" s="21">
        <v>46264.0</v>
      </c>
      <c r="C432" s="9" t="s">
        <v>118</v>
      </c>
      <c r="D432" s="9" t="s">
        <v>152</v>
      </c>
      <c r="E432" s="9" t="s">
        <v>137</v>
      </c>
      <c r="F432" s="9" t="s">
        <v>121</v>
      </c>
      <c r="G432" s="9" t="s">
        <v>122</v>
      </c>
      <c r="H432" s="9" t="s">
        <v>146</v>
      </c>
      <c r="I432" s="9">
        <v>499.0</v>
      </c>
      <c r="J432" s="47">
        <v>499.0</v>
      </c>
    </row>
    <row r="433" ht="12.75" customHeight="1">
      <c r="A433" s="42" t="s">
        <v>1303</v>
      </c>
      <c r="B433" s="21">
        <v>46271.0</v>
      </c>
      <c r="C433" s="9" t="s">
        <v>118</v>
      </c>
      <c r="D433" s="9" t="s">
        <v>152</v>
      </c>
      <c r="E433" s="9" t="s">
        <v>137</v>
      </c>
      <c r="F433" s="9" t="s">
        <v>121</v>
      </c>
      <c r="G433" s="9" t="s">
        <v>122</v>
      </c>
      <c r="H433" s="9" t="s">
        <v>146</v>
      </c>
      <c r="I433" s="9">
        <v>408.0</v>
      </c>
      <c r="J433" s="47">
        <v>408.0</v>
      </c>
    </row>
    <row r="434" ht="12.75" customHeight="1">
      <c r="A434" s="42" t="s">
        <v>1311</v>
      </c>
      <c r="B434" s="21">
        <v>46278.0</v>
      </c>
      <c r="C434" s="9" t="s">
        <v>118</v>
      </c>
      <c r="D434" s="9" t="s">
        <v>152</v>
      </c>
      <c r="E434" s="9" t="s">
        <v>137</v>
      </c>
      <c r="F434" s="9" t="s">
        <v>121</v>
      </c>
      <c r="G434" s="9" t="s">
        <v>122</v>
      </c>
      <c r="H434" s="9" t="s">
        <v>146</v>
      </c>
      <c r="I434" s="9">
        <v>510.0</v>
      </c>
      <c r="J434" s="47">
        <v>510.0</v>
      </c>
    </row>
    <row r="435" ht="12.75" customHeight="1">
      <c r="A435" s="42" t="s">
        <v>1319</v>
      </c>
      <c r="B435" s="21">
        <v>46285.0</v>
      </c>
      <c r="C435" s="9" t="s">
        <v>118</v>
      </c>
      <c r="D435" s="9" t="s">
        <v>152</v>
      </c>
      <c r="E435" s="9" t="s">
        <v>137</v>
      </c>
      <c r="F435" s="9" t="s">
        <v>121</v>
      </c>
      <c r="G435" s="9" t="s">
        <v>122</v>
      </c>
      <c r="H435" s="9" t="s">
        <v>146</v>
      </c>
      <c r="I435" s="9">
        <v>510.0</v>
      </c>
      <c r="J435" s="47">
        <v>510.0</v>
      </c>
    </row>
    <row r="436" ht="12.75" customHeight="1">
      <c r="A436" s="42" t="s">
        <v>1327</v>
      </c>
      <c r="B436" s="21">
        <v>46292.0</v>
      </c>
      <c r="C436" s="9" t="s">
        <v>118</v>
      </c>
      <c r="D436" s="9" t="s">
        <v>152</v>
      </c>
      <c r="E436" s="9" t="s">
        <v>137</v>
      </c>
      <c r="F436" s="9" t="s">
        <v>121</v>
      </c>
      <c r="G436" s="9" t="s">
        <v>122</v>
      </c>
      <c r="H436" s="9" t="s">
        <v>146</v>
      </c>
      <c r="I436" s="9">
        <v>526.0</v>
      </c>
      <c r="J436" s="47">
        <v>526.0</v>
      </c>
    </row>
    <row r="437" ht="12.75" customHeight="1">
      <c r="A437" s="42" t="s">
        <v>1335</v>
      </c>
      <c r="B437" s="21">
        <v>46299.0</v>
      </c>
      <c r="C437" s="9" t="s">
        <v>118</v>
      </c>
      <c r="D437" s="9" t="s">
        <v>152</v>
      </c>
      <c r="E437" s="9" t="s">
        <v>137</v>
      </c>
      <c r="F437" s="9" t="s">
        <v>121</v>
      </c>
      <c r="G437" s="9" t="s">
        <v>122</v>
      </c>
      <c r="H437" s="9" t="s">
        <v>146</v>
      </c>
      <c r="I437" s="9">
        <v>550.0</v>
      </c>
      <c r="J437" s="47">
        <v>550.0</v>
      </c>
    </row>
    <row r="438" ht="12.75" customHeight="1">
      <c r="A438" s="42" t="s">
        <v>1343</v>
      </c>
      <c r="B438" s="21">
        <v>46306.0</v>
      </c>
      <c r="C438" s="9" t="s">
        <v>118</v>
      </c>
      <c r="D438" s="9" t="s">
        <v>152</v>
      </c>
      <c r="E438" s="9" t="s">
        <v>137</v>
      </c>
      <c r="F438" s="9" t="s">
        <v>121</v>
      </c>
      <c r="G438" s="9" t="s">
        <v>122</v>
      </c>
      <c r="H438" s="9" t="s">
        <v>146</v>
      </c>
      <c r="I438" s="9">
        <v>440.0</v>
      </c>
      <c r="J438" s="47">
        <v>440.0</v>
      </c>
    </row>
    <row r="439" ht="12.75" customHeight="1">
      <c r="A439" s="42" t="s">
        <v>1351</v>
      </c>
      <c r="B439" s="21">
        <v>46313.0</v>
      </c>
      <c r="C439" s="9" t="s">
        <v>118</v>
      </c>
      <c r="D439" s="9" t="s">
        <v>152</v>
      </c>
      <c r="E439" s="9" t="s">
        <v>137</v>
      </c>
      <c r="F439" s="9" t="s">
        <v>121</v>
      </c>
      <c r="G439" s="9" t="s">
        <v>122</v>
      </c>
      <c r="H439" s="9" t="s">
        <v>146</v>
      </c>
      <c r="I439" s="9">
        <v>550.0</v>
      </c>
      <c r="J439" s="47">
        <v>550.0</v>
      </c>
    </row>
    <row r="440" ht="12.75" customHeight="1">
      <c r="A440" s="42" t="s">
        <v>1359</v>
      </c>
      <c r="B440" s="21">
        <v>46320.0</v>
      </c>
      <c r="C440" s="9" t="s">
        <v>118</v>
      </c>
      <c r="D440" s="9" t="s">
        <v>152</v>
      </c>
      <c r="E440" s="9" t="s">
        <v>137</v>
      </c>
      <c r="F440" s="9" t="s">
        <v>121</v>
      </c>
      <c r="G440" s="9" t="s">
        <v>122</v>
      </c>
      <c r="H440" s="9" t="s">
        <v>146</v>
      </c>
      <c r="I440" s="9">
        <v>550.0</v>
      </c>
      <c r="J440" s="47">
        <v>550.0</v>
      </c>
    </row>
    <row r="441" ht="12.75" customHeight="1">
      <c r="A441" s="42" t="s">
        <v>1367</v>
      </c>
      <c r="B441" s="21">
        <v>46327.0</v>
      </c>
      <c r="C441" s="9" t="s">
        <v>118</v>
      </c>
      <c r="D441" s="9" t="s">
        <v>152</v>
      </c>
      <c r="E441" s="9" t="s">
        <v>137</v>
      </c>
      <c r="F441" s="9" t="s">
        <v>121</v>
      </c>
      <c r="G441" s="9" t="s">
        <v>122</v>
      </c>
      <c r="H441" s="9" t="s">
        <v>146</v>
      </c>
      <c r="I441" s="9">
        <v>575.0</v>
      </c>
      <c r="J441" s="47">
        <v>575.0</v>
      </c>
    </row>
    <row r="442" ht="12.75" customHeight="1">
      <c r="A442" s="42" t="s">
        <v>1375</v>
      </c>
      <c r="B442" s="21">
        <v>46334.0</v>
      </c>
      <c r="C442" s="9" t="s">
        <v>118</v>
      </c>
      <c r="D442" s="9" t="s">
        <v>152</v>
      </c>
      <c r="E442" s="9" t="s">
        <v>137</v>
      </c>
      <c r="F442" s="9" t="s">
        <v>121</v>
      </c>
      <c r="G442" s="9" t="s">
        <v>122</v>
      </c>
      <c r="H442" s="9" t="s">
        <v>146</v>
      </c>
      <c r="I442" s="9">
        <v>460.0</v>
      </c>
      <c r="J442" s="47">
        <v>460.0</v>
      </c>
    </row>
    <row r="443" ht="12.75" customHeight="1">
      <c r="A443" s="42" t="s">
        <v>1383</v>
      </c>
      <c r="B443" s="21">
        <v>46341.0</v>
      </c>
      <c r="C443" s="9" t="s">
        <v>118</v>
      </c>
      <c r="D443" s="9" t="s">
        <v>152</v>
      </c>
      <c r="E443" s="9" t="s">
        <v>137</v>
      </c>
      <c r="F443" s="9" t="s">
        <v>121</v>
      </c>
      <c r="G443" s="9" t="s">
        <v>122</v>
      </c>
      <c r="H443" s="9" t="s">
        <v>146</v>
      </c>
      <c r="I443" s="9">
        <v>575.0</v>
      </c>
      <c r="J443" s="47">
        <v>575.0</v>
      </c>
    </row>
    <row r="444" ht="12.75" customHeight="1">
      <c r="A444" s="42" t="s">
        <v>1391</v>
      </c>
      <c r="B444" s="21">
        <v>46348.0</v>
      </c>
      <c r="C444" s="9" t="s">
        <v>118</v>
      </c>
      <c r="D444" s="9" t="s">
        <v>152</v>
      </c>
      <c r="E444" s="9" t="s">
        <v>137</v>
      </c>
      <c r="F444" s="9" t="s">
        <v>121</v>
      </c>
      <c r="G444" s="9" t="s">
        <v>122</v>
      </c>
      <c r="H444" s="9" t="s">
        <v>146</v>
      </c>
      <c r="I444" s="9">
        <v>345.0</v>
      </c>
      <c r="J444" s="47">
        <v>345.0</v>
      </c>
    </row>
    <row r="445" ht="12.75" customHeight="1">
      <c r="A445" s="42" t="s">
        <v>1399</v>
      </c>
      <c r="B445" s="21">
        <v>46355.0</v>
      </c>
      <c r="C445" s="9" t="s">
        <v>118</v>
      </c>
      <c r="D445" s="9" t="s">
        <v>152</v>
      </c>
      <c r="E445" s="9" t="s">
        <v>137</v>
      </c>
      <c r="F445" s="9" t="s">
        <v>121</v>
      </c>
      <c r="G445" s="9" t="s">
        <v>122</v>
      </c>
      <c r="H445" s="9" t="s">
        <v>146</v>
      </c>
      <c r="I445" s="9">
        <v>463.0</v>
      </c>
      <c r="J445" s="47">
        <v>463.0</v>
      </c>
    </row>
    <row r="446" ht="12.75" customHeight="1">
      <c r="A446" s="42" t="s">
        <v>1407</v>
      </c>
      <c r="B446" s="21">
        <v>46362.0</v>
      </c>
      <c r="C446" s="9" t="s">
        <v>118</v>
      </c>
      <c r="D446" s="9" t="s">
        <v>152</v>
      </c>
      <c r="E446" s="9" t="s">
        <v>137</v>
      </c>
      <c r="F446" s="9" t="s">
        <v>121</v>
      </c>
      <c r="G446" s="9" t="s">
        <v>122</v>
      </c>
      <c r="H446" s="9" t="s">
        <v>146</v>
      </c>
      <c r="I446" s="9">
        <v>435.0</v>
      </c>
      <c r="J446" s="47">
        <v>435.0</v>
      </c>
    </row>
    <row r="447" ht="12.75" customHeight="1">
      <c r="A447" s="42" t="s">
        <v>1415</v>
      </c>
      <c r="B447" s="21">
        <v>46369.0</v>
      </c>
      <c r="C447" s="9" t="s">
        <v>118</v>
      </c>
      <c r="D447" s="9" t="s">
        <v>152</v>
      </c>
      <c r="E447" s="9" t="s">
        <v>137</v>
      </c>
      <c r="F447" s="9" t="s">
        <v>121</v>
      </c>
      <c r="G447" s="9" t="s">
        <v>122</v>
      </c>
      <c r="H447" s="9" t="s">
        <v>146</v>
      </c>
      <c r="I447" s="9">
        <v>435.0</v>
      </c>
      <c r="J447" s="47">
        <v>435.0</v>
      </c>
    </row>
    <row r="448" ht="12.75" customHeight="1">
      <c r="A448" s="42" t="s">
        <v>1423</v>
      </c>
      <c r="B448" s="21">
        <v>46376.0</v>
      </c>
      <c r="C448" s="9" t="s">
        <v>118</v>
      </c>
      <c r="D448" s="9" t="s">
        <v>152</v>
      </c>
      <c r="E448" s="9" t="s">
        <v>137</v>
      </c>
      <c r="F448" s="9" t="s">
        <v>121</v>
      </c>
      <c r="G448" s="9" t="s">
        <v>122</v>
      </c>
      <c r="H448" s="9" t="s">
        <v>146</v>
      </c>
      <c r="I448" s="9">
        <v>348.0</v>
      </c>
      <c r="J448" s="47">
        <v>348.0</v>
      </c>
    </row>
    <row r="449" ht="12.75" customHeight="1">
      <c r="A449" s="42" t="s">
        <v>1431</v>
      </c>
      <c r="B449" s="21">
        <v>46383.0</v>
      </c>
      <c r="C449" s="9" t="s">
        <v>118</v>
      </c>
      <c r="D449" s="9" t="s">
        <v>152</v>
      </c>
      <c r="E449" s="9" t="s">
        <v>137</v>
      </c>
      <c r="F449" s="9" t="s">
        <v>121</v>
      </c>
      <c r="G449" s="9" t="s">
        <v>122</v>
      </c>
      <c r="H449" s="9" t="s">
        <v>146</v>
      </c>
      <c r="I449" s="9">
        <v>348.0</v>
      </c>
      <c r="J449" s="47">
        <v>348.0</v>
      </c>
    </row>
    <row r="450" ht="12.75" customHeight="1">
      <c r="A450" s="42" t="s">
        <v>1087</v>
      </c>
      <c r="B450" s="21">
        <v>46082.0</v>
      </c>
      <c r="C450" s="9" t="s">
        <v>118</v>
      </c>
      <c r="D450" s="9" t="s">
        <v>152</v>
      </c>
      <c r="E450" s="9" t="s">
        <v>137</v>
      </c>
      <c r="F450" s="9" t="s">
        <v>153</v>
      </c>
      <c r="G450" s="9" t="s">
        <v>122</v>
      </c>
      <c r="H450" s="9" t="s">
        <v>146</v>
      </c>
      <c r="I450" s="9">
        <v>135.0</v>
      </c>
      <c r="J450" s="47">
        <v>135.0</v>
      </c>
    </row>
    <row r="451" ht="12.75" customHeight="1">
      <c r="A451" s="42" t="s">
        <v>1095</v>
      </c>
      <c r="B451" s="21">
        <v>46089.0</v>
      </c>
      <c r="C451" s="9" t="s">
        <v>118</v>
      </c>
      <c r="D451" s="9" t="s">
        <v>152</v>
      </c>
      <c r="E451" s="9" t="s">
        <v>137</v>
      </c>
      <c r="F451" s="9" t="s">
        <v>153</v>
      </c>
      <c r="G451" s="9" t="s">
        <v>122</v>
      </c>
      <c r="H451" s="9" t="s">
        <v>146</v>
      </c>
      <c r="I451" s="9">
        <v>135.0</v>
      </c>
      <c r="J451" s="47">
        <v>135.0</v>
      </c>
    </row>
    <row r="452" ht="12.75" customHeight="1">
      <c r="A452" s="42" t="s">
        <v>1103</v>
      </c>
      <c r="B452" s="21">
        <v>46096.0</v>
      </c>
      <c r="C452" s="9" t="s">
        <v>118</v>
      </c>
      <c r="D452" s="9" t="s">
        <v>152</v>
      </c>
      <c r="E452" s="9" t="s">
        <v>137</v>
      </c>
      <c r="F452" s="9" t="s">
        <v>153</v>
      </c>
      <c r="G452" s="9" t="s">
        <v>122</v>
      </c>
      <c r="H452" s="9" t="s">
        <v>146</v>
      </c>
      <c r="I452" s="9">
        <v>135.0</v>
      </c>
      <c r="J452" s="47">
        <v>135.0</v>
      </c>
    </row>
    <row r="453" ht="12.75" customHeight="1">
      <c r="A453" s="42" t="s">
        <v>1111</v>
      </c>
      <c r="B453" s="21">
        <v>46103.0</v>
      </c>
      <c r="C453" s="9" t="s">
        <v>118</v>
      </c>
      <c r="D453" s="9" t="s">
        <v>152</v>
      </c>
      <c r="E453" s="9" t="s">
        <v>137</v>
      </c>
      <c r="F453" s="9" t="s">
        <v>153</v>
      </c>
      <c r="G453" s="9" t="s">
        <v>122</v>
      </c>
      <c r="H453" s="9" t="s">
        <v>146</v>
      </c>
      <c r="I453" s="9">
        <v>140.0</v>
      </c>
      <c r="J453" s="47">
        <v>140.0</v>
      </c>
    </row>
    <row r="454" ht="12.75" customHeight="1">
      <c r="A454" s="42" t="s">
        <v>1119</v>
      </c>
      <c r="B454" s="21">
        <v>46110.0</v>
      </c>
      <c r="C454" s="9" t="s">
        <v>118</v>
      </c>
      <c r="D454" s="9" t="s">
        <v>152</v>
      </c>
      <c r="E454" s="9" t="s">
        <v>137</v>
      </c>
      <c r="F454" s="9" t="s">
        <v>153</v>
      </c>
      <c r="G454" s="9" t="s">
        <v>122</v>
      </c>
      <c r="H454" s="9" t="s">
        <v>146</v>
      </c>
      <c r="I454" s="9">
        <v>170.0</v>
      </c>
      <c r="J454" s="47">
        <v>170.0</v>
      </c>
    </row>
    <row r="455" ht="12.75" customHeight="1">
      <c r="A455" s="42" t="s">
        <v>1127</v>
      </c>
      <c r="B455" s="21">
        <v>46117.0</v>
      </c>
      <c r="C455" s="9" t="s">
        <v>118</v>
      </c>
      <c r="D455" s="9" t="s">
        <v>152</v>
      </c>
      <c r="E455" s="9" t="s">
        <v>137</v>
      </c>
      <c r="F455" s="9" t="s">
        <v>153</v>
      </c>
      <c r="G455" s="9" t="s">
        <v>122</v>
      </c>
      <c r="H455" s="9" t="s">
        <v>146</v>
      </c>
      <c r="I455" s="9">
        <v>142.0</v>
      </c>
      <c r="J455" s="47">
        <v>142.0</v>
      </c>
    </row>
    <row r="456" ht="12.75" customHeight="1">
      <c r="A456" s="42" t="s">
        <v>1135</v>
      </c>
      <c r="B456" s="21">
        <v>46124.0</v>
      </c>
      <c r="C456" s="9" t="s">
        <v>118</v>
      </c>
      <c r="D456" s="9" t="s">
        <v>152</v>
      </c>
      <c r="E456" s="9" t="s">
        <v>137</v>
      </c>
      <c r="F456" s="9" t="s">
        <v>153</v>
      </c>
      <c r="G456" s="9" t="s">
        <v>122</v>
      </c>
      <c r="H456" s="9" t="s">
        <v>146</v>
      </c>
      <c r="I456" s="9">
        <v>142.0</v>
      </c>
      <c r="J456" s="47">
        <v>142.0</v>
      </c>
    </row>
    <row r="457" ht="12.75" customHeight="1">
      <c r="A457" s="42" t="s">
        <v>1143</v>
      </c>
      <c r="B457" s="21">
        <v>46131.0</v>
      </c>
      <c r="C457" s="9" t="s">
        <v>118</v>
      </c>
      <c r="D457" s="9" t="s">
        <v>152</v>
      </c>
      <c r="E457" s="9" t="s">
        <v>137</v>
      </c>
      <c r="F457" s="9" t="s">
        <v>153</v>
      </c>
      <c r="G457" s="9" t="s">
        <v>122</v>
      </c>
      <c r="H457" s="9" t="s">
        <v>146</v>
      </c>
      <c r="I457" s="9">
        <v>144.0</v>
      </c>
      <c r="J457" s="47">
        <v>144.0</v>
      </c>
    </row>
    <row r="458" ht="12.75" customHeight="1">
      <c r="A458" s="42" t="s">
        <v>1151</v>
      </c>
      <c r="B458" s="21">
        <v>46138.0</v>
      </c>
      <c r="C458" s="9" t="s">
        <v>118</v>
      </c>
      <c r="D458" s="9" t="s">
        <v>152</v>
      </c>
      <c r="E458" s="9" t="s">
        <v>137</v>
      </c>
      <c r="F458" s="9" t="s">
        <v>153</v>
      </c>
      <c r="G458" s="9" t="s">
        <v>122</v>
      </c>
      <c r="H458" s="9" t="s">
        <v>146</v>
      </c>
      <c r="I458" s="9">
        <v>187.0</v>
      </c>
      <c r="J458" s="47">
        <v>187.0</v>
      </c>
    </row>
    <row r="459" ht="12.75" customHeight="1">
      <c r="A459" s="42" t="s">
        <v>1159</v>
      </c>
      <c r="B459" s="21">
        <v>46145.0</v>
      </c>
      <c r="C459" s="9" t="s">
        <v>118</v>
      </c>
      <c r="D459" s="9" t="s">
        <v>152</v>
      </c>
      <c r="E459" s="9" t="s">
        <v>137</v>
      </c>
      <c r="F459" s="9" t="s">
        <v>153</v>
      </c>
      <c r="G459" s="9" t="s">
        <v>122</v>
      </c>
      <c r="H459" s="9" t="s">
        <v>146</v>
      </c>
      <c r="I459" s="9">
        <v>174.0</v>
      </c>
      <c r="J459" s="47">
        <v>174.0</v>
      </c>
    </row>
    <row r="460" ht="12.75" customHeight="1">
      <c r="A460" s="42" t="s">
        <v>1167</v>
      </c>
      <c r="B460" s="21">
        <v>46152.0</v>
      </c>
      <c r="C460" s="9" t="s">
        <v>118</v>
      </c>
      <c r="D460" s="9" t="s">
        <v>152</v>
      </c>
      <c r="E460" s="9" t="s">
        <v>137</v>
      </c>
      <c r="F460" s="9" t="s">
        <v>153</v>
      </c>
      <c r="G460" s="9" t="s">
        <v>122</v>
      </c>
      <c r="H460" s="9" t="s">
        <v>146</v>
      </c>
      <c r="I460" s="9">
        <v>177.0</v>
      </c>
      <c r="J460" s="47">
        <v>177.0</v>
      </c>
    </row>
    <row r="461" ht="12.75" customHeight="1">
      <c r="A461" s="42" t="s">
        <v>1175</v>
      </c>
      <c r="B461" s="21">
        <v>46159.0</v>
      </c>
      <c r="C461" s="9" t="s">
        <v>118</v>
      </c>
      <c r="D461" s="9" t="s">
        <v>152</v>
      </c>
      <c r="E461" s="9" t="s">
        <v>137</v>
      </c>
      <c r="F461" s="9" t="s">
        <v>153</v>
      </c>
      <c r="G461" s="9" t="s">
        <v>122</v>
      </c>
      <c r="H461" s="9" t="s">
        <v>146</v>
      </c>
      <c r="I461" s="9">
        <v>205.0</v>
      </c>
      <c r="J461" s="47">
        <v>205.0</v>
      </c>
    </row>
    <row r="462" ht="12.75" customHeight="1">
      <c r="A462" s="42" t="s">
        <v>1183</v>
      </c>
      <c r="B462" s="21">
        <v>46166.0</v>
      </c>
      <c r="C462" s="9" t="s">
        <v>118</v>
      </c>
      <c r="D462" s="9" t="s">
        <v>152</v>
      </c>
      <c r="E462" s="9" t="s">
        <v>137</v>
      </c>
      <c r="F462" s="9" t="s">
        <v>153</v>
      </c>
      <c r="G462" s="9" t="s">
        <v>122</v>
      </c>
      <c r="H462" s="9" t="s">
        <v>146</v>
      </c>
      <c r="I462" s="9">
        <v>222.0</v>
      </c>
      <c r="J462" s="47">
        <v>222.0</v>
      </c>
    </row>
    <row r="463" ht="12.75" customHeight="1">
      <c r="A463" s="42" t="s">
        <v>1193</v>
      </c>
      <c r="B463" s="21">
        <v>46174.0</v>
      </c>
      <c r="C463" s="9" t="s">
        <v>118</v>
      </c>
      <c r="D463" s="9" t="s">
        <v>152</v>
      </c>
      <c r="E463" s="9" t="s">
        <v>137</v>
      </c>
      <c r="F463" s="9" t="s">
        <v>153</v>
      </c>
      <c r="G463" s="9" t="s">
        <v>122</v>
      </c>
      <c r="H463" s="9" t="s">
        <v>146</v>
      </c>
      <c r="I463" s="9">
        <v>234.0</v>
      </c>
      <c r="J463" s="47">
        <v>234.0</v>
      </c>
    </row>
    <row r="464" ht="12.75" customHeight="1">
      <c r="A464" s="42" t="s">
        <v>1199</v>
      </c>
      <c r="B464" s="21">
        <v>46180.0</v>
      </c>
      <c r="C464" s="9" t="s">
        <v>118</v>
      </c>
      <c r="D464" s="9" t="s">
        <v>152</v>
      </c>
      <c r="E464" s="9" t="s">
        <v>137</v>
      </c>
      <c r="F464" s="9" t="s">
        <v>153</v>
      </c>
      <c r="G464" s="9" t="s">
        <v>122</v>
      </c>
      <c r="H464" s="9" t="s">
        <v>146</v>
      </c>
      <c r="I464" s="9">
        <v>236.0</v>
      </c>
      <c r="J464" s="47">
        <v>236.0</v>
      </c>
    </row>
    <row r="465" ht="12.75" customHeight="1">
      <c r="A465" s="42" t="s">
        <v>1207</v>
      </c>
      <c r="B465" s="21">
        <v>46187.0</v>
      </c>
      <c r="C465" s="9" t="s">
        <v>118</v>
      </c>
      <c r="D465" s="9" t="s">
        <v>152</v>
      </c>
      <c r="E465" s="9" t="s">
        <v>137</v>
      </c>
      <c r="F465" s="9" t="s">
        <v>153</v>
      </c>
      <c r="G465" s="9" t="s">
        <v>122</v>
      </c>
      <c r="H465" s="9" t="s">
        <v>146</v>
      </c>
      <c r="I465" s="9">
        <v>240.0</v>
      </c>
      <c r="J465" s="47">
        <v>240.0</v>
      </c>
    </row>
    <row r="466" ht="12.75" customHeight="1">
      <c r="A466" s="42" t="s">
        <v>1215</v>
      </c>
      <c r="B466" s="21">
        <v>46194.0</v>
      </c>
      <c r="C466" s="9" t="s">
        <v>118</v>
      </c>
      <c r="D466" s="9" t="s">
        <v>152</v>
      </c>
      <c r="E466" s="9" t="s">
        <v>137</v>
      </c>
      <c r="F466" s="9" t="s">
        <v>153</v>
      </c>
      <c r="G466" s="9" t="s">
        <v>122</v>
      </c>
      <c r="H466" s="9" t="s">
        <v>146</v>
      </c>
      <c r="I466" s="9">
        <v>239.0</v>
      </c>
      <c r="J466" s="47">
        <v>239.0</v>
      </c>
    </row>
    <row r="467" ht="12.75" customHeight="1">
      <c r="A467" s="42" t="s">
        <v>1223</v>
      </c>
      <c r="B467" s="21">
        <v>46201.0</v>
      </c>
      <c r="C467" s="9" t="s">
        <v>118</v>
      </c>
      <c r="D467" s="9" t="s">
        <v>152</v>
      </c>
      <c r="E467" s="9" t="s">
        <v>137</v>
      </c>
      <c r="F467" s="9" t="s">
        <v>153</v>
      </c>
      <c r="G467" s="9" t="s">
        <v>122</v>
      </c>
      <c r="H467" s="9" t="s">
        <v>146</v>
      </c>
      <c r="I467" s="9">
        <v>222.0</v>
      </c>
      <c r="J467" s="47">
        <v>222.0</v>
      </c>
    </row>
    <row r="468" ht="12.75" customHeight="1">
      <c r="A468" s="42" t="s">
        <v>1231</v>
      </c>
      <c r="B468" s="21">
        <v>46208.0</v>
      </c>
      <c r="C468" s="9" t="s">
        <v>118</v>
      </c>
      <c r="D468" s="9" t="s">
        <v>152</v>
      </c>
      <c r="E468" s="9" t="s">
        <v>137</v>
      </c>
      <c r="F468" s="9" t="s">
        <v>153</v>
      </c>
      <c r="G468" s="9" t="s">
        <v>122</v>
      </c>
      <c r="H468" s="9" t="s">
        <v>146</v>
      </c>
      <c r="I468" s="9">
        <v>221.0</v>
      </c>
      <c r="J468" s="47">
        <v>221.0</v>
      </c>
    </row>
    <row r="469" ht="12.75" customHeight="1">
      <c r="A469" s="42" t="s">
        <v>1239</v>
      </c>
      <c r="B469" s="21">
        <v>46215.0</v>
      </c>
      <c r="C469" s="9" t="s">
        <v>118</v>
      </c>
      <c r="D469" s="9" t="s">
        <v>152</v>
      </c>
      <c r="E469" s="9" t="s">
        <v>137</v>
      </c>
      <c r="F469" s="9" t="s">
        <v>153</v>
      </c>
      <c r="G469" s="9" t="s">
        <v>122</v>
      </c>
      <c r="H469" s="9" t="s">
        <v>146</v>
      </c>
      <c r="I469" s="9">
        <v>265.0</v>
      </c>
      <c r="J469" s="47">
        <v>265.0</v>
      </c>
    </row>
    <row r="470" ht="12.75" customHeight="1">
      <c r="A470" s="42" t="s">
        <v>1247</v>
      </c>
      <c r="B470" s="21">
        <v>46222.0</v>
      </c>
      <c r="C470" s="9" t="s">
        <v>118</v>
      </c>
      <c r="D470" s="9" t="s">
        <v>152</v>
      </c>
      <c r="E470" s="9" t="s">
        <v>137</v>
      </c>
      <c r="F470" s="9" t="s">
        <v>153</v>
      </c>
      <c r="G470" s="9" t="s">
        <v>122</v>
      </c>
      <c r="H470" s="9" t="s">
        <v>146</v>
      </c>
      <c r="I470" s="9">
        <v>259.0</v>
      </c>
      <c r="J470" s="47">
        <v>259.0</v>
      </c>
    </row>
    <row r="471" ht="12.75" customHeight="1">
      <c r="A471" s="42" t="s">
        <v>1255</v>
      </c>
      <c r="B471" s="21">
        <v>46229.0</v>
      </c>
      <c r="C471" s="9" t="s">
        <v>118</v>
      </c>
      <c r="D471" s="9" t="s">
        <v>152</v>
      </c>
      <c r="E471" s="9" t="s">
        <v>137</v>
      </c>
      <c r="F471" s="9" t="s">
        <v>153</v>
      </c>
      <c r="G471" s="9" t="s">
        <v>122</v>
      </c>
      <c r="H471" s="9" t="s">
        <v>146</v>
      </c>
      <c r="I471" s="9">
        <v>284.0</v>
      </c>
      <c r="J471" s="47">
        <v>284.0</v>
      </c>
    </row>
    <row r="472" ht="12.75" customHeight="1">
      <c r="A472" s="42" t="s">
        <v>1263</v>
      </c>
      <c r="B472" s="21">
        <v>46236.0</v>
      </c>
      <c r="C472" s="9" t="s">
        <v>118</v>
      </c>
      <c r="D472" s="9" t="s">
        <v>152</v>
      </c>
      <c r="E472" s="9" t="s">
        <v>137</v>
      </c>
      <c r="F472" s="9" t="s">
        <v>153</v>
      </c>
      <c r="G472" s="9" t="s">
        <v>122</v>
      </c>
      <c r="H472" s="9" t="s">
        <v>146</v>
      </c>
      <c r="I472" s="9">
        <v>273.0</v>
      </c>
      <c r="J472" s="47">
        <v>273.0</v>
      </c>
    </row>
    <row r="473" ht="12.75" customHeight="1">
      <c r="A473" s="42" t="s">
        <v>1271</v>
      </c>
      <c r="B473" s="21">
        <v>46243.0</v>
      </c>
      <c r="C473" s="9" t="s">
        <v>118</v>
      </c>
      <c r="D473" s="9" t="s">
        <v>152</v>
      </c>
      <c r="E473" s="9" t="s">
        <v>137</v>
      </c>
      <c r="F473" s="9" t="s">
        <v>153</v>
      </c>
      <c r="G473" s="9" t="s">
        <v>122</v>
      </c>
      <c r="H473" s="9" t="s">
        <v>146</v>
      </c>
      <c r="I473" s="9">
        <v>314.0</v>
      </c>
      <c r="J473" s="47">
        <v>314.0</v>
      </c>
    </row>
    <row r="474" ht="12.75" customHeight="1">
      <c r="A474" s="42" t="s">
        <v>1279</v>
      </c>
      <c r="B474" s="21">
        <v>46250.0</v>
      </c>
      <c r="C474" s="9" t="s">
        <v>118</v>
      </c>
      <c r="D474" s="9" t="s">
        <v>152</v>
      </c>
      <c r="E474" s="9" t="s">
        <v>137</v>
      </c>
      <c r="F474" s="9" t="s">
        <v>153</v>
      </c>
      <c r="G474" s="9" t="s">
        <v>122</v>
      </c>
      <c r="H474" s="9" t="s">
        <v>146</v>
      </c>
      <c r="I474" s="9">
        <v>292.0</v>
      </c>
      <c r="J474" s="47">
        <v>292.0</v>
      </c>
    </row>
    <row r="475" ht="12.75" customHeight="1">
      <c r="A475" s="42" t="s">
        <v>1287</v>
      </c>
      <c r="B475" s="21">
        <v>46257.0</v>
      </c>
      <c r="C475" s="9" t="s">
        <v>118</v>
      </c>
      <c r="D475" s="9" t="s">
        <v>152</v>
      </c>
      <c r="E475" s="9" t="s">
        <v>137</v>
      </c>
      <c r="F475" s="9" t="s">
        <v>153</v>
      </c>
      <c r="G475" s="9" t="s">
        <v>122</v>
      </c>
      <c r="H475" s="9" t="s">
        <v>146</v>
      </c>
      <c r="I475" s="9">
        <v>289.0</v>
      </c>
      <c r="J475" s="47">
        <v>289.0</v>
      </c>
    </row>
    <row r="476" ht="12.75" customHeight="1">
      <c r="A476" s="42" t="s">
        <v>1295</v>
      </c>
      <c r="B476" s="21">
        <v>46264.0</v>
      </c>
      <c r="C476" s="9" t="s">
        <v>118</v>
      </c>
      <c r="D476" s="9" t="s">
        <v>152</v>
      </c>
      <c r="E476" s="9" t="s">
        <v>137</v>
      </c>
      <c r="F476" s="9" t="s">
        <v>153</v>
      </c>
      <c r="G476" s="9" t="s">
        <v>122</v>
      </c>
      <c r="H476" s="9" t="s">
        <v>146</v>
      </c>
      <c r="I476" s="9">
        <v>332.0</v>
      </c>
      <c r="J476" s="47">
        <v>332.0</v>
      </c>
    </row>
    <row r="477" ht="12.75" customHeight="1">
      <c r="A477" s="42" t="s">
        <v>1303</v>
      </c>
      <c r="B477" s="21">
        <v>46271.0</v>
      </c>
      <c r="C477" s="9" t="s">
        <v>118</v>
      </c>
      <c r="D477" s="9" t="s">
        <v>152</v>
      </c>
      <c r="E477" s="9" t="s">
        <v>137</v>
      </c>
      <c r="F477" s="9" t="s">
        <v>153</v>
      </c>
      <c r="G477" s="9" t="s">
        <v>122</v>
      </c>
      <c r="H477" s="9" t="s">
        <v>146</v>
      </c>
      <c r="I477" s="9">
        <v>373.0</v>
      </c>
      <c r="J477" s="47">
        <v>373.0</v>
      </c>
    </row>
    <row r="478" ht="12.75" customHeight="1">
      <c r="A478" s="42" t="s">
        <v>1311</v>
      </c>
      <c r="B478" s="21">
        <v>46278.0</v>
      </c>
      <c r="C478" s="9" t="s">
        <v>118</v>
      </c>
      <c r="D478" s="9" t="s">
        <v>152</v>
      </c>
      <c r="E478" s="9" t="s">
        <v>137</v>
      </c>
      <c r="F478" s="9" t="s">
        <v>153</v>
      </c>
      <c r="G478" s="9" t="s">
        <v>122</v>
      </c>
      <c r="H478" s="9" t="s">
        <v>146</v>
      </c>
      <c r="I478" s="9">
        <v>337.0</v>
      </c>
      <c r="J478" s="47">
        <v>337.0</v>
      </c>
    </row>
    <row r="479" ht="12.75" customHeight="1">
      <c r="A479" s="42" t="s">
        <v>1319</v>
      </c>
      <c r="B479" s="21">
        <v>46285.0</v>
      </c>
      <c r="C479" s="9" t="s">
        <v>118</v>
      </c>
      <c r="D479" s="9" t="s">
        <v>152</v>
      </c>
      <c r="E479" s="9" t="s">
        <v>137</v>
      </c>
      <c r="F479" s="9" t="s">
        <v>153</v>
      </c>
      <c r="G479" s="9" t="s">
        <v>122</v>
      </c>
      <c r="H479" s="9" t="s">
        <v>146</v>
      </c>
      <c r="I479" s="9">
        <v>354.0</v>
      </c>
      <c r="J479" s="47">
        <v>354.0</v>
      </c>
    </row>
    <row r="480" ht="12.75" customHeight="1">
      <c r="A480" s="42" t="s">
        <v>1327</v>
      </c>
      <c r="B480" s="21">
        <v>46292.0</v>
      </c>
      <c r="C480" s="9" t="s">
        <v>118</v>
      </c>
      <c r="D480" s="9" t="s">
        <v>152</v>
      </c>
      <c r="E480" s="9" t="s">
        <v>137</v>
      </c>
      <c r="F480" s="9" t="s">
        <v>153</v>
      </c>
      <c r="G480" s="9" t="s">
        <v>122</v>
      </c>
      <c r="H480" s="9" t="s">
        <v>146</v>
      </c>
      <c r="I480" s="9">
        <v>335.0</v>
      </c>
      <c r="J480" s="47">
        <v>335.0</v>
      </c>
    </row>
    <row r="481" ht="12.75" customHeight="1">
      <c r="A481" s="42" t="s">
        <v>1335</v>
      </c>
      <c r="B481" s="21">
        <v>46299.0</v>
      </c>
      <c r="C481" s="9" t="s">
        <v>118</v>
      </c>
      <c r="D481" s="9" t="s">
        <v>152</v>
      </c>
      <c r="E481" s="9" t="s">
        <v>137</v>
      </c>
      <c r="F481" s="9" t="s">
        <v>153</v>
      </c>
      <c r="G481" s="9" t="s">
        <v>122</v>
      </c>
      <c r="H481" s="9" t="s">
        <v>146</v>
      </c>
      <c r="I481" s="9">
        <v>334.0</v>
      </c>
      <c r="J481" s="47">
        <v>334.0</v>
      </c>
    </row>
    <row r="482" ht="12.75" customHeight="1">
      <c r="A482" s="42" t="s">
        <v>1343</v>
      </c>
      <c r="B482" s="21">
        <v>46306.0</v>
      </c>
      <c r="C482" s="9" t="s">
        <v>118</v>
      </c>
      <c r="D482" s="9" t="s">
        <v>152</v>
      </c>
      <c r="E482" s="9" t="s">
        <v>137</v>
      </c>
      <c r="F482" s="9" t="s">
        <v>153</v>
      </c>
      <c r="G482" s="9" t="s">
        <v>122</v>
      </c>
      <c r="H482" s="9" t="s">
        <v>146</v>
      </c>
      <c r="I482" s="9">
        <v>338.0</v>
      </c>
      <c r="J482" s="47">
        <v>338.0</v>
      </c>
    </row>
    <row r="483" ht="12.75" customHeight="1">
      <c r="A483" s="42" t="s">
        <v>1351</v>
      </c>
      <c r="B483" s="21">
        <v>46313.0</v>
      </c>
      <c r="C483" s="9" t="s">
        <v>118</v>
      </c>
      <c r="D483" s="9" t="s">
        <v>152</v>
      </c>
      <c r="E483" s="9" t="s">
        <v>137</v>
      </c>
      <c r="F483" s="9" t="s">
        <v>153</v>
      </c>
      <c r="G483" s="9" t="s">
        <v>122</v>
      </c>
      <c r="H483" s="9" t="s">
        <v>146</v>
      </c>
      <c r="I483" s="9">
        <v>349.0</v>
      </c>
      <c r="J483" s="47">
        <v>349.0</v>
      </c>
    </row>
    <row r="484" ht="12.75" customHeight="1">
      <c r="A484" s="42" t="s">
        <v>1359</v>
      </c>
      <c r="B484" s="21">
        <v>46320.0</v>
      </c>
      <c r="C484" s="9" t="s">
        <v>118</v>
      </c>
      <c r="D484" s="9" t="s">
        <v>152</v>
      </c>
      <c r="E484" s="9" t="s">
        <v>137</v>
      </c>
      <c r="F484" s="9" t="s">
        <v>153</v>
      </c>
      <c r="G484" s="9" t="s">
        <v>122</v>
      </c>
      <c r="H484" s="9" t="s">
        <v>146</v>
      </c>
      <c r="I484" s="9">
        <v>354.0</v>
      </c>
      <c r="J484" s="47">
        <v>354.0</v>
      </c>
    </row>
    <row r="485" ht="12.75" customHeight="1">
      <c r="A485" s="42" t="s">
        <v>1367</v>
      </c>
      <c r="B485" s="21">
        <v>46327.0</v>
      </c>
      <c r="C485" s="9" t="s">
        <v>118</v>
      </c>
      <c r="D485" s="9" t="s">
        <v>152</v>
      </c>
      <c r="E485" s="9" t="s">
        <v>137</v>
      </c>
      <c r="F485" s="9" t="s">
        <v>153</v>
      </c>
      <c r="G485" s="9" t="s">
        <v>122</v>
      </c>
      <c r="H485" s="9" t="s">
        <v>146</v>
      </c>
      <c r="I485" s="9">
        <v>323.0</v>
      </c>
      <c r="J485" s="47">
        <v>323.0</v>
      </c>
    </row>
    <row r="486" ht="12.75" customHeight="1">
      <c r="A486" s="42" t="s">
        <v>1375</v>
      </c>
      <c r="B486" s="21">
        <v>46334.0</v>
      </c>
      <c r="C486" s="9" t="s">
        <v>118</v>
      </c>
      <c r="D486" s="9" t="s">
        <v>152</v>
      </c>
      <c r="E486" s="9" t="s">
        <v>137</v>
      </c>
      <c r="F486" s="9" t="s">
        <v>153</v>
      </c>
      <c r="G486" s="9" t="s">
        <v>122</v>
      </c>
      <c r="H486" s="9" t="s">
        <v>146</v>
      </c>
      <c r="I486" s="9">
        <v>316.0</v>
      </c>
      <c r="J486" s="47">
        <v>316.0</v>
      </c>
    </row>
    <row r="487" ht="12.75" customHeight="1">
      <c r="A487" s="42" t="s">
        <v>1383</v>
      </c>
      <c r="B487" s="21">
        <v>46341.0</v>
      </c>
      <c r="C487" s="9" t="s">
        <v>118</v>
      </c>
      <c r="D487" s="9" t="s">
        <v>152</v>
      </c>
      <c r="E487" s="9" t="s">
        <v>137</v>
      </c>
      <c r="F487" s="9" t="s">
        <v>153</v>
      </c>
      <c r="G487" s="9" t="s">
        <v>122</v>
      </c>
      <c r="H487" s="9" t="s">
        <v>146</v>
      </c>
      <c r="I487" s="9">
        <v>341.0</v>
      </c>
      <c r="J487" s="47">
        <v>341.0</v>
      </c>
    </row>
    <row r="488" ht="12.75" customHeight="1">
      <c r="A488" s="42" t="s">
        <v>1391</v>
      </c>
      <c r="B488" s="21">
        <v>46348.0</v>
      </c>
      <c r="C488" s="9" t="s">
        <v>118</v>
      </c>
      <c r="D488" s="9" t="s">
        <v>152</v>
      </c>
      <c r="E488" s="9" t="s">
        <v>137</v>
      </c>
      <c r="F488" s="9" t="s">
        <v>153</v>
      </c>
      <c r="G488" s="9" t="s">
        <v>122</v>
      </c>
      <c r="H488" s="9" t="s">
        <v>146</v>
      </c>
      <c r="I488" s="9">
        <v>329.0</v>
      </c>
      <c r="J488" s="47">
        <v>329.0</v>
      </c>
    </row>
    <row r="489" ht="12.75" customHeight="1">
      <c r="A489" s="42" t="s">
        <v>1399</v>
      </c>
      <c r="B489" s="21">
        <v>46355.0</v>
      </c>
      <c r="C489" s="9" t="s">
        <v>118</v>
      </c>
      <c r="D489" s="9" t="s">
        <v>152</v>
      </c>
      <c r="E489" s="9" t="s">
        <v>137</v>
      </c>
      <c r="F489" s="9" t="s">
        <v>153</v>
      </c>
      <c r="G489" s="9" t="s">
        <v>122</v>
      </c>
      <c r="H489" s="9" t="s">
        <v>146</v>
      </c>
      <c r="I489" s="9">
        <v>314.0</v>
      </c>
      <c r="J489" s="47">
        <v>314.0</v>
      </c>
    </row>
    <row r="490" ht="12.75" customHeight="1">
      <c r="A490" s="42" t="s">
        <v>1407</v>
      </c>
      <c r="B490" s="21">
        <v>46362.0</v>
      </c>
      <c r="C490" s="9" t="s">
        <v>118</v>
      </c>
      <c r="D490" s="9" t="s">
        <v>152</v>
      </c>
      <c r="E490" s="9" t="s">
        <v>137</v>
      </c>
      <c r="F490" s="9" t="s">
        <v>153</v>
      </c>
      <c r="G490" s="9" t="s">
        <v>122</v>
      </c>
      <c r="H490" s="9" t="s">
        <v>146</v>
      </c>
      <c r="I490" s="9">
        <v>323.0</v>
      </c>
      <c r="J490" s="47">
        <v>323.0</v>
      </c>
    </row>
    <row r="491" ht="12.75" customHeight="1">
      <c r="A491" s="42" t="s">
        <v>1415</v>
      </c>
      <c r="B491" s="21">
        <v>46369.0</v>
      </c>
      <c r="C491" s="9" t="s">
        <v>118</v>
      </c>
      <c r="D491" s="9" t="s">
        <v>152</v>
      </c>
      <c r="E491" s="9" t="s">
        <v>137</v>
      </c>
      <c r="F491" s="9" t="s">
        <v>153</v>
      </c>
      <c r="G491" s="9" t="s">
        <v>122</v>
      </c>
      <c r="H491" s="9" t="s">
        <v>146</v>
      </c>
      <c r="I491" s="9">
        <v>297.0</v>
      </c>
      <c r="J491" s="47">
        <v>297.0</v>
      </c>
    </row>
    <row r="492" ht="12.75" customHeight="1">
      <c r="A492" s="42" t="s">
        <v>1423</v>
      </c>
      <c r="B492" s="21">
        <v>46376.0</v>
      </c>
      <c r="C492" s="9" t="s">
        <v>118</v>
      </c>
      <c r="D492" s="9" t="s">
        <v>152</v>
      </c>
      <c r="E492" s="9" t="s">
        <v>137</v>
      </c>
      <c r="F492" s="9" t="s">
        <v>153</v>
      </c>
      <c r="G492" s="9" t="s">
        <v>122</v>
      </c>
      <c r="H492" s="9" t="s">
        <v>146</v>
      </c>
      <c r="I492" s="9">
        <v>283.0</v>
      </c>
      <c r="J492" s="47">
        <v>283.0</v>
      </c>
    </row>
    <row r="493" ht="12.75" customHeight="1">
      <c r="A493" s="42" t="s">
        <v>1431</v>
      </c>
      <c r="B493" s="21">
        <v>46383.0</v>
      </c>
      <c r="C493" s="9" t="s">
        <v>118</v>
      </c>
      <c r="D493" s="9" t="s">
        <v>152</v>
      </c>
      <c r="E493" s="9" t="s">
        <v>137</v>
      </c>
      <c r="F493" s="9" t="s">
        <v>153</v>
      </c>
      <c r="G493" s="9" t="s">
        <v>122</v>
      </c>
      <c r="H493" s="9" t="s">
        <v>146</v>
      </c>
      <c r="I493" s="9">
        <v>244.0</v>
      </c>
      <c r="J493" s="47">
        <v>244.0</v>
      </c>
    </row>
    <row r="494" ht="12.75" customHeight="1">
      <c r="A494" s="42" t="s">
        <v>1087</v>
      </c>
      <c r="B494" s="21">
        <v>46082.0</v>
      </c>
      <c r="C494" s="9" t="s">
        <v>118</v>
      </c>
      <c r="D494" s="9" t="s">
        <v>152</v>
      </c>
      <c r="E494" s="9" t="s">
        <v>130</v>
      </c>
      <c r="G494" s="9" t="s">
        <v>122</v>
      </c>
      <c r="H494" s="9" t="s">
        <v>146</v>
      </c>
      <c r="I494" s="9">
        <v>155.0</v>
      </c>
      <c r="J494" s="47">
        <v>155.0</v>
      </c>
    </row>
    <row r="495" ht="12.75" customHeight="1">
      <c r="A495" s="42" t="s">
        <v>1095</v>
      </c>
      <c r="B495" s="21">
        <v>46089.0</v>
      </c>
      <c r="C495" s="9" t="s">
        <v>118</v>
      </c>
      <c r="D495" s="9" t="s">
        <v>152</v>
      </c>
      <c r="E495" s="9" t="s">
        <v>130</v>
      </c>
      <c r="G495" s="9" t="s">
        <v>122</v>
      </c>
      <c r="H495" s="9" t="s">
        <v>146</v>
      </c>
      <c r="I495" s="9">
        <v>160.0</v>
      </c>
      <c r="J495" s="47">
        <v>160.0</v>
      </c>
    </row>
    <row r="496" ht="12.75" customHeight="1">
      <c r="A496" s="42" t="s">
        <v>1087</v>
      </c>
      <c r="B496" s="21">
        <v>46082.0</v>
      </c>
      <c r="C496" s="9" t="s">
        <v>118</v>
      </c>
      <c r="D496" s="9" t="s">
        <v>119</v>
      </c>
      <c r="E496" s="9" t="s">
        <v>120</v>
      </c>
      <c r="F496" s="9" t="s">
        <v>123</v>
      </c>
      <c r="G496" s="9" t="s">
        <v>122</v>
      </c>
      <c r="I496" s="9">
        <v>8321.0</v>
      </c>
      <c r="J496" s="47">
        <v>8321.0</v>
      </c>
    </row>
    <row r="497" ht="12.75" customHeight="1">
      <c r="A497" s="42" t="s">
        <v>1095</v>
      </c>
      <c r="B497" s="21">
        <v>46089.0</v>
      </c>
      <c r="C497" s="9" t="s">
        <v>118</v>
      </c>
      <c r="D497" s="9" t="s">
        <v>119</v>
      </c>
      <c r="E497" s="9" t="s">
        <v>120</v>
      </c>
      <c r="F497" s="9" t="s">
        <v>123</v>
      </c>
      <c r="G497" s="9" t="s">
        <v>122</v>
      </c>
      <c r="I497" s="9">
        <v>8396.0</v>
      </c>
      <c r="J497" s="47">
        <v>8396.0</v>
      </c>
    </row>
    <row r="498" ht="12.75" customHeight="1">
      <c r="A498" s="42" t="s">
        <v>1103</v>
      </c>
      <c r="B498" s="21">
        <v>46096.0</v>
      </c>
      <c r="C498" s="9" t="s">
        <v>118</v>
      </c>
      <c r="D498" s="9" t="s">
        <v>119</v>
      </c>
      <c r="E498" s="9" t="s">
        <v>120</v>
      </c>
      <c r="F498" s="9" t="s">
        <v>123</v>
      </c>
      <c r="G498" s="9" t="s">
        <v>122</v>
      </c>
      <c r="I498" s="9">
        <v>8471.0</v>
      </c>
      <c r="J498" s="47">
        <v>8471.0</v>
      </c>
    </row>
    <row r="499" ht="12.75" customHeight="1">
      <c r="A499" s="42" t="s">
        <v>1111</v>
      </c>
      <c r="B499" s="21">
        <v>46103.0</v>
      </c>
      <c r="C499" s="9" t="s">
        <v>118</v>
      </c>
      <c r="D499" s="9" t="s">
        <v>119</v>
      </c>
      <c r="E499" s="9" t="s">
        <v>120</v>
      </c>
      <c r="F499" s="9" t="s">
        <v>123</v>
      </c>
      <c r="G499" s="9" t="s">
        <v>122</v>
      </c>
      <c r="I499" s="9">
        <v>8546.0</v>
      </c>
      <c r="J499" s="47">
        <v>8546.0</v>
      </c>
    </row>
    <row r="500" ht="12.75" customHeight="1">
      <c r="A500" s="42" t="s">
        <v>1119</v>
      </c>
      <c r="B500" s="21">
        <v>46110.0</v>
      </c>
      <c r="C500" s="9" t="s">
        <v>118</v>
      </c>
      <c r="D500" s="9" t="s">
        <v>119</v>
      </c>
      <c r="E500" s="9" t="s">
        <v>120</v>
      </c>
      <c r="F500" s="9" t="s">
        <v>123</v>
      </c>
      <c r="G500" s="9" t="s">
        <v>122</v>
      </c>
      <c r="I500" s="9">
        <v>8681.0</v>
      </c>
      <c r="J500" s="47">
        <v>8681.0</v>
      </c>
    </row>
    <row r="501" ht="12.75" customHeight="1">
      <c r="A501" s="42" t="s">
        <v>1127</v>
      </c>
      <c r="B501" s="21">
        <v>46117.0</v>
      </c>
      <c r="C501" s="9" t="s">
        <v>118</v>
      </c>
      <c r="D501" s="9" t="s">
        <v>119</v>
      </c>
      <c r="E501" s="9" t="s">
        <v>120</v>
      </c>
      <c r="F501" s="9" t="s">
        <v>123</v>
      </c>
      <c r="G501" s="9" t="s">
        <v>122</v>
      </c>
      <c r="I501" s="9">
        <v>8856.0</v>
      </c>
      <c r="J501" s="47">
        <v>8856.0</v>
      </c>
    </row>
    <row r="502" ht="12.75" customHeight="1">
      <c r="A502" s="42" t="s">
        <v>1135</v>
      </c>
      <c r="B502" s="21">
        <v>46124.0</v>
      </c>
      <c r="C502" s="9" t="s">
        <v>118</v>
      </c>
      <c r="D502" s="9" t="s">
        <v>119</v>
      </c>
      <c r="E502" s="9" t="s">
        <v>120</v>
      </c>
      <c r="F502" s="9" t="s">
        <v>123</v>
      </c>
      <c r="G502" s="9" t="s">
        <v>122</v>
      </c>
      <c r="I502" s="9">
        <v>9031.0</v>
      </c>
      <c r="J502" s="47">
        <v>9031.0</v>
      </c>
    </row>
    <row r="503" ht="12.75" customHeight="1">
      <c r="A503" s="42" t="s">
        <v>1143</v>
      </c>
      <c r="B503" s="21">
        <v>46131.0</v>
      </c>
      <c r="C503" s="9" t="s">
        <v>118</v>
      </c>
      <c r="D503" s="9" t="s">
        <v>119</v>
      </c>
      <c r="E503" s="9" t="s">
        <v>120</v>
      </c>
      <c r="F503" s="9" t="s">
        <v>123</v>
      </c>
      <c r="G503" s="9" t="s">
        <v>122</v>
      </c>
      <c r="I503" s="9">
        <v>9206.0</v>
      </c>
      <c r="J503" s="47">
        <v>9206.0</v>
      </c>
    </row>
    <row r="504" ht="12.75" customHeight="1">
      <c r="A504" s="42" t="s">
        <v>1151</v>
      </c>
      <c r="B504" s="21">
        <v>46138.0</v>
      </c>
      <c r="C504" s="9" t="s">
        <v>118</v>
      </c>
      <c r="D504" s="9" t="s">
        <v>119</v>
      </c>
      <c r="E504" s="9" t="s">
        <v>120</v>
      </c>
      <c r="F504" s="9" t="s">
        <v>123</v>
      </c>
      <c r="G504" s="9" t="s">
        <v>122</v>
      </c>
      <c r="I504" s="9">
        <v>9402.0</v>
      </c>
      <c r="J504" s="47">
        <v>9402.0</v>
      </c>
    </row>
    <row r="505" ht="12.75" customHeight="1">
      <c r="A505" s="42" t="s">
        <v>1159</v>
      </c>
      <c r="B505" s="21">
        <v>46145.0</v>
      </c>
      <c r="C505" s="9" t="s">
        <v>118</v>
      </c>
      <c r="D505" s="9" t="s">
        <v>119</v>
      </c>
      <c r="E505" s="9" t="s">
        <v>120</v>
      </c>
      <c r="F505" s="9" t="s">
        <v>123</v>
      </c>
      <c r="G505" s="9" t="s">
        <v>122</v>
      </c>
      <c r="I505" s="9">
        <v>9682.0</v>
      </c>
      <c r="J505" s="47">
        <v>9682.0</v>
      </c>
    </row>
    <row r="506" ht="12.75" customHeight="1">
      <c r="A506" s="42" t="s">
        <v>1167</v>
      </c>
      <c r="B506" s="21">
        <v>46152.0</v>
      </c>
      <c r="C506" s="9" t="s">
        <v>118</v>
      </c>
      <c r="D506" s="9" t="s">
        <v>119</v>
      </c>
      <c r="E506" s="9" t="s">
        <v>120</v>
      </c>
      <c r="F506" s="9" t="s">
        <v>123</v>
      </c>
      <c r="G506" s="9" t="s">
        <v>122</v>
      </c>
      <c r="I506" s="9">
        <v>9962.0</v>
      </c>
      <c r="J506" s="47">
        <v>9962.0</v>
      </c>
    </row>
    <row r="507" ht="12.75" customHeight="1">
      <c r="A507" s="42" t="s">
        <v>1175</v>
      </c>
      <c r="B507" s="21">
        <v>46159.0</v>
      </c>
      <c r="C507" s="9" t="s">
        <v>118</v>
      </c>
      <c r="D507" s="9" t="s">
        <v>119</v>
      </c>
      <c r="E507" s="9" t="s">
        <v>120</v>
      </c>
      <c r="F507" s="9" t="s">
        <v>123</v>
      </c>
      <c r="G507" s="9" t="s">
        <v>122</v>
      </c>
      <c r="I507" s="9">
        <v>10242.0</v>
      </c>
      <c r="J507" s="47">
        <v>10242.0</v>
      </c>
    </row>
    <row r="508" ht="12.75" customHeight="1">
      <c r="A508" s="42" t="s">
        <v>1183</v>
      </c>
      <c r="B508" s="21">
        <v>46166.0</v>
      </c>
      <c r="C508" s="9" t="s">
        <v>118</v>
      </c>
      <c r="D508" s="9" t="s">
        <v>119</v>
      </c>
      <c r="E508" s="9" t="s">
        <v>120</v>
      </c>
      <c r="F508" s="9" t="s">
        <v>123</v>
      </c>
      <c r="G508" s="9" t="s">
        <v>122</v>
      </c>
      <c r="I508" s="9">
        <v>10466.0</v>
      </c>
      <c r="J508" s="47">
        <v>10466.0</v>
      </c>
    </row>
    <row r="509" ht="12.75" customHeight="1">
      <c r="A509" s="42" t="s">
        <v>1193</v>
      </c>
      <c r="B509" s="21">
        <v>46174.0</v>
      </c>
      <c r="C509" s="9" t="s">
        <v>118</v>
      </c>
      <c r="D509" s="9" t="s">
        <v>119</v>
      </c>
      <c r="E509" s="9" t="s">
        <v>120</v>
      </c>
      <c r="F509" s="9" t="s">
        <v>123</v>
      </c>
      <c r="G509" s="9" t="s">
        <v>122</v>
      </c>
      <c r="I509" s="9">
        <v>10781.0</v>
      </c>
      <c r="J509" s="47">
        <v>10781.0</v>
      </c>
    </row>
    <row r="510" ht="12.75" customHeight="1">
      <c r="A510" s="42" t="s">
        <v>1199</v>
      </c>
      <c r="B510" s="21">
        <v>46180.0</v>
      </c>
      <c r="C510" s="9" t="s">
        <v>118</v>
      </c>
      <c r="D510" s="9" t="s">
        <v>119</v>
      </c>
      <c r="E510" s="9" t="s">
        <v>120</v>
      </c>
      <c r="F510" s="9" t="s">
        <v>123</v>
      </c>
      <c r="G510" s="9" t="s">
        <v>122</v>
      </c>
      <c r="I510" s="9">
        <v>11096.0</v>
      </c>
      <c r="J510" s="47">
        <v>11096.0</v>
      </c>
    </row>
    <row r="511" ht="12.75" customHeight="1">
      <c r="A511" s="42" t="s">
        <v>1207</v>
      </c>
      <c r="B511" s="21">
        <v>46187.0</v>
      </c>
      <c r="C511" s="9" t="s">
        <v>118</v>
      </c>
      <c r="D511" s="9" t="s">
        <v>119</v>
      </c>
      <c r="E511" s="9" t="s">
        <v>120</v>
      </c>
      <c r="F511" s="9" t="s">
        <v>123</v>
      </c>
      <c r="G511" s="9" t="s">
        <v>122</v>
      </c>
      <c r="I511" s="9">
        <v>11348.0</v>
      </c>
      <c r="J511" s="47">
        <v>11348.0</v>
      </c>
    </row>
    <row r="512" ht="12.75" customHeight="1">
      <c r="A512" s="42" t="s">
        <v>1215</v>
      </c>
      <c r="B512" s="21">
        <v>46194.0</v>
      </c>
      <c r="C512" s="9" t="s">
        <v>118</v>
      </c>
      <c r="D512" s="9" t="s">
        <v>119</v>
      </c>
      <c r="E512" s="9" t="s">
        <v>120</v>
      </c>
      <c r="F512" s="9" t="s">
        <v>123</v>
      </c>
      <c r="G512" s="9" t="s">
        <v>122</v>
      </c>
      <c r="I512" s="9">
        <v>11663.0</v>
      </c>
      <c r="J512" s="47">
        <v>11663.0</v>
      </c>
    </row>
    <row r="513" ht="12.75" customHeight="1">
      <c r="A513" s="42" t="s">
        <v>1223</v>
      </c>
      <c r="B513" s="21">
        <v>46201.0</v>
      </c>
      <c r="C513" s="9" t="s">
        <v>118</v>
      </c>
      <c r="D513" s="9" t="s">
        <v>119</v>
      </c>
      <c r="E513" s="9" t="s">
        <v>120</v>
      </c>
      <c r="F513" s="9" t="s">
        <v>123</v>
      </c>
      <c r="G513" s="9" t="s">
        <v>122</v>
      </c>
      <c r="I513" s="9">
        <v>11935.0</v>
      </c>
      <c r="J513" s="47">
        <v>11935.0</v>
      </c>
    </row>
    <row r="514" ht="12.75" customHeight="1">
      <c r="A514" s="42" t="s">
        <v>1231</v>
      </c>
      <c r="B514" s="21">
        <v>46208.0</v>
      </c>
      <c r="C514" s="9" t="s">
        <v>118</v>
      </c>
      <c r="D514" s="9" t="s">
        <v>119</v>
      </c>
      <c r="E514" s="9" t="s">
        <v>120</v>
      </c>
      <c r="F514" s="9" t="s">
        <v>123</v>
      </c>
      <c r="G514" s="9" t="s">
        <v>122</v>
      </c>
      <c r="I514" s="9">
        <v>12300.0</v>
      </c>
      <c r="J514" s="47">
        <v>12300.0</v>
      </c>
    </row>
    <row r="515" ht="12.75" customHeight="1">
      <c r="A515" s="42" t="s">
        <v>1239</v>
      </c>
      <c r="B515" s="21">
        <v>46215.0</v>
      </c>
      <c r="C515" s="9" t="s">
        <v>118</v>
      </c>
      <c r="D515" s="9" t="s">
        <v>119</v>
      </c>
      <c r="E515" s="9" t="s">
        <v>120</v>
      </c>
      <c r="F515" s="9" t="s">
        <v>123</v>
      </c>
      <c r="G515" s="9" t="s">
        <v>122</v>
      </c>
      <c r="I515" s="9">
        <v>12665.0</v>
      </c>
      <c r="J515" s="47">
        <v>12665.0</v>
      </c>
    </row>
    <row r="516" ht="12.75" customHeight="1">
      <c r="A516" s="42" t="s">
        <v>1247</v>
      </c>
      <c r="B516" s="21">
        <v>46222.0</v>
      </c>
      <c r="C516" s="9" t="s">
        <v>118</v>
      </c>
      <c r="D516" s="9" t="s">
        <v>119</v>
      </c>
      <c r="E516" s="9" t="s">
        <v>120</v>
      </c>
      <c r="F516" s="9" t="s">
        <v>123</v>
      </c>
      <c r="G516" s="9" t="s">
        <v>122</v>
      </c>
      <c r="I516" s="9">
        <v>13030.0</v>
      </c>
      <c r="J516" s="47">
        <v>13030.0</v>
      </c>
    </row>
    <row r="517" ht="12.75" customHeight="1">
      <c r="A517" s="42" t="s">
        <v>1255</v>
      </c>
      <c r="B517" s="21">
        <v>46229.0</v>
      </c>
      <c r="C517" s="9" t="s">
        <v>118</v>
      </c>
      <c r="D517" s="9" t="s">
        <v>119</v>
      </c>
      <c r="E517" s="9" t="s">
        <v>120</v>
      </c>
      <c r="F517" s="9" t="s">
        <v>123</v>
      </c>
      <c r="G517" s="9" t="s">
        <v>122</v>
      </c>
      <c r="I517" s="9">
        <v>13395.0</v>
      </c>
      <c r="J517" s="47">
        <v>13395.0</v>
      </c>
    </row>
    <row r="518" ht="12.75" customHeight="1">
      <c r="A518" s="42" t="s">
        <v>1263</v>
      </c>
      <c r="B518" s="21">
        <v>46236.0</v>
      </c>
      <c r="C518" s="9" t="s">
        <v>118</v>
      </c>
      <c r="D518" s="9" t="s">
        <v>119</v>
      </c>
      <c r="E518" s="9" t="s">
        <v>120</v>
      </c>
      <c r="F518" s="9" t="s">
        <v>123</v>
      </c>
      <c r="G518" s="9" t="s">
        <v>122</v>
      </c>
      <c r="I518" s="9">
        <v>13805.0</v>
      </c>
      <c r="J518" s="47">
        <v>13805.0</v>
      </c>
    </row>
    <row r="519" ht="12.75" customHeight="1">
      <c r="A519" s="42" t="s">
        <v>1271</v>
      </c>
      <c r="B519" s="21">
        <v>46243.0</v>
      </c>
      <c r="C519" s="9" t="s">
        <v>118</v>
      </c>
      <c r="D519" s="9" t="s">
        <v>119</v>
      </c>
      <c r="E519" s="9" t="s">
        <v>120</v>
      </c>
      <c r="F519" s="9" t="s">
        <v>123</v>
      </c>
      <c r="G519" s="9" t="s">
        <v>122</v>
      </c>
      <c r="I519" s="9">
        <v>14215.0</v>
      </c>
      <c r="J519" s="47">
        <v>14215.0</v>
      </c>
    </row>
    <row r="520" ht="12.75" customHeight="1">
      <c r="A520" s="42" t="s">
        <v>1279</v>
      </c>
      <c r="B520" s="21">
        <v>46250.0</v>
      </c>
      <c r="C520" s="9" t="s">
        <v>118</v>
      </c>
      <c r="D520" s="9" t="s">
        <v>119</v>
      </c>
      <c r="E520" s="9" t="s">
        <v>120</v>
      </c>
      <c r="F520" s="9" t="s">
        <v>123</v>
      </c>
      <c r="G520" s="9" t="s">
        <v>122</v>
      </c>
      <c r="I520" s="9">
        <v>14625.0</v>
      </c>
      <c r="J520" s="47">
        <v>14625.0</v>
      </c>
    </row>
    <row r="521" ht="12.75" customHeight="1">
      <c r="A521" s="42" t="s">
        <v>1287</v>
      </c>
      <c r="B521" s="21">
        <v>46257.0</v>
      </c>
      <c r="C521" s="9" t="s">
        <v>118</v>
      </c>
      <c r="D521" s="9" t="s">
        <v>119</v>
      </c>
      <c r="E521" s="9" t="s">
        <v>120</v>
      </c>
      <c r="F521" s="9" t="s">
        <v>123</v>
      </c>
      <c r="G521" s="9" t="s">
        <v>122</v>
      </c>
      <c r="I521" s="9">
        <v>15035.0</v>
      </c>
      <c r="J521" s="47">
        <v>15035.0</v>
      </c>
    </row>
    <row r="522" ht="12.75" customHeight="1">
      <c r="A522" s="42" t="s">
        <v>1295</v>
      </c>
      <c r="B522" s="21">
        <v>46264.0</v>
      </c>
      <c r="C522" s="9" t="s">
        <v>118</v>
      </c>
      <c r="D522" s="9" t="s">
        <v>119</v>
      </c>
      <c r="E522" s="9" t="s">
        <v>120</v>
      </c>
      <c r="F522" s="9" t="s">
        <v>123</v>
      </c>
      <c r="G522" s="9" t="s">
        <v>122</v>
      </c>
      <c r="I522" s="9">
        <v>15489.0</v>
      </c>
      <c r="J522" s="47">
        <v>15489.0</v>
      </c>
    </row>
    <row r="523" ht="12.75" customHeight="1">
      <c r="A523" s="42" t="s">
        <v>1303</v>
      </c>
      <c r="B523" s="21">
        <v>46271.0</v>
      </c>
      <c r="C523" s="9" t="s">
        <v>118</v>
      </c>
      <c r="D523" s="9" t="s">
        <v>119</v>
      </c>
      <c r="E523" s="9" t="s">
        <v>120</v>
      </c>
      <c r="F523" s="9" t="s">
        <v>123</v>
      </c>
      <c r="G523" s="9" t="s">
        <v>122</v>
      </c>
      <c r="I523" s="9">
        <v>15861.0</v>
      </c>
      <c r="J523" s="47">
        <v>15861.0</v>
      </c>
    </row>
    <row r="524" ht="12.75" customHeight="1">
      <c r="A524" s="42" t="s">
        <v>1311</v>
      </c>
      <c r="B524" s="21">
        <v>46278.0</v>
      </c>
      <c r="C524" s="9" t="s">
        <v>118</v>
      </c>
      <c r="D524" s="9" t="s">
        <v>119</v>
      </c>
      <c r="E524" s="9" t="s">
        <v>120</v>
      </c>
      <c r="F524" s="9" t="s">
        <v>123</v>
      </c>
      <c r="G524" s="9" t="s">
        <v>122</v>
      </c>
      <c r="I524" s="9">
        <v>16326.0</v>
      </c>
      <c r="J524" s="47">
        <v>16326.0</v>
      </c>
    </row>
    <row r="525" ht="12.75" customHeight="1">
      <c r="A525" s="42" t="s">
        <v>1319</v>
      </c>
      <c r="B525" s="21">
        <v>46285.0</v>
      </c>
      <c r="C525" s="9" t="s">
        <v>118</v>
      </c>
      <c r="D525" s="9" t="s">
        <v>119</v>
      </c>
      <c r="E525" s="9" t="s">
        <v>120</v>
      </c>
      <c r="F525" s="9" t="s">
        <v>123</v>
      </c>
      <c r="G525" s="9" t="s">
        <v>122</v>
      </c>
      <c r="I525" s="9">
        <v>16791.0</v>
      </c>
      <c r="J525" s="47">
        <v>16791.0</v>
      </c>
    </row>
    <row r="526" ht="12.75" customHeight="1">
      <c r="A526" s="42" t="s">
        <v>1327</v>
      </c>
      <c r="B526" s="21">
        <v>46292.0</v>
      </c>
      <c r="C526" s="9" t="s">
        <v>118</v>
      </c>
      <c r="D526" s="9" t="s">
        <v>119</v>
      </c>
      <c r="E526" s="9" t="s">
        <v>120</v>
      </c>
      <c r="F526" s="9" t="s">
        <v>123</v>
      </c>
      <c r="G526" s="9" t="s">
        <v>122</v>
      </c>
      <c r="I526" s="9">
        <v>17270.0</v>
      </c>
      <c r="J526" s="47">
        <v>17270.0</v>
      </c>
    </row>
    <row r="527" ht="12.75" customHeight="1">
      <c r="A527" s="42" t="s">
        <v>1335</v>
      </c>
      <c r="B527" s="21">
        <v>46299.0</v>
      </c>
      <c r="C527" s="9" t="s">
        <v>118</v>
      </c>
      <c r="D527" s="9" t="s">
        <v>119</v>
      </c>
      <c r="E527" s="9" t="s">
        <v>120</v>
      </c>
      <c r="F527" s="9" t="s">
        <v>123</v>
      </c>
      <c r="G527" s="9" t="s">
        <v>122</v>
      </c>
      <c r="I527" s="9">
        <v>17770.0</v>
      </c>
      <c r="J527" s="47">
        <v>17770.0</v>
      </c>
    </row>
    <row r="528" ht="12.75" customHeight="1">
      <c r="A528" s="42" t="s">
        <v>1343</v>
      </c>
      <c r="B528" s="21">
        <v>46306.0</v>
      </c>
      <c r="C528" s="9" t="s">
        <v>118</v>
      </c>
      <c r="D528" s="9" t="s">
        <v>119</v>
      </c>
      <c r="E528" s="9" t="s">
        <v>120</v>
      </c>
      <c r="F528" s="9" t="s">
        <v>123</v>
      </c>
      <c r="G528" s="9" t="s">
        <v>122</v>
      </c>
      <c r="I528" s="9">
        <v>18170.0</v>
      </c>
      <c r="J528" s="47">
        <v>18170.0</v>
      </c>
    </row>
    <row r="529" ht="12.75" customHeight="1">
      <c r="A529" s="42" t="s">
        <v>1351</v>
      </c>
      <c r="B529" s="21">
        <v>46313.0</v>
      </c>
      <c r="C529" s="9" t="s">
        <v>118</v>
      </c>
      <c r="D529" s="9" t="s">
        <v>119</v>
      </c>
      <c r="E529" s="9" t="s">
        <v>120</v>
      </c>
      <c r="F529" s="9" t="s">
        <v>123</v>
      </c>
      <c r="G529" s="9" t="s">
        <v>122</v>
      </c>
      <c r="I529" s="9">
        <v>18670.0</v>
      </c>
      <c r="J529" s="47">
        <v>18670.0</v>
      </c>
    </row>
    <row r="530" ht="12.75" customHeight="1">
      <c r="A530" s="42" t="s">
        <v>1359</v>
      </c>
      <c r="B530" s="21">
        <v>46320.0</v>
      </c>
      <c r="C530" s="9" t="s">
        <v>118</v>
      </c>
      <c r="D530" s="9" t="s">
        <v>119</v>
      </c>
      <c r="E530" s="9" t="s">
        <v>120</v>
      </c>
      <c r="F530" s="9" t="s">
        <v>123</v>
      </c>
      <c r="G530" s="9" t="s">
        <v>122</v>
      </c>
      <c r="I530" s="9">
        <v>19170.0</v>
      </c>
      <c r="J530" s="47">
        <v>19170.0</v>
      </c>
    </row>
    <row r="531" ht="12.75" customHeight="1">
      <c r="A531" s="42" t="s">
        <v>1367</v>
      </c>
      <c r="B531" s="21">
        <v>46327.0</v>
      </c>
      <c r="C531" s="9" t="s">
        <v>118</v>
      </c>
      <c r="D531" s="9" t="s">
        <v>119</v>
      </c>
      <c r="E531" s="9" t="s">
        <v>120</v>
      </c>
      <c r="F531" s="9" t="s">
        <v>123</v>
      </c>
      <c r="G531" s="9" t="s">
        <v>122</v>
      </c>
      <c r="I531" s="9">
        <v>19660.0</v>
      </c>
      <c r="J531" s="47">
        <v>19660.0</v>
      </c>
    </row>
    <row r="532" ht="12.75" customHeight="1">
      <c r="A532" s="42" t="s">
        <v>1375</v>
      </c>
      <c r="B532" s="21">
        <v>46334.0</v>
      </c>
      <c r="C532" s="9" t="s">
        <v>118</v>
      </c>
      <c r="D532" s="9" t="s">
        <v>119</v>
      </c>
      <c r="E532" s="9" t="s">
        <v>120</v>
      </c>
      <c r="F532" s="9" t="s">
        <v>123</v>
      </c>
      <c r="G532" s="9" t="s">
        <v>122</v>
      </c>
      <c r="I532" s="9">
        <v>20052.0</v>
      </c>
      <c r="J532" s="47">
        <v>20052.0</v>
      </c>
    </row>
    <row r="533" ht="12.75" customHeight="1">
      <c r="A533" s="42" t="s">
        <v>1383</v>
      </c>
      <c r="B533" s="21">
        <v>46341.0</v>
      </c>
      <c r="C533" s="9" t="s">
        <v>118</v>
      </c>
      <c r="D533" s="9" t="s">
        <v>119</v>
      </c>
      <c r="E533" s="9" t="s">
        <v>120</v>
      </c>
      <c r="F533" s="9" t="s">
        <v>123</v>
      </c>
      <c r="G533" s="9" t="s">
        <v>122</v>
      </c>
      <c r="I533" s="9">
        <v>20542.0</v>
      </c>
      <c r="J533" s="47">
        <v>20542.0</v>
      </c>
    </row>
    <row r="534" ht="12.75" customHeight="1">
      <c r="A534" s="42" t="s">
        <v>1391</v>
      </c>
      <c r="B534" s="21">
        <v>46348.0</v>
      </c>
      <c r="C534" s="9" t="s">
        <v>118</v>
      </c>
      <c r="D534" s="9" t="s">
        <v>119</v>
      </c>
      <c r="E534" s="9" t="s">
        <v>120</v>
      </c>
      <c r="F534" s="9" t="s">
        <v>123</v>
      </c>
      <c r="G534" s="9" t="s">
        <v>122</v>
      </c>
      <c r="I534" s="9">
        <v>20836.0</v>
      </c>
      <c r="J534" s="47">
        <v>20836.0</v>
      </c>
    </row>
    <row r="535" ht="12.75" customHeight="1">
      <c r="A535" s="42" t="s">
        <v>1399</v>
      </c>
      <c r="B535" s="21">
        <v>46355.0</v>
      </c>
      <c r="C535" s="9" t="s">
        <v>118</v>
      </c>
      <c r="D535" s="9" t="s">
        <v>119</v>
      </c>
      <c r="E535" s="9" t="s">
        <v>120</v>
      </c>
      <c r="F535" s="9" t="s">
        <v>123</v>
      </c>
      <c r="G535" s="9" t="s">
        <v>122</v>
      </c>
      <c r="I535" s="9">
        <v>21202.0</v>
      </c>
      <c r="J535" s="47">
        <v>21202.0</v>
      </c>
    </row>
    <row r="536" ht="12.75" customHeight="1">
      <c r="A536" s="42" t="s">
        <v>1407</v>
      </c>
      <c r="B536" s="21">
        <v>46362.0</v>
      </c>
      <c r="C536" s="9" t="s">
        <v>118</v>
      </c>
      <c r="D536" s="9" t="s">
        <v>119</v>
      </c>
      <c r="E536" s="9" t="s">
        <v>120</v>
      </c>
      <c r="F536" s="9" t="s">
        <v>123</v>
      </c>
      <c r="G536" s="9" t="s">
        <v>122</v>
      </c>
      <c r="I536" s="9">
        <v>21537.0</v>
      </c>
      <c r="J536" s="47">
        <v>21537.0</v>
      </c>
    </row>
    <row r="537" ht="12.75" customHeight="1">
      <c r="A537" s="42" t="s">
        <v>1415</v>
      </c>
      <c r="B537" s="21">
        <v>46369.0</v>
      </c>
      <c r="C537" s="9" t="s">
        <v>118</v>
      </c>
      <c r="D537" s="9" t="s">
        <v>119</v>
      </c>
      <c r="E537" s="9" t="s">
        <v>120</v>
      </c>
      <c r="F537" s="9" t="s">
        <v>123</v>
      </c>
      <c r="G537" s="9" t="s">
        <v>122</v>
      </c>
      <c r="I537" s="9">
        <v>21872.0</v>
      </c>
      <c r="J537" s="47">
        <v>21872.0</v>
      </c>
    </row>
    <row r="538" ht="12.75" customHeight="1">
      <c r="A538" s="42" t="s">
        <v>1423</v>
      </c>
      <c r="B538" s="21">
        <v>46376.0</v>
      </c>
      <c r="C538" s="9" t="s">
        <v>118</v>
      </c>
      <c r="D538" s="9" t="s">
        <v>119</v>
      </c>
      <c r="E538" s="9" t="s">
        <v>120</v>
      </c>
      <c r="F538" s="9" t="s">
        <v>123</v>
      </c>
      <c r="G538" s="9" t="s">
        <v>122</v>
      </c>
      <c r="I538" s="9">
        <v>22140.0</v>
      </c>
      <c r="J538" s="47">
        <v>22140.0</v>
      </c>
    </row>
    <row r="539" ht="12.75" customHeight="1">
      <c r="A539" s="42" t="s">
        <v>1431</v>
      </c>
      <c r="B539" s="21">
        <v>46383.0</v>
      </c>
      <c r="C539" s="9" t="s">
        <v>118</v>
      </c>
      <c r="D539" s="9" t="s">
        <v>119</v>
      </c>
      <c r="E539" s="9" t="s">
        <v>120</v>
      </c>
      <c r="F539" s="9" t="s">
        <v>123</v>
      </c>
      <c r="G539" s="9" t="s">
        <v>122</v>
      </c>
      <c r="I539" s="9">
        <v>22408.0</v>
      </c>
      <c r="J539" s="47">
        <v>22408.0</v>
      </c>
    </row>
    <row r="540" ht="12.75" customHeight="1">
      <c r="A540" s="42" t="s">
        <v>1087</v>
      </c>
      <c r="B540" s="21">
        <v>46082.0</v>
      </c>
      <c r="C540" s="9" t="s">
        <v>118</v>
      </c>
      <c r="D540" s="9" t="s">
        <v>119</v>
      </c>
      <c r="E540" s="9" t="s">
        <v>120</v>
      </c>
      <c r="F540" s="9" t="s">
        <v>121</v>
      </c>
      <c r="G540" s="9" t="s">
        <v>122</v>
      </c>
      <c r="I540" s="9">
        <v>8206.0</v>
      </c>
      <c r="J540" s="47">
        <v>8206.0</v>
      </c>
    </row>
    <row r="541" ht="12.75" customHeight="1">
      <c r="A541" s="42" t="s">
        <v>1095</v>
      </c>
      <c r="B541" s="21">
        <v>46089.0</v>
      </c>
      <c r="C541" s="9" t="s">
        <v>118</v>
      </c>
      <c r="D541" s="9" t="s">
        <v>119</v>
      </c>
      <c r="E541" s="9" t="s">
        <v>120</v>
      </c>
      <c r="F541" s="9" t="s">
        <v>121</v>
      </c>
      <c r="G541" s="9" t="s">
        <v>122</v>
      </c>
      <c r="I541" s="9">
        <v>8166.0</v>
      </c>
      <c r="J541" s="47">
        <v>8166.0</v>
      </c>
    </row>
    <row r="542" ht="12.75" customHeight="1">
      <c r="A542" s="42" t="s">
        <v>1103</v>
      </c>
      <c r="B542" s="21">
        <v>46096.0</v>
      </c>
      <c r="C542" s="9" t="s">
        <v>118</v>
      </c>
      <c r="D542" s="9" t="s">
        <v>119</v>
      </c>
      <c r="E542" s="9" t="s">
        <v>120</v>
      </c>
      <c r="F542" s="9" t="s">
        <v>121</v>
      </c>
      <c r="G542" s="9" t="s">
        <v>122</v>
      </c>
      <c r="I542" s="9">
        <v>8126.0</v>
      </c>
      <c r="J542" s="47">
        <v>8126.0</v>
      </c>
    </row>
    <row r="543" ht="12.75" customHeight="1">
      <c r="A543" s="42" t="s">
        <v>1111</v>
      </c>
      <c r="B543" s="21">
        <v>46103.0</v>
      </c>
      <c r="C543" s="9" t="s">
        <v>118</v>
      </c>
      <c r="D543" s="9" t="s">
        <v>119</v>
      </c>
      <c r="E543" s="9" t="s">
        <v>120</v>
      </c>
      <c r="F543" s="9" t="s">
        <v>121</v>
      </c>
      <c r="G543" s="9" t="s">
        <v>122</v>
      </c>
      <c r="I543" s="9">
        <v>8086.0</v>
      </c>
      <c r="J543" s="47">
        <v>8086.0</v>
      </c>
    </row>
    <row r="544" ht="12.75" customHeight="1">
      <c r="A544" s="42" t="s">
        <v>1119</v>
      </c>
      <c r="B544" s="21">
        <v>46110.0</v>
      </c>
      <c r="C544" s="9" t="s">
        <v>118</v>
      </c>
      <c r="D544" s="9" t="s">
        <v>119</v>
      </c>
      <c r="E544" s="9" t="s">
        <v>120</v>
      </c>
      <c r="F544" s="9" t="s">
        <v>121</v>
      </c>
      <c r="G544" s="9" t="s">
        <v>122</v>
      </c>
      <c r="I544" s="9">
        <v>8139.0</v>
      </c>
      <c r="J544" s="47">
        <v>8139.0</v>
      </c>
    </row>
    <row r="545" ht="12.75" customHeight="1">
      <c r="A545" s="42" t="s">
        <v>1127</v>
      </c>
      <c r="B545" s="21">
        <v>46117.0</v>
      </c>
      <c r="C545" s="9" t="s">
        <v>118</v>
      </c>
      <c r="D545" s="9" t="s">
        <v>119</v>
      </c>
      <c r="E545" s="9" t="s">
        <v>120</v>
      </c>
      <c r="F545" s="9" t="s">
        <v>121</v>
      </c>
      <c r="G545" s="9" t="s">
        <v>122</v>
      </c>
      <c r="I545" s="9">
        <v>8254.0</v>
      </c>
      <c r="J545" s="47">
        <v>8254.0</v>
      </c>
    </row>
    <row r="546" ht="12.75" customHeight="1">
      <c r="A546" s="42" t="s">
        <v>1135</v>
      </c>
      <c r="B546" s="21">
        <v>46124.0</v>
      </c>
      <c r="C546" s="9" t="s">
        <v>118</v>
      </c>
      <c r="D546" s="9" t="s">
        <v>119</v>
      </c>
      <c r="E546" s="9" t="s">
        <v>120</v>
      </c>
      <c r="F546" s="9" t="s">
        <v>121</v>
      </c>
      <c r="G546" s="9" t="s">
        <v>122</v>
      </c>
      <c r="I546" s="9">
        <v>8369.0</v>
      </c>
      <c r="J546" s="47">
        <v>8369.0</v>
      </c>
    </row>
    <row r="547" ht="12.75" customHeight="1">
      <c r="A547" s="42" t="s">
        <v>1143</v>
      </c>
      <c r="B547" s="21">
        <v>46131.0</v>
      </c>
      <c r="C547" s="9" t="s">
        <v>118</v>
      </c>
      <c r="D547" s="9" t="s">
        <v>119</v>
      </c>
      <c r="E547" s="9" t="s">
        <v>120</v>
      </c>
      <c r="F547" s="9" t="s">
        <v>121</v>
      </c>
      <c r="G547" s="9" t="s">
        <v>122</v>
      </c>
      <c r="I547" s="9">
        <v>8484.0</v>
      </c>
      <c r="J547" s="47">
        <v>8484.0</v>
      </c>
    </row>
    <row r="548" ht="12.75" customHeight="1">
      <c r="A548" s="42" t="s">
        <v>1151</v>
      </c>
      <c r="B548" s="21">
        <v>46138.0</v>
      </c>
      <c r="C548" s="9" t="s">
        <v>118</v>
      </c>
      <c r="D548" s="9" t="s">
        <v>119</v>
      </c>
      <c r="E548" s="9" t="s">
        <v>120</v>
      </c>
      <c r="F548" s="9" t="s">
        <v>121</v>
      </c>
      <c r="G548" s="9" t="s">
        <v>122</v>
      </c>
      <c r="I548" s="9">
        <v>8617.0</v>
      </c>
      <c r="J548" s="47">
        <v>8617.0</v>
      </c>
    </row>
    <row r="549" ht="12.75" customHeight="1">
      <c r="A549" s="42" t="s">
        <v>1159</v>
      </c>
      <c r="B549" s="21">
        <v>46145.0</v>
      </c>
      <c r="C549" s="9" t="s">
        <v>118</v>
      </c>
      <c r="D549" s="9" t="s">
        <v>119</v>
      </c>
      <c r="E549" s="9" t="s">
        <v>120</v>
      </c>
      <c r="F549" s="9" t="s">
        <v>121</v>
      </c>
      <c r="G549" s="9" t="s">
        <v>122</v>
      </c>
      <c r="I549" s="9">
        <v>8822.0</v>
      </c>
      <c r="J549" s="47">
        <v>8822.0</v>
      </c>
    </row>
    <row r="550" ht="12.75" customHeight="1">
      <c r="A550" s="42" t="s">
        <v>1167</v>
      </c>
      <c r="B550" s="21">
        <v>46152.0</v>
      </c>
      <c r="C550" s="9" t="s">
        <v>118</v>
      </c>
      <c r="D550" s="9" t="s">
        <v>119</v>
      </c>
      <c r="E550" s="9" t="s">
        <v>120</v>
      </c>
      <c r="F550" s="9" t="s">
        <v>121</v>
      </c>
      <c r="G550" s="9" t="s">
        <v>122</v>
      </c>
      <c r="I550" s="9">
        <v>9027.0</v>
      </c>
      <c r="J550" s="47">
        <v>9027.0</v>
      </c>
    </row>
    <row r="551" ht="12.75" customHeight="1">
      <c r="A551" s="42" t="s">
        <v>1175</v>
      </c>
      <c r="B551" s="21">
        <v>46159.0</v>
      </c>
      <c r="C551" s="9" t="s">
        <v>118</v>
      </c>
      <c r="D551" s="9" t="s">
        <v>119</v>
      </c>
      <c r="E551" s="9" t="s">
        <v>120</v>
      </c>
      <c r="F551" s="9" t="s">
        <v>121</v>
      </c>
      <c r="G551" s="9" t="s">
        <v>122</v>
      </c>
      <c r="I551" s="9">
        <v>9232.0</v>
      </c>
      <c r="J551" s="47">
        <v>9232.0</v>
      </c>
    </row>
    <row r="552" ht="12.75" customHeight="1">
      <c r="A552" s="42" t="s">
        <v>1183</v>
      </c>
      <c r="B552" s="21">
        <v>46166.0</v>
      </c>
      <c r="C552" s="9" t="s">
        <v>118</v>
      </c>
      <c r="D552" s="9" t="s">
        <v>119</v>
      </c>
      <c r="E552" s="9" t="s">
        <v>120</v>
      </c>
      <c r="F552" s="9" t="s">
        <v>121</v>
      </c>
      <c r="G552" s="9" t="s">
        <v>122</v>
      </c>
      <c r="I552" s="9">
        <v>9396.0</v>
      </c>
      <c r="J552" s="47">
        <v>9396.0</v>
      </c>
    </row>
    <row r="553" ht="12.75" customHeight="1">
      <c r="A553" s="42" t="s">
        <v>1193</v>
      </c>
      <c r="B553" s="21">
        <v>46174.0</v>
      </c>
      <c r="C553" s="9" t="s">
        <v>118</v>
      </c>
      <c r="D553" s="9" t="s">
        <v>119</v>
      </c>
      <c r="E553" s="9" t="s">
        <v>120</v>
      </c>
      <c r="F553" s="9" t="s">
        <v>121</v>
      </c>
      <c r="G553" s="9" t="s">
        <v>122</v>
      </c>
      <c r="I553" s="9">
        <v>9636.0</v>
      </c>
      <c r="J553" s="47">
        <v>9636.0</v>
      </c>
    </row>
    <row r="554" ht="12.75" customHeight="1">
      <c r="A554" s="42" t="s">
        <v>1199</v>
      </c>
      <c r="B554" s="21">
        <v>46180.0</v>
      </c>
      <c r="C554" s="9" t="s">
        <v>118</v>
      </c>
      <c r="D554" s="9" t="s">
        <v>119</v>
      </c>
      <c r="E554" s="9" t="s">
        <v>120</v>
      </c>
      <c r="F554" s="9" t="s">
        <v>121</v>
      </c>
      <c r="G554" s="9" t="s">
        <v>122</v>
      </c>
      <c r="I554" s="9">
        <v>9876.0</v>
      </c>
      <c r="J554" s="47">
        <v>9876.0</v>
      </c>
    </row>
    <row r="555" ht="12.75" customHeight="1">
      <c r="A555" s="42" t="s">
        <v>1207</v>
      </c>
      <c r="B555" s="21">
        <v>46187.0</v>
      </c>
      <c r="C555" s="9" t="s">
        <v>118</v>
      </c>
      <c r="D555" s="9" t="s">
        <v>119</v>
      </c>
      <c r="E555" s="9" t="s">
        <v>120</v>
      </c>
      <c r="F555" s="9" t="s">
        <v>121</v>
      </c>
      <c r="G555" s="9" t="s">
        <v>122</v>
      </c>
      <c r="I555" s="9">
        <v>10068.0</v>
      </c>
      <c r="J555" s="47">
        <v>10068.0</v>
      </c>
    </row>
    <row r="556" ht="12.75" customHeight="1">
      <c r="A556" s="42" t="s">
        <v>1215</v>
      </c>
      <c r="B556" s="21">
        <v>46194.0</v>
      </c>
      <c r="C556" s="9" t="s">
        <v>118</v>
      </c>
      <c r="D556" s="9" t="s">
        <v>119</v>
      </c>
      <c r="E556" s="9" t="s">
        <v>120</v>
      </c>
      <c r="F556" s="9" t="s">
        <v>121</v>
      </c>
      <c r="G556" s="9" t="s">
        <v>122</v>
      </c>
      <c r="I556" s="9">
        <v>10308.0</v>
      </c>
      <c r="J556" s="47">
        <v>10308.0</v>
      </c>
    </row>
    <row r="557" ht="12.75" customHeight="1">
      <c r="A557" s="42" t="s">
        <v>1223</v>
      </c>
      <c r="B557" s="21">
        <v>46201.0</v>
      </c>
      <c r="C557" s="9" t="s">
        <v>118</v>
      </c>
      <c r="D557" s="9" t="s">
        <v>119</v>
      </c>
      <c r="E557" s="9" t="s">
        <v>120</v>
      </c>
      <c r="F557" s="9" t="s">
        <v>121</v>
      </c>
      <c r="G557" s="9" t="s">
        <v>122</v>
      </c>
      <c r="I557" s="9">
        <v>10522.0</v>
      </c>
      <c r="J557" s="47">
        <v>10522.0</v>
      </c>
    </row>
    <row r="558" ht="12.75" customHeight="1">
      <c r="A558" s="42" t="s">
        <v>1231</v>
      </c>
      <c r="B558" s="21">
        <v>46208.0</v>
      </c>
      <c r="C558" s="9" t="s">
        <v>118</v>
      </c>
      <c r="D558" s="9" t="s">
        <v>119</v>
      </c>
      <c r="E558" s="9" t="s">
        <v>120</v>
      </c>
      <c r="F558" s="9" t="s">
        <v>121</v>
      </c>
      <c r="G558" s="9" t="s">
        <v>122</v>
      </c>
      <c r="I558" s="9">
        <v>10817.0</v>
      </c>
      <c r="J558" s="47">
        <v>10817.0</v>
      </c>
    </row>
    <row r="559" ht="12.75" customHeight="1">
      <c r="A559" s="42" t="s">
        <v>1239</v>
      </c>
      <c r="B559" s="21">
        <v>46215.0</v>
      </c>
      <c r="C559" s="9" t="s">
        <v>118</v>
      </c>
      <c r="D559" s="9" t="s">
        <v>119</v>
      </c>
      <c r="E559" s="9" t="s">
        <v>120</v>
      </c>
      <c r="F559" s="9" t="s">
        <v>121</v>
      </c>
      <c r="G559" s="9" t="s">
        <v>122</v>
      </c>
      <c r="I559" s="9">
        <v>11112.0</v>
      </c>
      <c r="J559" s="47">
        <v>11112.0</v>
      </c>
    </row>
    <row r="560" ht="12.75" customHeight="1">
      <c r="A560" s="42" t="s">
        <v>1247</v>
      </c>
      <c r="B560" s="21">
        <v>46222.0</v>
      </c>
      <c r="C560" s="9" t="s">
        <v>118</v>
      </c>
      <c r="D560" s="9" t="s">
        <v>119</v>
      </c>
      <c r="E560" s="9" t="s">
        <v>120</v>
      </c>
      <c r="F560" s="9" t="s">
        <v>121</v>
      </c>
      <c r="G560" s="9" t="s">
        <v>122</v>
      </c>
      <c r="I560" s="9">
        <v>11407.0</v>
      </c>
      <c r="J560" s="47">
        <v>11407.0</v>
      </c>
    </row>
    <row r="561" ht="12.75" customHeight="1">
      <c r="A561" s="42" t="s">
        <v>1255</v>
      </c>
      <c r="B561" s="21">
        <v>46229.0</v>
      </c>
      <c r="C561" s="9" t="s">
        <v>118</v>
      </c>
      <c r="D561" s="9" t="s">
        <v>119</v>
      </c>
      <c r="E561" s="9" t="s">
        <v>120</v>
      </c>
      <c r="F561" s="9" t="s">
        <v>121</v>
      </c>
      <c r="G561" s="9" t="s">
        <v>122</v>
      </c>
      <c r="I561" s="9">
        <v>11702.0</v>
      </c>
      <c r="J561" s="47">
        <v>11702.0</v>
      </c>
    </row>
    <row r="562" ht="12.75" customHeight="1">
      <c r="A562" s="42" t="s">
        <v>1263</v>
      </c>
      <c r="B562" s="21">
        <v>46236.0</v>
      </c>
      <c r="C562" s="9" t="s">
        <v>118</v>
      </c>
      <c r="D562" s="9" t="s">
        <v>119</v>
      </c>
      <c r="E562" s="9" t="s">
        <v>120</v>
      </c>
      <c r="F562" s="9" t="s">
        <v>121</v>
      </c>
      <c r="G562" s="9" t="s">
        <v>122</v>
      </c>
      <c r="I562" s="9">
        <v>12057.0</v>
      </c>
      <c r="J562" s="47">
        <v>12057.0</v>
      </c>
    </row>
    <row r="563" ht="12.75" customHeight="1">
      <c r="A563" s="42" t="s">
        <v>1271</v>
      </c>
      <c r="B563" s="21">
        <v>46243.0</v>
      </c>
      <c r="C563" s="9" t="s">
        <v>118</v>
      </c>
      <c r="D563" s="9" t="s">
        <v>119</v>
      </c>
      <c r="E563" s="9" t="s">
        <v>120</v>
      </c>
      <c r="F563" s="9" t="s">
        <v>121</v>
      </c>
      <c r="G563" s="9" t="s">
        <v>122</v>
      </c>
      <c r="I563" s="9">
        <v>12412.0</v>
      </c>
      <c r="J563" s="47">
        <v>12412.0</v>
      </c>
    </row>
    <row r="564" ht="12.75" customHeight="1">
      <c r="A564" s="42" t="s">
        <v>1279</v>
      </c>
      <c r="B564" s="21">
        <v>46250.0</v>
      </c>
      <c r="C564" s="9" t="s">
        <v>118</v>
      </c>
      <c r="D564" s="9" t="s">
        <v>119</v>
      </c>
      <c r="E564" s="9" t="s">
        <v>120</v>
      </c>
      <c r="F564" s="9" t="s">
        <v>121</v>
      </c>
      <c r="G564" s="9" t="s">
        <v>122</v>
      </c>
      <c r="I564" s="9">
        <v>12767.0</v>
      </c>
      <c r="J564" s="47">
        <v>12767.0</v>
      </c>
    </row>
    <row r="565" ht="12.75" customHeight="1">
      <c r="A565" s="42" t="s">
        <v>1287</v>
      </c>
      <c r="B565" s="21">
        <v>46257.0</v>
      </c>
      <c r="C565" s="9" t="s">
        <v>118</v>
      </c>
      <c r="D565" s="9" t="s">
        <v>119</v>
      </c>
      <c r="E565" s="9" t="s">
        <v>120</v>
      </c>
      <c r="F565" s="9" t="s">
        <v>121</v>
      </c>
      <c r="G565" s="9" t="s">
        <v>122</v>
      </c>
      <c r="I565" s="9">
        <v>13122.0</v>
      </c>
      <c r="J565" s="47">
        <v>13122.0</v>
      </c>
    </row>
    <row r="566" ht="12.75" customHeight="1">
      <c r="A566" s="42" t="s">
        <v>1295</v>
      </c>
      <c r="B566" s="21">
        <v>46264.0</v>
      </c>
      <c r="C566" s="9" t="s">
        <v>118</v>
      </c>
      <c r="D566" s="9" t="s">
        <v>119</v>
      </c>
      <c r="E566" s="9" t="s">
        <v>120</v>
      </c>
      <c r="F566" s="9" t="s">
        <v>121</v>
      </c>
      <c r="G566" s="9" t="s">
        <v>122</v>
      </c>
      <c r="I566" s="9">
        <v>13509.0</v>
      </c>
      <c r="J566" s="47">
        <v>13509.0</v>
      </c>
    </row>
    <row r="567" ht="12.75" customHeight="1">
      <c r="A567" s="42" t="s">
        <v>1303</v>
      </c>
      <c r="B567" s="21">
        <v>46271.0</v>
      </c>
      <c r="C567" s="9" t="s">
        <v>118</v>
      </c>
      <c r="D567" s="9" t="s">
        <v>119</v>
      </c>
      <c r="E567" s="9" t="s">
        <v>120</v>
      </c>
      <c r="F567" s="9" t="s">
        <v>121</v>
      </c>
      <c r="G567" s="9" t="s">
        <v>122</v>
      </c>
      <c r="I567" s="9">
        <v>13825.0</v>
      </c>
      <c r="J567" s="47">
        <v>13825.0</v>
      </c>
    </row>
    <row r="568" ht="12.75" customHeight="1">
      <c r="A568" s="42" t="s">
        <v>1311</v>
      </c>
      <c r="B568" s="21">
        <v>46278.0</v>
      </c>
      <c r="C568" s="9" t="s">
        <v>118</v>
      </c>
      <c r="D568" s="9" t="s">
        <v>119</v>
      </c>
      <c r="E568" s="9" t="s">
        <v>120</v>
      </c>
      <c r="F568" s="9" t="s">
        <v>121</v>
      </c>
      <c r="G568" s="9" t="s">
        <v>122</v>
      </c>
      <c r="I568" s="9">
        <v>14220.0</v>
      </c>
      <c r="J568" s="47">
        <v>14220.0</v>
      </c>
    </row>
    <row r="569" ht="12.75" customHeight="1">
      <c r="A569" s="42" t="s">
        <v>1319</v>
      </c>
      <c r="B569" s="21">
        <v>46285.0</v>
      </c>
      <c r="C569" s="9" t="s">
        <v>118</v>
      </c>
      <c r="D569" s="9" t="s">
        <v>119</v>
      </c>
      <c r="E569" s="9" t="s">
        <v>120</v>
      </c>
      <c r="F569" s="9" t="s">
        <v>121</v>
      </c>
      <c r="G569" s="9" t="s">
        <v>122</v>
      </c>
      <c r="I569" s="9">
        <v>14615.0</v>
      </c>
      <c r="J569" s="47">
        <v>14615.0</v>
      </c>
    </row>
    <row r="570" ht="12.75" customHeight="1">
      <c r="A570" s="42" t="s">
        <v>1327</v>
      </c>
      <c r="B570" s="21">
        <v>46292.0</v>
      </c>
      <c r="C570" s="9" t="s">
        <v>118</v>
      </c>
      <c r="D570" s="9" t="s">
        <v>119</v>
      </c>
      <c r="E570" s="9" t="s">
        <v>120</v>
      </c>
      <c r="F570" s="9" t="s">
        <v>121</v>
      </c>
      <c r="G570" s="9" t="s">
        <v>122</v>
      </c>
      <c r="I570" s="9">
        <v>15022.0</v>
      </c>
      <c r="J570" s="47">
        <v>15022.0</v>
      </c>
    </row>
    <row r="571" ht="12.75" customHeight="1">
      <c r="A571" s="42" t="s">
        <v>1335</v>
      </c>
      <c r="B571" s="21">
        <v>46299.0</v>
      </c>
      <c r="C571" s="9" t="s">
        <v>118</v>
      </c>
      <c r="D571" s="9" t="s">
        <v>119</v>
      </c>
      <c r="E571" s="9" t="s">
        <v>120</v>
      </c>
      <c r="F571" s="9" t="s">
        <v>121</v>
      </c>
      <c r="G571" s="9" t="s">
        <v>122</v>
      </c>
      <c r="I571" s="9">
        <v>15447.0</v>
      </c>
      <c r="J571" s="47">
        <v>15447.0</v>
      </c>
    </row>
    <row r="572" ht="12.75" customHeight="1">
      <c r="A572" s="42" t="s">
        <v>1343</v>
      </c>
      <c r="B572" s="21">
        <v>46306.0</v>
      </c>
      <c r="C572" s="9" t="s">
        <v>118</v>
      </c>
      <c r="D572" s="9" t="s">
        <v>119</v>
      </c>
      <c r="E572" s="9" t="s">
        <v>120</v>
      </c>
      <c r="F572" s="9" t="s">
        <v>121</v>
      </c>
      <c r="G572" s="9" t="s">
        <v>122</v>
      </c>
      <c r="I572" s="9">
        <v>15787.0</v>
      </c>
      <c r="J572" s="47">
        <v>15787.0</v>
      </c>
    </row>
    <row r="573" ht="12.75" customHeight="1">
      <c r="A573" s="42" t="s">
        <v>1351</v>
      </c>
      <c r="B573" s="21">
        <v>46313.0</v>
      </c>
      <c r="C573" s="9" t="s">
        <v>118</v>
      </c>
      <c r="D573" s="9" t="s">
        <v>119</v>
      </c>
      <c r="E573" s="9" t="s">
        <v>120</v>
      </c>
      <c r="F573" s="9" t="s">
        <v>121</v>
      </c>
      <c r="G573" s="9" t="s">
        <v>122</v>
      </c>
      <c r="I573" s="9">
        <v>16212.0</v>
      </c>
      <c r="J573" s="47">
        <v>16212.0</v>
      </c>
    </row>
    <row r="574" ht="12.75" customHeight="1">
      <c r="A574" s="42" t="s">
        <v>1359</v>
      </c>
      <c r="B574" s="21">
        <v>46320.0</v>
      </c>
      <c r="C574" s="9" t="s">
        <v>118</v>
      </c>
      <c r="D574" s="9" t="s">
        <v>119</v>
      </c>
      <c r="E574" s="9" t="s">
        <v>120</v>
      </c>
      <c r="F574" s="9" t="s">
        <v>121</v>
      </c>
      <c r="G574" s="9" t="s">
        <v>122</v>
      </c>
      <c r="I574" s="9">
        <v>16637.0</v>
      </c>
      <c r="J574" s="47">
        <v>16637.0</v>
      </c>
    </row>
    <row r="575" ht="12.75" customHeight="1">
      <c r="A575" s="42" t="s">
        <v>1367</v>
      </c>
      <c r="B575" s="21">
        <v>46327.0</v>
      </c>
      <c r="C575" s="9" t="s">
        <v>118</v>
      </c>
      <c r="D575" s="9" t="s">
        <v>119</v>
      </c>
      <c r="E575" s="9" t="s">
        <v>120</v>
      </c>
      <c r="F575" s="9" t="s">
        <v>121</v>
      </c>
      <c r="G575" s="9" t="s">
        <v>122</v>
      </c>
      <c r="I575" s="9">
        <v>17047.0</v>
      </c>
      <c r="J575" s="47">
        <v>17047.0</v>
      </c>
    </row>
    <row r="576" ht="12.75" customHeight="1">
      <c r="A576" s="42" t="s">
        <v>1375</v>
      </c>
      <c r="B576" s="21">
        <v>46334.0</v>
      </c>
      <c r="C576" s="9" t="s">
        <v>118</v>
      </c>
      <c r="D576" s="9" t="s">
        <v>119</v>
      </c>
      <c r="E576" s="9" t="s">
        <v>120</v>
      </c>
      <c r="F576" s="9" t="s">
        <v>121</v>
      </c>
      <c r="G576" s="9" t="s">
        <v>122</v>
      </c>
      <c r="I576" s="9">
        <v>17375.0</v>
      </c>
      <c r="J576" s="47">
        <v>17375.0</v>
      </c>
    </row>
    <row r="577" ht="12.75" customHeight="1">
      <c r="A577" s="42" t="s">
        <v>1383</v>
      </c>
      <c r="B577" s="21">
        <v>46341.0</v>
      </c>
      <c r="C577" s="9" t="s">
        <v>118</v>
      </c>
      <c r="D577" s="9" t="s">
        <v>119</v>
      </c>
      <c r="E577" s="9" t="s">
        <v>120</v>
      </c>
      <c r="F577" s="9" t="s">
        <v>121</v>
      </c>
      <c r="G577" s="9" t="s">
        <v>122</v>
      </c>
      <c r="I577" s="9">
        <v>17785.0</v>
      </c>
      <c r="J577" s="47">
        <v>17785.0</v>
      </c>
    </row>
    <row r="578" ht="12.75" customHeight="1">
      <c r="A578" s="42" t="s">
        <v>1391</v>
      </c>
      <c r="B578" s="21">
        <v>46348.0</v>
      </c>
      <c r="C578" s="9" t="s">
        <v>118</v>
      </c>
      <c r="D578" s="9" t="s">
        <v>119</v>
      </c>
      <c r="E578" s="9" t="s">
        <v>120</v>
      </c>
      <c r="F578" s="9" t="s">
        <v>121</v>
      </c>
      <c r="G578" s="9" t="s">
        <v>122</v>
      </c>
      <c r="I578" s="9">
        <v>18031.0</v>
      </c>
      <c r="J578" s="47">
        <v>18031.0</v>
      </c>
    </row>
    <row r="579" ht="12.75" customHeight="1">
      <c r="A579" s="42" t="s">
        <v>1399</v>
      </c>
      <c r="B579" s="21">
        <v>46355.0</v>
      </c>
      <c r="C579" s="9" t="s">
        <v>118</v>
      </c>
      <c r="D579" s="9" t="s">
        <v>119</v>
      </c>
      <c r="E579" s="9" t="s">
        <v>120</v>
      </c>
      <c r="F579" s="9" t="s">
        <v>121</v>
      </c>
      <c r="G579" s="9" t="s">
        <v>122</v>
      </c>
      <c r="I579" s="9">
        <v>18349.0</v>
      </c>
      <c r="J579" s="47">
        <v>18349.0</v>
      </c>
    </row>
    <row r="580" ht="12.75" customHeight="1">
      <c r="A580" s="42" t="s">
        <v>1407</v>
      </c>
      <c r="B580" s="21">
        <v>46362.0</v>
      </c>
      <c r="C580" s="9" t="s">
        <v>118</v>
      </c>
      <c r="D580" s="9" t="s">
        <v>119</v>
      </c>
      <c r="E580" s="9" t="s">
        <v>120</v>
      </c>
      <c r="F580" s="9" t="s">
        <v>121</v>
      </c>
      <c r="G580" s="9" t="s">
        <v>122</v>
      </c>
      <c r="I580" s="9">
        <v>18644.0</v>
      </c>
      <c r="J580" s="47">
        <v>18644.0</v>
      </c>
    </row>
    <row r="581" ht="12.75" customHeight="1">
      <c r="A581" s="42" t="s">
        <v>1415</v>
      </c>
      <c r="B581" s="21">
        <v>46369.0</v>
      </c>
      <c r="C581" s="9" t="s">
        <v>118</v>
      </c>
      <c r="D581" s="9" t="s">
        <v>119</v>
      </c>
      <c r="E581" s="9" t="s">
        <v>120</v>
      </c>
      <c r="F581" s="9" t="s">
        <v>121</v>
      </c>
      <c r="G581" s="9" t="s">
        <v>122</v>
      </c>
      <c r="I581" s="9">
        <v>18939.0</v>
      </c>
      <c r="J581" s="47">
        <v>18939.0</v>
      </c>
    </row>
    <row r="582" ht="12.75" customHeight="1">
      <c r="A582" s="42" t="s">
        <v>1423</v>
      </c>
      <c r="B582" s="21">
        <v>46376.0</v>
      </c>
      <c r="C582" s="9" t="s">
        <v>118</v>
      </c>
      <c r="D582" s="9" t="s">
        <v>119</v>
      </c>
      <c r="E582" s="9" t="s">
        <v>120</v>
      </c>
      <c r="F582" s="9" t="s">
        <v>121</v>
      </c>
      <c r="G582" s="9" t="s">
        <v>122</v>
      </c>
      <c r="I582" s="9">
        <v>19175.0</v>
      </c>
      <c r="J582" s="47">
        <v>19175.0</v>
      </c>
    </row>
    <row r="583" ht="12.75" customHeight="1">
      <c r="A583" s="42" t="s">
        <v>1431</v>
      </c>
      <c r="B583" s="21">
        <v>46383.0</v>
      </c>
      <c r="C583" s="9" t="s">
        <v>118</v>
      </c>
      <c r="D583" s="9" t="s">
        <v>119</v>
      </c>
      <c r="E583" s="9" t="s">
        <v>120</v>
      </c>
      <c r="F583" s="9" t="s">
        <v>121</v>
      </c>
      <c r="G583" s="9" t="s">
        <v>122</v>
      </c>
      <c r="I583" s="9">
        <v>19411.0</v>
      </c>
      <c r="J583" s="47">
        <v>19411.0</v>
      </c>
    </row>
    <row r="584" ht="12.75" customHeight="1">
      <c r="A584" s="42" t="s">
        <v>1119</v>
      </c>
      <c r="B584" s="21">
        <v>46110.0</v>
      </c>
      <c r="C584" s="9" t="s">
        <v>118</v>
      </c>
      <c r="D584" s="9" t="s">
        <v>145</v>
      </c>
      <c r="E584" s="9" t="s">
        <v>120</v>
      </c>
      <c r="G584" s="9" t="s">
        <v>122</v>
      </c>
      <c r="H584" s="9" t="s">
        <v>144</v>
      </c>
      <c r="I584" s="9">
        <v>0.0375</v>
      </c>
      <c r="J584" s="47">
        <v>0.0375</v>
      </c>
    </row>
    <row r="585" ht="12.75" customHeight="1">
      <c r="A585" s="42" t="s">
        <v>1127</v>
      </c>
      <c r="B585" s="21">
        <v>46117.0</v>
      </c>
      <c r="C585" s="9" t="s">
        <v>118</v>
      </c>
      <c r="D585" s="9" t="s">
        <v>145</v>
      </c>
      <c r="E585" s="9" t="s">
        <v>120</v>
      </c>
      <c r="G585" s="9" t="s">
        <v>122</v>
      </c>
      <c r="H585" s="9" t="s">
        <v>144</v>
      </c>
      <c r="I585" s="9">
        <v>0.0375</v>
      </c>
      <c r="J585" s="47">
        <v>0.0375</v>
      </c>
    </row>
    <row r="586" ht="12.75" customHeight="1">
      <c r="A586" s="42" t="s">
        <v>1135</v>
      </c>
      <c r="B586" s="21">
        <v>46124.0</v>
      </c>
      <c r="C586" s="9" t="s">
        <v>118</v>
      </c>
      <c r="D586" s="9" t="s">
        <v>145</v>
      </c>
      <c r="E586" s="9" t="s">
        <v>120</v>
      </c>
      <c r="G586" s="9" t="s">
        <v>122</v>
      </c>
      <c r="H586" s="9" t="s">
        <v>144</v>
      </c>
      <c r="I586" s="9">
        <v>0.0375</v>
      </c>
      <c r="J586" s="47">
        <v>0.0375</v>
      </c>
    </row>
    <row r="587" ht="12.75" customHeight="1">
      <c r="A587" s="42" t="s">
        <v>1143</v>
      </c>
      <c r="B587" s="21">
        <v>46131.0</v>
      </c>
      <c r="C587" s="9" t="s">
        <v>118</v>
      </c>
      <c r="D587" s="9" t="s">
        <v>145</v>
      </c>
      <c r="E587" s="9" t="s">
        <v>120</v>
      </c>
      <c r="G587" s="9" t="s">
        <v>122</v>
      </c>
      <c r="H587" s="9" t="s">
        <v>144</v>
      </c>
      <c r="I587" s="9">
        <v>0.0375</v>
      </c>
      <c r="J587" s="47">
        <v>0.0375</v>
      </c>
    </row>
    <row r="588" ht="12.75" customHeight="1">
      <c r="A588" s="42" t="s">
        <v>1151</v>
      </c>
      <c r="B588" s="21">
        <v>46138.0</v>
      </c>
      <c r="C588" s="9" t="s">
        <v>118</v>
      </c>
      <c r="D588" s="9" t="s">
        <v>145</v>
      </c>
      <c r="E588" s="9" t="s">
        <v>120</v>
      </c>
      <c r="G588" s="9" t="s">
        <v>122</v>
      </c>
      <c r="H588" s="9" t="s">
        <v>144</v>
      </c>
      <c r="I588" s="9">
        <v>0.0387</v>
      </c>
      <c r="J588" s="47">
        <v>0.0387</v>
      </c>
    </row>
    <row r="589" ht="12.75" customHeight="1">
      <c r="A589" s="42" t="s">
        <v>1159</v>
      </c>
      <c r="B589" s="21">
        <v>46145.0</v>
      </c>
      <c r="C589" s="9" t="s">
        <v>118</v>
      </c>
      <c r="D589" s="9" t="s">
        <v>145</v>
      </c>
      <c r="E589" s="9" t="s">
        <v>120</v>
      </c>
      <c r="G589" s="9" t="s">
        <v>122</v>
      </c>
      <c r="H589" s="9" t="s">
        <v>144</v>
      </c>
      <c r="I589" s="9">
        <v>0.0387</v>
      </c>
      <c r="J589" s="47">
        <v>0.0387</v>
      </c>
    </row>
    <row r="590" ht="12.75" customHeight="1">
      <c r="A590" s="42" t="s">
        <v>1167</v>
      </c>
      <c r="B590" s="21">
        <v>46152.0</v>
      </c>
      <c r="C590" s="9" t="s">
        <v>118</v>
      </c>
      <c r="D590" s="9" t="s">
        <v>145</v>
      </c>
      <c r="E590" s="9" t="s">
        <v>120</v>
      </c>
      <c r="G590" s="9" t="s">
        <v>122</v>
      </c>
      <c r="H590" s="9" t="s">
        <v>144</v>
      </c>
      <c r="I590" s="9">
        <v>0.0387</v>
      </c>
      <c r="J590" s="47">
        <v>0.0387</v>
      </c>
    </row>
    <row r="591" ht="12.75" customHeight="1">
      <c r="A591" s="42" t="s">
        <v>1175</v>
      </c>
      <c r="B591" s="21">
        <v>46159.0</v>
      </c>
      <c r="C591" s="9" t="s">
        <v>118</v>
      </c>
      <c r="D591" s="9" t="s">
        <v>145</v>
      </c>
      <c r="E591" s="9" t="s">
        <v>120</v>
      </c>
      <c r="G591" s="9" t="s">
        <v>122</v>
      </c>
      <c r="H591" s="9" t="s">
        <v>144</v>
      </c>
      <c r="I591" s="9">
        <v>0.0387</v>
      </c>
      <c r="J591" s="47">
        <v>0.0387</v>
      </c>
    </row>
    <row r="592" ht="12.75" customHeight="1">
      <c r="A592" s="42" t="s">
        <v>1183</v>
      </c>
      <c r="B592" s="21">
        <v>46166.0</v>
      </c>
      <c r="C592" s="9" t="s">
        <v>118</v>
      </c>
      <c r="D592" s="9" t="s">
        <v>145</v>
      </c>
      <c r="E592" s="9" t="s">
        <v>120</v>
      </c>
      <c r="G592" s="9" t="s">
        <v>122</v>
      </c>
      <c r="H592" s="9" t="s">
        <v>144</v>
      </c>
      <c r="I592" s="9">
        <v>0.0381</v>
      </c>
      <c r="J592" s="47">
        <v>0.0381</v>
      </c>
    </row>
    <row r="593" ht="12.75" customHeight="1">
      <c r="A593" s="42" t="s">
        <v>1193</v>
      </c>
      <c r="B593" s="21">
        <v>46174.0</v>
      </c>
      <c r="C593" s="9" t="s">
        <v>118</v>
      </c>
      <c r="D593" s="9" t="s">
        <v>145</v>
      </c>
      <c r="E593" s="9" t="s">
        <v>120</v>
      </c>
      <c r="G593" s="9" t="s">
        <v>122</v>
      </c>
      <c r="H593" s="9" t="s">
        <v>144</v>
      </c>
      <c r="I593" s="9">
        <v>0.0381</v>
      </c>
      <c r="J593" s="47">
        <v>0.0381</v>
      </c>
    </row>
    <row r="594" ht="12.75" customHeight="1">
      <c r="A594" s="42" t="s">
        <v>1199</v>
      </c>
      <c r="B594" s="21">
        <v>46180.0</v>
      </c>
      <c r="C594" s="9" t="s">
        <v>118</v>
      </c>
      <c r="D594" s="9" t="s">
        <v>145</v>
      </c>
      <c r="E594" s="9" t="s">
        <v>120</v>
      </c>
      <c r="G594" s="9" t="s">
        <v>122</v>
      </c>
      <c r="H594" s="9" t="s">
        <v>144</v>
      </c>
      <c r="I594" s="9">
        <v>0.0381</v>
      </c>
      <c r="J594" s="47">
        <v>0.0381</v>
      </c>
    </row>
    <row r="595" ht="12.75" customHeight="1">
      <c r="A595" s="42" t="s">
        <v>1207</v>
      </c>
      <c r="B595" s="21">
        <v>46187.0</v>
      </c>
      <c r="C595" s="9" t="s">
        <v>118</v>
      </c>
      <c r="D595" s="9" t="s">
        <v>145</v>
      </c>
      <c r="E595" s="9" t="s">
        <v>120</v>
      </c>
      <c r="G595" s="9" t="s">
        <v>122</v>
      </c>
      <c r="H595" s="9" t="s">
        <v>144</v>
      </c>
      <c r="I595" s="9">
        <v>0.0381</v>
      </c>
      <c r="J595" s="47">
        <v>0.0381</v>
      </c>
    </row>
    <row r="596" ht="12.75" customHeight="1">
      <c r="A596" s="42" t="s">
        <v>1215</v>
      </c>
      <c r="B596" s="21">
        <v>46194.0</v>
      </c>
      <c r="C596" s="9" t="s">
        <v>118</v>
      </c>
      <c r="D596" s="9" t="s">
        <v>145</v>
      </c>
      <c r="E596" s="9" t="s">
        <v>120</v>
      </c>
      <c r="G596" s="9" t="s">
        <v>122</v>
      </c>
      <c r="H596" s="9" t="s">
        <v>144</v>
      </c>
      <c r="I596" s="9">
        <v>0.0381</v>
      </c>
      <c r="J596" s="47">
        <v>0.0381</v>
      </c>
    </row>
    <row r="597" ht="12.75" customHeight="1">
      <c r="A597" s="42" t="s">
        <v>1223</v>
      </c>
      <c r="B597" s="21">
        <v>46201.0</v>
      </c>
      <c r="C597" s="9" t="s">
        <v>118</v>
      </c>
      <c r="D597" s="9" t="s">
        <v>145</v>
      </c>
      <c r="E597" s="9" t="s">
        <v>120</v>
      </c>
      <c r="G597" s="9" t="s">
        <v>122</v>
      </c>
      <c r="H597" s="9" t="s">
        <v>144</v>
      </c>
      <c r="I597" s="9">
        <v>0.0378</v>
      </c>
      <c r="J597" s="47">
        <v>0.0378</v>
      </c>
    </row>
    <row r="598" ht="12.75" customHeight="1">
      <c r="A598" s="42" t="s">
        <v>1231</v>
      </c>
      <c r="B598" s="21">
        <v>46208.0</v>
      </c>
      <c r="C598" s="9" t="s">
        <v>118</v>
      </c>
      <c r="D598" s="9" t="s">
        <v>145</v>
      </c>
      <c r="E598" s="9" t="s">
        <v>120</v>
      </c>
      <c r="G598" s="9" t="s">
        <v>122</v>
      </c>
      <c r="H598" s="9" t="s">
        <v>144</v>
      </c>
      <c r="I598" s="9">
        <v>0.0378</v>
      </c>
      <c r="J598" s="47">
        <v>0.0378</v>
      </c>
    </row>
    <row r="599" ht="12.75" customHeight="1">
      <c r="A599" s="42" t="s">
        <v>1239</v>
      </c>
      <c r="B599" s="21">
        <v>46215.0</v>
      </c>
      <c r="C599" s="9" t="s">
        <v>118</v>
      </c>
      <c r="D599" s="9" t="s">
        <v>145</v>
      </c>
      <c r="E599" s="9" t="s">
        <v>120</v>
      </c>
      <c r="G599" s="9" t="s">
        <v>122</v>
      </c>
      <c r="H599" s="9" t="s">
        <v>144</v>
      </c>
      <c r="I599" s="9">
        <v>0.0378</v>
      </c>
      <c r="J599" s="47">
        <v>0.0378</v>
      </c>
    </row>
    <row r="600" ht="12.75" customHeight="1">
      <c r="A600" s="42" t="s">
        <v>1247</v>
      </c>
      <c r="B600" s="21">
        <v>46222.0</v>
      </c>
      <c r="C600" s="9" t="s">
        <v>118</v>
      </c>
      <c r="D600" s="9" t="s">
        <v>145</v>
      </c>
      <c r="E600" s="9" t="s">
        <v>120</v>
      </c>
      <c r="G600" s="9" t="s">
        <v>122</v>
      </c>
      <c r="H600" s="9" t="s">
        <v>144</v>
      </c>
      <c r="I600" s="9">
        <v>0.0378</v>
      </c>
      <c r="J600" s="47">
        <v>0.0378</v>
      </c>
    </row>
    <row r="601" ht="12.75" customHeight="1">
      <c r="A601" s="42" t="s">
        <v>1255</v>
      </c>
      <c r="B601" s="21">
        <v>46229.0</v>
      </c>
      <c r="C601" s="9" t="s">
        <v>118</v>
      </c>
      <c r="D601" s="9" t="s">
        <v>145</v>
      </c>
      <c r="E601" s="9" t="s">
        <v>120</v>
      </c>
      <c r="G601" s="9" t="s">
        <v>122</v>
      </c>
      <c r="H601" s="9" t="s">
        <v>144</v>
      </c>
      <c r="I601" s="9">
        <v>0.0377</v>
      </c>
      <c r="J601" s="47">
        <v>0.0377</v>
      </c>
    </row>
    <row r="602" ht="12.75" customHeight="1">
      <c r="A602" s="42" t="s">
        <v>1263</v>
      </c>
      <c r="B602" s="21">
        <v>46236.0</v>
      </c>
      <c r="C602" s="9" t="s">
        <v>118</v>
      </c>
      <c r="D602" s="9" t="s">
        <v>145</v>
      </c>
      <c r="E602" s="9" t="s">
        <v>120</v>
      </c>
      <c r="G602" s="9" t="s">
        <v>122</v>
      </c>
      <c r="H602" s="9" t="s">
        <v>144</v>
      </c>
      <c r="I602" s="9">
        <v>0.0377</v>
      </c>
      <c r="J602" s="47">
        <v>0.0377</v>
      </c>
    </row>
    <row r="603" ht="12.75" customHeight="1">
      <c r="A603" s="42" t="s">
        <v>1271</v>
      </c>
      <c r="B603" s="21">
        <v>46243.0</v>
      </c>
      <c r="C603" s="9" t="s">
        <v>118</v>
      </c>
      <c r="D603" s="9" t="s">
        <v>145</v>
      </c>
      <c r="E603" s="9" t="s">
        <v>120</v>
      </c>
      <c r="G603" s="9" t="s">
        <v>122</v>
      </c>
      <c r="H603" s="9" t="s">
        <v>144</v>
      </c>
      <c r="I603" s="9">
        <v>0.0377</v>
      </c>
      <c r="J603" s="47">
        <v>0.0377</v>
      </c>
    </row>
    <row r="604" ht="12.75" customHeight="1">
      <c r="A604" s="42" t="s">
        <v>1279</v>
      </c>
      <c r="B604" s="21">
        <v>46250.0</v>
      </c>
      <c r="C604" s="9" t="s">
        <v>118</v>
      </c>
      <c r="D604" s="9" t="s">
        <v>145</v>
      </c>
      <c r="E604" s="9" t="s">
        <v>120</v>
      </c>
      <c r="G604" s="9" t="s">
        <v>122</v>
      </c>
      <c r="H604" s="9" t="s">
        <v>144</v>
      </c>
      <c r="I604" s="9">
        <v>0.0377</v>
      </c>
      <c r="J604" s="47">
        <v>0.0377</v>
      </c>
    </row>
    <row r="605" ht="12.75" customHeight="1">
      <c r="A605" s="42" t="s">
        <v>1287</v>
      </c>
      <c r="B605" s="21">
        <v>46257.0</v>
      </c>
      <c r="C605" s="9" t="s">
        <v>118</v>
      </c>
      <c r="D605" s="9" t="s">
        <v>145</v>
      </c>
      <c r="E605" s="9" t="s">
        <v>120</v>
      </c>
      <c r="G605" s="9" t="s">
        <v>122</v>
      </c>
      <c r="H605" s="9" t="s">
        <v>144</v>
      </c>
      <c r="I605" s="9">
        <v>0.037</v>
      </c>
      <c r="J605" s="47">
        <v>0.037</v>
      </c>
    </row>
    <row r="606" ht="12.75" customHeight="1">
      <c r="A606" s="42" t="s">
        <v>1295</v>
      </c>
      <c r="B606" s="21">
        <v>46264.0</v>
      </c>
      <c r="C606" s="9" t="s">
        <v>118</v>
      </c>
      <c r="D606" s="9" t="s">
        <v>145</v>
      </c>
      <c r="E606" s="9" t="s">
        <v>120</v>
      </c>
      <c r="G606" s="9" t="s">
        <v>122</v>
      </c>
      <c r="H606" s="9" t="s">
        <v>144</v>
      </c>
      <c r="I606" s="9">
        <v>0.037</v>
      </c>
      <c r="J606" s="47">
        <v>0.037</v>
      </c>
    </row>
    <row r="607" ht="12.75" customHeight="1">
      <c r="A607" s="42" t="s">
        <v>1303</v>
      </c>
      <c r="B607" s="21">
        <v>46271.0</v>
      </c>
      <c r="C607" s="9" t="s">
        <v>118</v>
      </c>
      <c r="D607" s="9" t="s">
        <v>145</v>
      </c>
      <c r="E607" s="9" t="s">
        <v>120</v>
      </c>
      <c r="G607" s="9" t="s">
        <v>122</v>
      </c>
      <c r="H607" s="9" t="s">
        <v>144</v>
      </c>
      <c r="I607" s="9">
        <v>0.037</v>
      </c>
      <c r="J607" s="47">
        <v>0.037</v>
      </c>
    </row>
    <row r="608" ht="12.75" customHeight="1">
      <c r="A608" s="42" t="s">
        <v>1311</v>
      </c>
      <c r="B608" s="21">
        <v>46278.0</v>
      </c>
      <c r="C608" s="9" t="s">
        <v>118</v>
      </c>
      <c r="D608" s="9" t="s">
        <v>145</v>
      </c>
      <c r="E608" s="9" t="s">
        <v>120</v>
      </c>
      <c r="G608" s="9" t="s">
        <v>122</v>
      </c>
      <c r="H608" s="9" t="s">
        <v>144</v>
      </c>
      <c r="I608" s="9">
        <v>0.037</v>
      </c>
      <c r="J608" s="47">
        <v>0.037</v>
      </c>
    </row>
    <row r="609" ht="12.75" customHeight="1">
      <c r="A609" s="42" t="s">
        <v>1319</v>
      </c>
      <c r="B609" s="21">
        <v>46285.0</v>
      </c>
      <c r="C609" s="9" t="s">
        <v>118</v>
      </c>
      <c r="D609" s="9" t="s">
        <v>145</v>
      </c>
      <c r="E609" s="9" t="s">
        <v>120</v>
      </c>
      <c r="G609" s="9" t="s">
        <v>122</v>
      </c>
      <c r="H609" s="9" t="s">
        <v>144</v>
      </c>
      <c r="I609" s="9">
        <v>0.037</v>
      </c>
      <c r="J609" s="47">
        <v>0.037</v>
      </c>
    </row>
    <row r="610" ht="12.75" customHeight="1">
      <c r="A610" s="42" t="s">
        <v>1327</v>
      </c>
      <c r="B610" s="21">
        <v>46292.0</v>
      </c>
      <c r="C610" s="9" t="s">
        <v>118</v>
      </c>
      <c r="D610" s="9" t="s">
        <v>145</v>
      </c>
      <c r="E610" s="9" t="s">
        <v>120</v>
      </c>
      <c r="G610" s="9" t="s">
        <v>122</v>
      </c>
      <c r="H610" s="9" t="s">
        <v>144</v>
      </c>
      <c r="I610" s="9">
        <v>0.0367</v>
      </c>
      <c r="J610" s="47">
        <v>0.0367</v>
      </c>
    </row>
    <row r="611" ht="12.75" customHeight="1">
      <c r="A611" s="42" t="s">
        <v>1335</v>
      </c>
      <c r="B611" s="21">
        <v>46299.0</v>
      </c>
      <c r="C611" s="9" t="s">
        <v>118</v>
      </c>
      <c r="D611" s="9" t="s">
        <v>145</v>
      </c>
      <c r="E611" s="9" t="s">
        <v>120</v>
      </c>
      <c r="G611" s="9" t="s">
        <v>122</v>
      </c>
      <c r="H611" s="9" t="s">
        <v>144</v>
      </c>
      <c r="I611" s="9">
        <v>0.0367</v>
      </c>
      <c r="J611" s="47">
        <v>0.0367</v>
      </c>
    </row>
    <row r="612" ht="12.75" customHeight="1">
      <c r="A612" s="42" t="s">
        <v>1343</v>
      </c>
      <c r="B612" s="21">
        <v>46306.0</v>
      </c>
      <c r="C612" s="9" t="s">
        <v>118</v>
      </c>
      <c r="D612" s="9" t="s">
        <v>145</v>
      </c>
      <c r="E612" s="9" t="s">
        <v>120</v>
      </c>
      <c r="G612" s="9" t="s">
        <v>122</v>
      </c>
      <c r="H612" s="9" t="s">
        <v>144</v>
      </c>
      <c r="I612" s="9">
        <v>0.0367</v>
      </c>
      <c r="J612" s="47">
        <v>0.0367</v>
      </c>
    </row>
    <row r="613" ht="12.75" customHeight="1">
      <c r="A613" s="42" t="s">
        <v>1351</v>
      </c>
      <c r="B613" s="21">
        <v>46313.0</v>
      </c>
      <c r="C613" s="9" t="s">
        <v>118</v>
      </c>
      <c r="D613" s="9" t="s">
        <v>145</v>
      </c>
      <c r="E613" s="9" t="s">
        <v>120</v>
      </c>
      <c r="G613" s="9" t="s">
        <v>122</v>
      </c>
      <c r="H613" s="9" t="s">
        <v>144</v>
      </c>
      <c r="I613" s="9">
        <v>0.0367</v>
      </c>
      <c r="J613" s="47">
        <v>0.0367</v>
      </c>
    </row>
    <row r="614" ht="12.75" customHeight="1">
      <c r="A614" s="42" t="s">
        <v>1359</v>
      </c>
      <c r="B614" s="21">
        <v>46320.0</v>
      </c>
      <c r="C614" s="9" t="s">
        <v>118</v>
      </c>
      <c r="D614" s="9" t="s">
        <v>145</v>
      </c>
      <c r="E614" s="9" t="s">
        <v>120</v>
      </c>
      <c r="G614" s="9" t="s">
        <v>122</v>
      </c>
      <c r="H614" s="9" t="s">
        <v>144</v>
      </c>
      <c r="I614" s="9">
        <v>0.0361</v>
      </c>
      <c r="J614" s="47">
        <v>0.0361</v>
      </c>
    </row>
    <row r="615" ht="12.75" customHeight="1">
      <c r="A615" s="42" t="s">
        <v>1367</v>
      </c>
      <c r="B615" s="21">
        <v>46327.0</v>
      </c>
      <c r="C615" s="9" t="s">
        <v>118</v>
      </c>
      <c r="D615" s="9" t="s">
        <v>145</v>
      </c>
      <c r="E615" s="9" t="s">
        <v>120</v>
      </c>
      <c r="G615" s="9" t="s">
        <v>122</v>
      </c>
      <c r="H615" s="9" t="s">
        <v>144</v>
      </c>
      <c r="I615" s="9">
        <v>0.0361</v>
      </c>
      <c r="J615" s="47">
        <v>0.0361</v>
      </c>
    </row>
    <row r="616" ht="12.75" customHeight="1">
      <c r="A616" s="42" t="s">
        <v>1375</v>
      </c>
      <c r="B616" s="21">
        <v>46334.0</v>
      </c>
      <c r="C616" s="9" t="s">
        <v>118</v>
      </c>
      <c r="D616" s="9" t="s">
        <v>145</v>
      </c>
      <c r="E616" s="9" t="s">
        <v>120</v>
      </c>
      <c r="G616" s="9" t="s">
        <v>122</v>
      </c>
      <c r="H616" s="9" t="s">
        <v>144</v>
      </c>
      <c r="I616" s="9">
        <v>0.0361</v>
      </c>
      <c r="J616" s="47">
        <v>0.0361</v>
      </c>
    </row>
    <row r="617" ht="12.75" customHeight="1">
      <c r="A617" s="42" t="s">
        <v>1383</v>
      </c>
      <c r="B617" s="21">
        <v>46341.0</v>
      </c>
      <c r="C617" s="9" t="s">
        <v>118</v>
      </c>
      <c r="D617" s="9" t="s">
        <v>145</v>
      </c>
      <c r="E617" s="9" t="s">
        <v>120</v>
      </c>
      <c r="G617" s="9" t="s">
        <v>122</v>
      </c>
      <c r="H617" s="9" t="s">
        <v>144</v>
      </c>
      <c r="I617" s="9">
        <v>0.0361</v>
      </c>
      <c r="J617" s="47">
        <v>0.0361</v>
      </c>
    </row>
    <row r="618" ht="12.75" customHeight="1">
      <c r="A618" s="42" t="s">
        <v>1391</v>
      </c>
      <c r="B618" s="21">
        <v>46348.0</v>
      </c>
      <c r="C618" s="9" t="s">
        <v>118</v>
      </c>
      <c r="D618" s="9" t="s">
        <v>145</v>
      </c>
      <c r="E618" s="9" t="s">
        <v>120</v>
      </c>
      <c r="G618" s="9" t="s">
        <v>122</v>
      </c>
      <c r="H618" s="9" t="s">
        <v>144</v>
      </c>
      <c r="I618" s="9">
        <v>0.0361</v>
      </c>
      <c r="J618" s="47">
        <v>0.0361</v>
      </c>
    </row>
    <row r="619" ht="12.75" customHeight="1">
      <c r="A619" s="42" t="s">
        <v>1399</v>
      </c>
      <c r="B619" s="21">
        <v>46355.0</v>
      </c>
      <c r="C619" s="9" t="s">
        <v>118</v>
      </c>
      <c r="D619" s="9" t="s">
        <v>145</v>
      </c>
      <c r="E619" s="9" t="s">
        <v>120</v>
      </c>
      <c r="G619" s="9" t="s">
        <v>122</v>
      </c>
      <c r="H619" s="9" t="s">
        <v>144</v>
      </c>
      <c r="I619" s="9">
        <v>0.0356</v>
      </c>
      <c r="J619" s="47">
        <v>0.0356</v>
      </c>
    </row>
    <row r="620" ht="12.75" customHeight="1">
      <c r="A620" s="42" t="s">
        <v>1407</v>
      </c>
      <c r="B620" s="21">
        <v>46362.0</v>
      </c>
      <c r="C620" s="9" t="s">
        <v>118</v>
      </c>
      <c r="D620" s="9" t="s">
        <v>145</v>
      </c>
      <c r="E620" s="9" t="s">
        <v>120</v>
      </c>
      <c r="G620" s="9" t="s">
        <v>122</v>
      </c>
      <c r="H620" s="9" t="s">
        <v>144</v>
      </c>
      <c r="I620" s="9">
        <v>0.0356</v>
      </c>
      <c r="J620" s="47">
        <v>0.0356</v>
      </c>
    </row>
    <row r="621" ht="12.75" customHeight="1">
      <c r="A621" s="42" t="s">
        <v>1415</v>
      </c>
      <c r="B621" s="21">
        <v>46369.0</v>
      </c>
      <c r="C621" s="9" t="s">
        <v>118</v>
      </c>
      <c r="D621" s="9" t="s">
        <v>145</v>
      </c>
      <c r="E621" s="9" t="s">
        <v>120</v>
      </c>
      <c r="G621" s="9" t="s">
        <v>122</v>
      </c>
      <c r="H621" s="9" t="s">
        <v>144</v>
      </c>
      <c r="I621" s="9">
        <v>0.0356</v>
      </c>
      <c r="J621" s="47">
        <v>0.0356</v>
      </c>
    </row>
    <row r="622" ht="12.75" customHeight="1">
      <c r="A622" s="42" t="s">
        <v>1423</v>
      </c>
      <c r="B622" s="21">
        <v>46376.0</v>
      </c>
      <c r="C622" s="9" t="s">
        <v>118</v>
      </c>
      <c r="D622" s="9" t="s">
        <v>145</v>
      </c>
      <c r="E622" s="9" t="s">
        <v>120</v>
      </c>
      <c r="G622" s="9" t="s">
        <v>122</v>
      </c>
      <c r="H622" s="9" t="s">
        <v>144</v>
      </c>
      <c r="I622" s="9">
        <v>0.0356</v>
      </c>
      <c r="J622" s="47">
        <v>0.0356</v>
      </c>
    </row>
    <row r="623" ht="12.75" customHeight="1">
      <c r="A623" s="42" t="s">
        <v>1431</v>
      </c>
      <c r="B623" s="21">
        <v>46383.0</v>
      </c>
      <c r="C623" s="9" t="s">
        <v>118</v>
      </c>
      <c r="D623" s="9" t="s">
        <v>145</v>
      </c>
      <c r="E623" s="9" t="s">
        <v>120</v>
      </c>
      <c r="G623" s="9" t="s">
        <v>122</v>
      </c>
      <c r="H623" s="9" t="s">
        <v>144</v>
      </c>
      <c r="I623" s="9">
        <v>0.0345</v>
      </c>
      <c r="J623" s="47">
        <v>0.0345</v>
      </c>
    </row>
    <row r="624" ht="12.75" customHeight="1">
      <c r="A624" s="42" t="s">
        <v>1087</v>
      </c>
      <c r="B624" s="21">
        <v>46082.0</v>
      </c>
      <c r="C624" s="9" t="s">
        <v>118</v>
      </c>
      <c r="D624" s="9" t="s">
        <v>148</v>
      </c>
      <c r="E624" s="9" t="s">
        <v>120</v>
      </c>
      <c r="G624" s="9" t="s">
        <v>122</v>
      </c>
      <c r="H624" s="9" t="s">
        <v>146</v>
      </c>
      <c r="I624" s="9" t="s">
        <v>1612</v>
      </c>
      <c r="J624" s="47"/>
    </row>
    <row r="625" ht="12.75" customHeight="1">
      <c r="A625" s="42" t="s">
        <v>1095</v>
      </c>
      <c r="B625" s="21">
        <v>46089.0</v>
      </c>
      <c r="C625" s="9" t="s">
        <v>118</v>
      </c>
      <c r="D625" s="9" t="s">
        <v>148</v>
      </c>
      <c r="E625" s="9" t="s">
        <v>120</v>
      </c>
      <c r="G625" s="9" t="s">
        <v>122</v>
      </c>
      <c r="H625" s="9" t="s">
        <v>146</v>
      </c>
      <c r="I625" s="9" t="s">
        <v>1612</v>
      </c>
      <c r="J625" s="47"/>
    </row>
    <row r="626" ht="12.75" customHeight="1">
      <c r="A626" s="42" t="s">
        <v>1103</v>
      </c>
      <c r="B626" s="21">
        <v>46096.0</v>
      </c>
      <c r="C626" s="9" t="s">
        <v>118</v>
      </c>
      <c r="D626" s="9" t="s">
        <v>148</v>
      </c>
      <c r="E626" s="9" t="s">
        <v>120</v>
      </c>
      <c r="G626" s="9" t="s">
        <v>122</v>
      </c>
      <c r="H626" s="9" t="s">
        <v>146</v>
      </c>
      <c r="I626" s="9" t="s">
        <v>1612</v>
      </c>
      <c r="J626" s="47"/>
    </row>
    <row r="627" ht="12.75" customHeight="1">
      <c r="A627" s="42" t="s">
        <v>1111</v>
      </c>
      <c r="B627" s="21">
        <v>46103.0</v>
      </c>
      <c r="C627" s="9" t="s">
        <v>118</v>
      </c>
      <c r="D627" s="9" t="s">
        <v>148</v>
      </c>
      <c r="E627" s="9" t="s">
        <v>120</v>
      </c>
      <c r="G627" s="9" t="s">
        <v>122</v>
      </c>
      <c r="H627" s="9" t="s">
        <v>146</v>
      </c>
      <c r="I627" s="9" t="s">
        <v>1612</v>
      </c>
      <c r="J627" s="47"/>
    </row>
    <row r="628" ht="12.75" customHeight="1">
      <c r="A628" s="42" t="s">
        <v>1119</v>
      </c>
      <c r="B628" s="21">
        <v>46110.0</v>
      </c>
      <c r="C628" s="9" t="s">
        <v>118</v>
      </c>
      <c r="D628" s="9" t="s">
        <v>148</v>
      </c>
      <c r="E628" s="9" t="s">
        <v>120</v>
      </c>
      <c r="G628" s="9" t="s">
        <v>122</v>
      </c>
      <c r="H628" s="9" t="s">
        <v>146</v>
      </c>
      <c r="I628" s="9" t="s">
        <v>1612</v>
      </c>
      <c r="J628" s="47"/>
    </row>
    <row r="629" ht="12.75" customHeight="1">
      <c r="A629" s="42" t="s">
        <v>1127</v>
      </c>
      <c r="B629" s="21">
        <v>46117.0</v>
      </c>
      <c r="C629" s="9" t="s">
        <v>118</v>
      </c>
      <c r="D629" s="9" t="s">
        <v>148</v>
      </c>
      <c r="E629" s="9" t="s">
        <v>120</v>
      </c>
      <c r="G629" s="9" t="s">
        <v>122</v>
      </c>
      <c r="H629" s="9" t="s">
        <v>146</v>
      </c>
      <c r="I629" s="9" t="s">
        <v>1613</v>
      </c>
      <c r="J629" s="47"/>
    </row>
    <row r="630" ht="12.75" customHeight="1">
      <c r="A630" s="42" t="s">
        <v>1135</v>
      </c>
      <c r="B630" s="21">
        <v>46124.0</v>
      </c>
      <c r="C630" s="9" t="s">
        <v>118</v>
      </c>
      <c r="D630" s="9" t="s">
        <v>148</v>
      </c>
      <c r="E630" s="9" t="s">
        <v>120</v>
      </c>
      <c r="G630" s="9" t="s">
        <v>122</v>
      </c>
      <c r="H630" s="9" t="s">
        <v>146</v>
      </c>
      <c r="I630" s="9" t="s">
        <v>1613</v>
      </c>
      <c r="J630" s="47"/>
    </row>
    <row r="631" ht="12.75" customHeight="1">
      <c r="A631" s="42" t="s">
        <v>1143</v>
      </c>
      <c r="B631" s="21">
        <v>46131.0</v>
      </c>
      <c r="C631" s="9" t="s">
        <v>118</v>
      </c>
      <c r="D631" s="9" t="s">
        <v>148</v>
      </c>
      <c r="E631" s="9" t="s">
        <v>120</v>
      </c>
      <c r="G631" s="9" t="s">
        <v>122</v>
      </c>
      <c r="H631" s="9" t="s">
        <v>146</v>
      </c>
      <c r="I631" s="9" t="s">
        <v>1613</v>
      </c>
      <c r="J631" s="47"/>
    </row>
    <row r="632" ht="12.75" customHeight="1">
      <c r="A632" s="42" t="s">
        <v>1151</v>
      </c>
      <c r="B632" s="21">
        <v>46138.0</v>
      </c>
      <c r="C632" s="9" t="s">
        <v>118</v>
      </c>
      <c r="D632" s="9" t="s">
        <v>148</v>
      </c>
      <c r="E632" s="9" t="s">
        <v>120</v>
      </c>
      <c r="G632" s="9" t="s">
        <v>122</v>
      </c>
      <c r="H632" s="9" t="s">
        <v>146</v>
      </c>
      <c r="I632" s="9" t="s">
        <v>1613</v>
      </c>
      <c r="J632" s="47"/>
    </row>
    <row r="633" ht="12.75" customHeight="1">
      <c r="A633" s="42" t="s">
        <v>1159</v>
      </c>
      <c r="B633" s="21">
        <v>46145.0</v>
      </c>
      <c r="C633" s="9" t="s">
        <v>118</v>
      </c>
      <c r="D633" s="9" t="s">
        <v>148</v>
      </c>
      <c r="E633" s="9" t="s">
        <v>120</v>
      </c>
      <c r="G633" s="9" t="s">
        <v>122</v>
      </c>
      <c r="H633" s="9" t="s">
        <v>146</v>
      </c>
      <c r="I633" s="9" t="s">
        <v>1614</v>
      </c>
      <c r="J633" s="47"/>
    </row>
    <row r="634" ht="12.75" customHeight="1">
      <c r="A634" s="42" t="s">
        <v>1167</v>
      </c>
      <c r="B634" s="21">
        <v>46152.0</v>
      </c>
      <c r="C634" s="9" t="s">
        <v>118</v>
      </c>
      <c r="D634" s="9" t="s">
        <v>148</v>
      </c>
      <c r="E634" s="9" t="s">
        <v>120</v>
      </c>
      <c r="G634" s="9" t="s">
        <v>122</v>
      </c>
      <c r="H634" s="9" t="s">
        <v>146</v>
      </c>
      <c r="I634" s="9" t="s">
        <v>1614</v>
      </c>
      <c r="J634" s="47"/>
    </row>
    <row r="635" ht="12.75" customHeight="1">
      <c r="A635" s="42" t="s">
        <v>1175</v>
      </c>
      <c r="B635" s="21">
        <v>46159.0</v>
      </c>
      <c r="C635" s="9" t="s">
        <v>118</v>
      </c>
      <c r="D635" s="9" t="s">
        <v>148</v>
      </c>
      <c r="E635" s="9" t="s">
        <v>120</v>
      </c>
      <c r="G635" s="9" t="s">
        <v>122</v>
      </c>
      <c r="H635" s="9" t="s">
        <v>146</v>
      </c>
      <c r="I635" s="9" t="s">
        <v>1614</v>
      </c>
      <c r="J635" s="47"/>
    </row>
    <row r="636" ht="12.75" customHeight="1">
      <c r="A636" s="42" t="s">
        <v>1183</v>
      </c>
      <c r="B636" s="21">
        <v>46166.0</v>
      </c>
      <c r="C636" s="9" t="s">
        <v>118</v>
      </c>
      <c r="D636" s="9" t="s">
        <v>148</v>
      </c>
      <c r="E636" s="9" t="s">
        <v>120</v>
      </c>
      <c r="G636" s="9" t="s">
        <v>122</v>
      </c>
      <c r="H636" s="9" t="s">
        <v>146</v>
      </c>
      <c r="I636" s="9" t="s">
        <v>1614</v>
      </c>
      <c r="J636" s="47"/>
    </row>
    <row r="637" ht="12.75" customHeight="1">
      <c r="A637" s="42" t="s">
        <v>1193</v>
      </c>
      <c r="B637" s="21">
        <v>46174.0</v>
      </c>
      <c r="C637" s="9" t="s">
        <v>118</v>
      </c>
      <c r="D637" s="9" t="s">
        <v>148</v>
      </c>
      <c r="E637" s="9" t="s">
        <v>120</v>
      </c>
      <c r="G637" s="9" t="s">
        <v>122</v>
      </c>
      <c r="H637" s="9" t="s">
        <v>146</v>
      </c>
      <c r="I637" s="9" t="s">
        <v>1615</v>
      </c>
      <c r="J637" s="47"/>
    </row>
    <row r="638" ht="12.75" customHeight="1">
      <c r="A638" s="42" t="s">
        <v>1199</v>
      </c>
      <c r="B638" s="21">
        <v>46180.0</v>
      </c>
      <c r="C638" s="9" t="s">
        <v>118</v>
      </c>
      <c r="D638" s="9" t="s">
        <v>148</v>
      </c>
      <c r="E638" s="9" t="s">
        <v>120</v>
      </c>
      <c r="G638" s="9" t="s">
        <v>122</v>
      </c>
      <c r="H638" s="9" t="s">
        <v>146</v>
      </c>
      <c r="I638" s="9" t="s">
        <v>1615</v>
      </c>
      <c r="J638" s="47"/>
    </row>
    <row r="639" ht="12.75" customHeight="1">
      <c r="A639" s="42" t="s">
        <v>1207</v>
      </c>
      <c r="B639" s="21">
        <v>46187.0</v>
      </c>
      <c r="C639" s="9" t="s">
        <v>118</v>
      </c>
      <c r="D639" s="9" t="s">
        <v>148</v>
      </c>
      <c r="E639" s="9" t="s">
        <v>120</v>
      </c>
      <c r="G639" s="9" t="s">
        <v>122</v>
      </c>
      <c r="H639" s="9" t="s">
        <v>146</v>
      </c>
      <c r="I639" s="9" t="s">
        <v>1615</v>
      </c>
      <c r="J639" s="47"/>
    </row>
    <row r="640" ht="12.75" customHeight="1">
      <c r="A640" s="42" t="s">
        <v>1215</v>
      </c>
      <c r="B640" s="21">
        <v>46194.0</v>
      </c>
      <c r="C640" s="9" t="s">
        <v>118</v>
      </c>
      <c r="D640" s="9" t="s">
        <v>148</v>
      </c>
      <c r="E640" s="9" t="s">
        <v>120</v>
      </c>
      <c r="G640" s="9" t="s">
        <v>122</v>
      </c>
      <c r="H640" s="9" t="s">
        <v>146</v>
      </c>
      <c r="I640" s="9" t="s">
        <v>1615</v>
      </c>
      <c r="J640" s="47"/>
    </row>
    <row r="641" ht="12.75" customHeight="1">
      <c r="A641" s="42" t="s">
        <v>1223</v>
      </c>
      <c r="B641" s="21">
        <v>46201.0</v>
      </c>
      <c r="C641" s="9" t="s">
        <v>118</v>
      </c>
      <c r="D641" s="9" t="s">
        <v>148</v>
      </c>
      <c r="E641" s="9" t="s">
        <v>120</v>
      </c>
      <c r="G641" s="9" t="s">
        <v>122</v>
      </c>
      <c r="H641" s="9" t="s">
        <v>146</v>
      </c>
      <c r="I641" s="9" t="s">
        <v>1616</v>
      </c>
      <c r="J641" s="47"/>
    </row>
    <row r="642" ht="12.75" customHeight="1">
      <c r="A642" s="42" t="s">
        <v>1231</v>
      </c>
      <c r="B642" s="21">
        <v>46208.0</v>
      </c>
      <c r="C642" s="9" t="s">
        <v>118</v>
      </c>
      <c r="D642" s="9" t="s">
        <v>148</v>
      </c>
      <c r="E642" s="9" t="s">
        <v>120</v>
      </c>
      <c r="G642" s="9" t="s">
        <v>122</v>
      </c>
      <c r="H642" s="9" t="s">
        <v>146</v>
      </c>
      <c r="I642" s="9" t="s">
        <v>1617</v>
      </c>
      <c r="J642" s="47"/>
    </row>
    <row r="643" ht="12.75" customHeight="1">
      <c r="A643" s="42" t="s">
        <v>1239</v>
      </c>
      <c r="B643" s="21">
        <v>46215.0</v>
      </c>
      <c r="C643" s="9" t="s">
        <v>118</v>
      </c>
      <c r="D643" s="9" t="s">
        <v>148</v>
      </c>
      <c r="E643" s="9" t="s">
        <v>120</v>
      </c>
      <c r="G643" s="9" t="s">
        <v>122</v>
      </c>
      <c r="H643" s="9" t="s">
        <v>146</v>
      </c>
      <c r="I643" s="9" t="s">
        <v>1617</v>
      </c>
      <c r="J643" s="47"/>
    </row>
    <row r="644" ht="12.75" customHeight="1">
      <c r="A644" s="42" t="s">
        <v>1247</v>
      </c>
      <c r="B644" s="21">
        <v>46222.0</v>
      </c>
      <c r="C644" s="9" t="s">
        <v>118</v>
      </c>
      <c r="D644" s="9" t="s">
        <v>148</v>
      </c>
      <c r="E644" s="9" t="s">
        <v>120</v>
      </c>
      <c r="G644" s="9" t="s">
        <v>122</v>
      </c>
      <c r="H644" s="9" t="s">
        <v>146</v>
      </c>
      <c r="I644" s="9" t="s">
        <v>1617</v>
      </c>
      <c r="J644" s="47"/>
    </row>
    <row r="645" ht="12.75" customHeight="1">
      <c r="A645" s="42" t="s">
        <v>1255</v>
      </c>
      <c r="B645" s="21">
        <v>46229.0</v>
      </c>
      <c r="C645" s="9" t="s">
        <v>118</v>
      </c>
      <c r="D645" s="9" t="s">
        <v>148</v>
      </c>
      <c r="E645" s="9" t="s">
        <v>120</v>
      </c>
      <c r="G645" s="9" t="s">
        <v>122</v>
      </c>
      <c r="H645" s="9" t="s">
        <v>146</v>
      </c>
      <c r="I645" s="9" t="s">
        <v>1617</v>
      </c>
      <c r="J645" s="47"/>
    </row>
    <row r="646" ht="12.75" customHeight="1">
      <c r="A646" s="42" t="s">
        <v>1263</v>
      </c>
      <c r="B646" s="21">
        <v>46236.0</v>
      </c>
      <c r="C646" s="9" t="s">
        <v>118</v>
      </c>
      <c r="D646" s="9" t="s">
        <v>148</v>
      </c>
      <c r="E646" s="9" t="s">
        <v>120</v>
      </c>
      <c r="G646" s="9" t="s">
        <v>122</v>
      </c>
      <c r="H646" s="9" t="s">
        <v>146</v>
      </c>
      <c r="I646" s="9" t="s">
        <v>1618</v>
      </c>
      <c r="J646" s="47"/>
    </row>
    <row r="647" ht="12.75" customHeight="1">
      <c r="A647" s="42" t="s">
        <v>1271</v>
      </c>
      <c r="B647" s="21">
        <v>46243.0</v>
      </c>
      <c r="C647" s="9" t="s">
        <v>118</v>
      </c>
      <c r="D647" s="9" t="s">
        <v>148</v>
      </c>
      <c r="E647" s="9" t="s">
        <v>120</v>
      </c>
      <c r="G647" s="9" t="s">
        <v>122</v>
      </c>
      <c r="H647" s="9" t="s">
        <v>146</v>
      </c>
      <c r="I647" s="9" t="s">
        <v>1618</v>
      </c>
      <c r="J647" s="47"/>
    </row>
    <row r="648" ht="12.75" customHeight="1">
      <c r="A648" s="42" t="s">
        <v>1279</v>
      </c>
      <c r="B648" s="21">
        <v>46250.0</v>
      </c>
      <c r="C648" s="9" t="s">
        <v>118</v>
      </c>
      <c r="D648" s="9" t="s">
        <v>148</v>
      </c>
      <c r="E648" s="9" t="s">
        <v>120</v>
      </c>
      <c r="G648" s="9" t="s">
        <v>122</v>
      </c>
      <c r="H648" s="9" t="s">
        <v>146</v>
      </c>
      <c r="I648" s="9" t="s">
        <v>1618</v>
      </c>
      <c r="J648" s="47"/>
    </row>
    <row r="649" ht="12.75" customHeight="1">
      <c r="A649" s="42" t="s">
        <v>1287</v>
      </c>
      <c r="B649" s="21">
        <v>46257.0</v>
      </c>
      <c r="C649" s="9" t="s">
        <v>118</v>
      </c>
      <c r="D649" s="9" t="s">
        <v>148</v>
      </c>
      <c r="E649" s="9" t="s">
        <v>120</v>
      </c>
      <c r="G649" s="9" t="s">
        <v>122</v>
      </c>
      <c r="H649" s="9" t="s">
        <v>146</v>
      </c>
      <c r="I649" s="9" t="s">
        <v>1618</v>
      </c>
      <c r="J649" s="47"/>
    </row>
    <row r="650" ht="12.75" customHeight="1">
      <c r="A650" s="42" t="s">
        <v>1295</v>
      </c>
      <c r="B650" s="21">
        <v>46264.0</v>
      </c>
      <c r="C650" s="9" t="s">
        <v>118</v>
      </c>
      <c r="D650" s="9" t="s">
        <v>148</v>
      </c>
      <c r="E650" s="9" t="s">
        <v>120</v>
      </c>
      <c r="G650" s="9" t="s">
        <v>122</v>
      </c>
      <c r="H650" s="9" t="s">
        <v>146</v>
      </c>
      <c r="I650" s="9" t="s">
        <v>1619</v>
      </c>
      <c r="J650" s="47"/>
    </row>
    <row r="651" ht="12.75" customHeight="1">
      <c r="A651" s="42" t="s">
        <v>1303</v>
      </c>
      <c r="B651" s="21">
        <v>46271.0</v>
      </c>
      <c r="C651" s="9" t="s">
        <v>118</v>
      </c>
      <c r="D651" s="9" t="s">
        <v>148</v>
      </c>
      <c r="E651" s="9" t="s">
        <v>120</v>
      </c>
      <c r="G651" s="9" t="s">
        <v>122</v>
      </c>
      <c r="H651" s="9" t="s">
        <v>146</v>
      </c>
      <c r="I651" s="9" t="s">
        <v>1619</v>
      </c>
      <c r="J651" s="47"/>
    </row>
    <row r="652" ht="12.75" customHeight="1">
      <c r="A652" s="42" t="s">
        <v>1311</v>
      </c>
      <c r="B652" s="21">
        <v>46278.0</v>
      </c>
      <c r="C652" s="9" t="s">
        <v>118</v>
      </c>
      <c r="D652" s="9" t="s">
        <v>148</v>
      </c>
      <c r="E652" s="9" t="s">
        <v>120</v>
      </c>
      <c r="G652" s="9" t="s">
        <v>122</v>
      </c>
      <c r="H652" s="9" t="s">
        <v>146</v>
      </c>
      <c r="I652" s="9" t="s">
        <v>1619</v>
      </c>
      <c r="J652" s="47"/>
    </row>
    <row r="653" ht="12.75" customHeight="1">
      <c r="A653" s="42" t="s">
        <v>1319</v>
      </c>
      <c r="B653" s="21">
        <v>46285.0</v>
      </c>
      <c r="C653" s="9" t="s">
        <v>118</v>
      </c>
      <c r="D653" s="9" t="s">
        <v>148</v>
      </c>
      <c r="E653" s="9" t="s">
        <v>120</v>
      </c>
      <c r="G653" s="9" t="s">
        <v>122</v>
      </c>
      <c r="H653" s="9" t="s">
        <v>146</v>
      </c>
      <c r="I653" s="9" t="s">
        <v>1619</v>
      </c>
      <c r="J653" s="47"/>
    </row>
    <row r="654" ht="12.75" customHeight="1">
      <c r="A654" s="42" t="s">
        <v>1327</v>
      </c>
      <c r="B654" s="21">
        <v>46292.0</v>
      </c>
      <c r="C654" s="9" t="s">
        <v>118</v>
      </c>
      <c r="D654" s="9" t="s">
        <v>148</v>
      </c>
      <c r="E654" s="9" t="s">
        <v>120</v>
      </c>
      <c r="G654" s="9" t="s">
        <v>122</v>
      </c>
      <c r="H654" s="9" t="s">
        <v>146</v>
      </c>
      <c r="I654" s="9" t="s">
        <v>1619</v>
      </c>
      <c r="J654" s="47"/>
    </row>
    <row r="655" ht="12.75" customHeight="1">
      <c r="A655" s="42" t="s">
        <v>1335</v>
      </c>
      <c r="B655" s="21">
        <v>46299.0</v>
      </c>
      <c r="C655" s="9" t="s">
        <v>118</v>
      </c>
      <c r="D655" s="9" t="s">
        <v>148</v>
      </c>
      <c r="E655" s="9" t="s">
        <v>120</v>
      </c>
      <c r="G655" s="9" t="s">
        <v>122</v>
      </c>
      <c r="H655" s="9" t="s">
        <v>146</v>
      </c>
      <c r="I655" s="9" t="s">
        <v>1620</v>
      </c>
      <c r="J655" s="47"/>
    </row>
    <row r="656" ht="12.75" customHeight="1">
      <c r="A656" s="42" t="s">
        <v>1343</v>
      </c>
      <c r="B656" s="21">
        <v>46306.0</v>
      </c>
      <c r="C656" s="9" t="s">
        <v>118</v>
      </c>
      <c r="D656" s="9" t="s">
        <v>148</v>
      </c>
      <c r="E656" s="9" t="s">
        <v>120</v>
      </c>
      <c r="G656" s="9" t="s">
        <v>122</v>
      </c>
      <c r="H656" s="9" t="s">
        <v>146</v>
      </c>
      <c r="I656" s="9" t="s">
        <v>1620</v>
      </c>
      <c r="J656" s="47"/>
    </row>
    <row r="657" ht="12.75" customHeight="1">
      <c r="A657" s="42" t="s">
        <v>1351</v>
      </c>
      <c r="B657" s="21">
        <v>46313.0</v>
      </c>
      <c r="C657" s="9" t="s">
        <v>118</v>
      </c>
      <c r="D657" s="9" t="s">
        <v>148</v>
      </c>
      <c r="E657" s="9" t="s">
        <v>120</v>
      </c>
      <c r="G657" s="9" t="s">
        <v>122</v>
      </c>
      <c r="H657" s="9" t="s">
        <v>146</v>
      </c>
      <c r="I657" s="9" t="s">
        <v>1620</v>
      </c>
      <c r="J657" s="47"/>
    </row>
    <row r="658" ht="12.75" customHeight="1">
      <c r="A658" s="42" t="s">
        <v>1359</v>
      </c>
      <c r="B658" s="21">
        <v>46320.0</v>
      </c>
      <c r="C658" s="9" t="s">
        <v>118</v>
      </c>
      <c r="D658" s="9" t="s">
        <v>148</v>
      </c>
      <c r="E658" s="9" t="s">
        <v>120</v>
      </c>
      <c r="G658" s="9" t="s">
        <v>122</v>
      </c>
      <c r="H658" s="9" t="s">
        <v>146</v>
      </c>
      <c r="I658" s="9" t="s">
        <v>1620</v>
      </c>
      <c r="J658" s="47"/>
    </row>
    <row r="659" ht="12.75" customHeight="1">
      <c r="A659" s="42" t="s">
        <v>1367</v>
      </c>
      <c r="B659" s="21">
        <v>46327.0</v>
      </c>
      <c r="C659" s="9" t="s">
        <v>118</v>
      </c>
      <c r="D659" s="9" t="s">
        <v>148</v>
      </c>
      <c r="E659" s="9" t="s">
        <v>120</v>
      </c>
      <c r="G659" s="9" t="s">
        <v>122</v>
      </c>
      <c r="H659" s="9" t="s">
        <v>146</v>
      </c>
      <c r="I659" s="9" t="s">
        <v>1618</v>
      </c>
      <c r="J659" s="47"/>
    </row>
    <row r="660" ht="12.75" customHeight="1">
      <c r="A660" s="42" t="s">
        <v>1375</v>
      </c>
      <c r="B660" s="21">
        <v>46334.0</v>
      </c>
      <c r="C660" s="9" t="s">
        <v>118</v>
      </c>
      <c r="D660" s="9" t="s">
        <v>148</v>
      </c>
      <c r="E660" s="9" t="s">
        <v>120</v>
      </c>
      <c r="G660" s="9" t="s">
        <v>122</v>
      </c>
      <c r="H660" s="9" t="s">
        <v>146</v>
      </c>
      <c r="I660" s="9" t="s">
        <v>1618</v>
      </c>
      <c r="J660" s="47"/>
    </row>
    <row r="661" ht="12.75" customHeight="1">
      <c r="A661" s="42" t="s">
        <v>1383</v>
      </c>
      <c r="B661" s="21">
        <v>46341.0</v>
      </c>
      <c r="C661" s="9" t="s">
        <v>118</v>
      </c>
      <c r="D661" s="9" t="s">
        <v>148</v>
      </c>
      <c r="E661" s="9" t="s">
        <v>120</v>
      </c>
      <c r="G661" s="9" t="s">
        <v>122</v>
      </c>
      <c r="H661" s="9" t="s">
        <v>146</v>
      </c>
      <c r="I661" s="9" t="s">
        <v>1618</v>
      </c>
      <c r="J661" s="47"/>
    </row>
    <row r="662" ht="12.75" customHeight="1">
      <c r="A662" s="42" t="s">
        <v>1391</v>
      </c>
      <c r="B662" s="21">
        <v>46348.0</v>
      </c>
      <c r="C662" s="9" t="s">
        <v>118</v>
      </c>
      <c r="D662" s="9" t="s">
        <v>148</v>
      </c>
      <c r="E662" s="9" t="s">
        <v>120</v>
      </c>
      <c r="G662" s="9" t="s">
        <v>122</v>
      </c>
      <c r="H662" s="9" t="s">
        <v>146</v>
      </c>
      <c r="I662" s="9" t="s">
        <v>1618</v>
      </c>
      <c r="J662" s="47"/>
    </row>
    <row r="663" ht="12.75" customHeight="1">
      <c r="A663" s="42" t="s">
        <v>1399</v>
      </c>
      <c r="B663" s="21">
        <v>46355.0</v>
      </c>
      <c r="C663" s="9" t="s">
        <v>118</v>
      </c>
      <c r="D663" s="9" t="s">
        <v>148</v>
      </c>
      <c r="E663" s="9" t="s">
        <v>120</v>
      </c>
      <c r="G663" s="9" t="s">
        <v>122</v>
      </c>
      <c r="H663" s="9" t="s">
        <v>146</v>
      </c>
      <c r="I663" s="9" t="s">
        <v>1618</v>
      </c>
      <c r="J663" s="47"/>
    </row>
    <row r="664" ht="12.75" customHeight="1">
      <c r="A664" s="42" t="s">
        <v>1407</v>
      </c>
      <c r="B664" s="21">
        <v>46362.0</v>
      </c>
      <c r="C664" s="9" t="s">
        <v>118</v>
      </c>
      <c r="D664" s="9" t="s">
        <v>148</v>
      </c>
      <c r="E664" s="9" t="s">
        <v>120</v>
      </c>
      <c r="G664" s="9" t="s">
        <v>122</v>
      </c>
      <c r="H664" s="9" t="s">
        <v>146</v>
      </c>
      <c r="I664" s="9" t="s">
        <v>1617</v>
      </c>
      <c r="J664" s="47"/>
    </row>
    <row r="665" ht="12.75" customHeight="1">
      <c r="A665" s="42" t="s">
        <v>1415</v>
      </c>
      <c r="B665" s="21">
        <v>46369.0</v>
      </c>
      <c r="C665" s="9" t="s">
        <v>118</v>
      </c>
      <c r="D665" s="9" t="s">
        <v>148</v>
      </c>
      <c r="E665" s="9" t="s">
        <v>120</v>
      </c>
      <c r="G665" s="9" t="s">
        <v>122</v>
      </c>
      <c r="H665" s="9" t="s">
        <v>146</v>
      </c>
      <c r="I665" s="9" t="s">
        <v>1617</v>
      </c>
      <c r="J665" s="47"/>
    </row>
    <row r="666" ht="12.75" customHeight="1">
      <c r="A666" s="42" t="s">
        <v>1423</v>
      </c>
      <c r="B666" s="21">
        <v>46376.0</v>
      </c>
      <c r="C666" s="9" t="s">
        <v>118</v>
      </c>
      <c r="D666" s="9" t="s">
        <v>148</v>
      </c>
      <c r="E666" s="9" t="s">
        <v>120</v>
      </c>
      <c r="G666" s="9" t="s">
        <v>122</v>
      </c>
      <c r="H666" s="9" t="s">
        <v>146</v>
      </c>
      <c r="I666" s="9" t="s">
        <v>1617</v>
      </c>
      <c r="J666" s="47"/>
    </row>
    <row r="667" ht="12.75" customHeight="1">
      <c r="A667" s="42" t="s">
        <v>1431</v>
      </c>
      <c r="B667" s="21">
        <v>46383.0</v>
      </c>
      <c r="C667" s="9" t="s">
        <v>118</v>
      </c>
      <c r="D667" s="9" t="s">
        <v>148</v>
      </c>
      <c r="E667" s="9" t="s">
        <v>120</v>
      </c>
      <c r="G667" s="9" t="s">
        <v>122</v>
      </c>
      <c r="H667" s="9" t="s">
        <v>146</v>
      </c>
      <c r="I667" s="9" t="s">
        <v>1617</v>
      </c>
      <c r="J667" s="47"/>
    </row>
    <row r="668" ht="12.75" customHeight="1">
      <c r="A668" s="42" t="s">
        <v>1087</v>
      </c>
      <c r="B668" s="21">
        <v>46082.0</v>
      </c>
      <c r="C668" s="9" t="s">
        <v>118</v>
      </c>
      <c r="D668" s="9" t="s">
        <v>150</v>
      </c>
      <c r="E668" s="9" t="s">
        <v>120</v>
      </c>
      <c r="G668" s="9" t="s">
        <v>122</v>
      </c>
      <c r="H668" s="9" t="s">
        <v>146</v>
      </c>
      <c r="I668" s="9">
        <v>0.27</v>
      </c>
      <c r="J668" s="47">
        <v>0.27</v>
      </c>
    </row>
    <row r="669" ht="12.75" customHeight="1">
      <c r="A669" s="42" t="s">
        <v>1095</v>
      </c>
      <c r="B669" s="21">
        <v>46089.0</v>
      </c>
      <c r="C669" s="9" t="s">
        <v>118</v>
      </c>
      <c r="D669" s="9" t="s">
        <v>150</v>
      </c>
      <c r="E669" s="9" t="s">
        <v>120</v>
      </c>
      <c r="G669" s="9" t="s">
        <v>122</v>
      </c>
      <c r="H669" s="9" t="s">
        <v>146</v>
      </c>
      <c r="I669" s="9">
        <v>0.27</v>
      </c>
      <c r="J669" s="47">
        <v>0.27</v>
      </c>
    </row>
    <row r="670" ht="12.75" customHeight="1">
      <c r="A670" s="42" t="s">
        <v>1103</v>
      </c>
      <c r="B670" s="21">
        <v>46096.0</v>
      </c>
      <c r="C670" s="9" t="s">
        <v>118</v>
      </c>
      <c r="D670" s="9" t="s">
        <v>150</v>
      </c>
      <c r="E670" s="9" t="s">
        <v>120</v>
      </c>
      <c r="G670" s="9" t="s">
        <v>122</v>
      </c>
      <c r="H670" s="9" t="s">
        <v>146</v>
      </c>
      <c r="I670" s="9">
        <v>0.27</v>
      </c>
      <c r="J670" s="47">
        <v>0.27</v>
      </c>
    </row>
    <row r="671" ht="12.75" customHeight="1">
      <c r="A671" s="42" t="s">
        <v>1111</v>
      </c>
      <c r="B671" s="21">
        <v>46103.0</v>
      </c>
      <c r="C671" s="9" t="s">
        <v>118</v>
      </c>
      <c r="D671" s="9" t="s">
        <v>150</v>
      </c>
      <c r="E671" s="9" t="s">
        <v>120</v>
      </c>
      <c r="G671" s="9" t="s">
        <v>122</v>
      </c>
      <c r="H671" s="9" t="s">
        <v>146</v>
      </c>
      <c r="I671" s="9">
        <v>0.27</v>
      </c>
      <c r="J671" s="47">
        <v>0.27</v>
      </c>
    </row>
    <row r="672" ht="12.75" customHeight="1">
      <c r="A672" s="42" t="s">
        <v>1119</v>
      </c>
      <c r="B672" s="21">
        <v>46110.0</v>
      </c>
      <c r="C672" s="9" t="s">
        <v>118</v>
      </c>
      <c r="D672" s="9" t="s">
        <v>150</v>
      </c>
      <c r="E672" s="9" t="s">
        <v>120</v>
      </c>
      <c r="G672" s="9" t="s">
        <v>122</v>
      </c>
      <c r="H672" s="9" t="s">
        <v>146</v>
      </c>
      <c r="I672" s="9">
        <v>0.27</v>
      </c>
      <c r="J672" s="47">
        <v>0.27</v>
      </c>
    </row>
    <row r="673" ht="12.75" customHeight="1">
      <c r="A673" s="42" t="s">
        <v>1127</v>
      </c>
      <c r="B673" s="21">
        <v>46117.0</v>
      </c>
      <c r="C673" s="9" t="s">
        <v>118</v>
      </c>
      <c r="D673" s="9" t="s">
        <v>150</v>
      </c>
      <c r="E673" s="9" t="s">
        <v>120</v>
      </c>
      <c r="G673" s="9" t="s">
        <v>122</v>
      </c>
      <c r="H673" s="9" t="s">
        <v>146</v>
      </c>
      <c r="I673" s="9">
        <v>0.45</v>
      </c>
      <c r="J673" s="47">
        <v>0.45</v>
      </c>
    </row>
    <row r="674" ht="12.75" customHeight="1">
      <c r="A674" s="42" t="s">
        <v>1135</v>
      </c>
      <c r="B674" s="21">
        <v>46124.0</v>
      </c>
      <c r="C674" s="9" t="s">
        <v>118</v>
      </c>
      <c r="D674" s="9" t="s">
        <v>150</v>
      </c>
      <c r="E674" s="9" t="s">
        <v>120</v>
      </c>
      <c r="G674" s="9" t="s">
        <v>122</v>
      </c>
      <c r="H674" s="9" t="s">
        <v>146</v>
      </c>
      <c r="I674" s="9">
        <v>0.45</v>
      </c>
      <c r="J674" s="47">
        <v>0.45</v>
      </c>
    </row>
    <row r="675" ht="12.75" customHeight="1">
      <c r="A675" s="42" t="s">
        <v>1143</v>
      </c>
      <c r="B675" s="21">
        <v>46131.0</v>
      </c>
      <c r="C675" s="9" t="s">
        <v>118</v>
      </c>
      <c r="D675" s="9" t="s">
        <v>150</v>
      </c>
      <c r="E675" s="9" t="s">
        <v>120</v>
      </c>
      <c r="G675" s="9" t="s">
        <v>122</v>
      </c>
      <c r="H675" s="9" t="s">
        <v>146</v>
      </c>
      <c r="I675" s="9">
        <v>0.45</v>
      </c>
      <c r="J675" s="47">
        <v>0.45</v>
      </c>
    </row>
    <row r="676" ht="12.75" customHeight="1">
      <c r="A676" s="42" t="s">
        <v>1151</v>
      </c>
      <c r="B676" s="21">
        <v>46138.0</v>
      </c>
      <c r="C676" s="9" t="s">
        <v>118</v>
      </c>
      <c r="D676" s="9" t="s">
        <v>150</v>
      </c>
      <c r="E676" s="9" t="s">
        <v>120</v>
      </c>
      <c r="G676" s="9" t="s">
        <v>122</v>
      </c>
      <c r="H676" s="9" t="s">
        <v>146</v>
      </c>
      <c r="I676" s="9">
        <v>0.45</v>
      </c>
      <c r="J676" s="47">
        <v>0.45</v>
      </c>
    </row>
    <row r="677" ht="12.75" customHeight="1">
      <c r="A677" s="42" t="s">
        <v>1159</v>
      </c>
      <c r="B677" s="21">
        <v>46145.0</v>
      </c>
      <c r="C677" s="9" t="s">
        <v>118</v>
      </c>
      <c r="D677" s="9" t="s">
        <v>150</v>
      </c>
      <c r="E677" s="9" t="s">
        <v>120</v>
      </c>
      <c r="G677" s="9" t="s">
        <v>122</v>
      </c>
      <c r="H677" s="9" t="s">
        <v>146</v>
      </c>
      <c r="I677" s="9">
        <v>0.64</v>
      </c>
      <c r="J677" s="47">
        <v>0.64</v>
      </c>
    </row>
    <row r="678" ht="12.75" customHeight="1">
      <c r="A678" s="42" t="s">
        <v>1167</v>
      </c>
      <c r="B678" s="21">
        <v>46152.0</v>
      </c>
      <c r="C678" s="9" t="s">
        <v>118</v>
      </c>
      <c r="D678" s="9" t="s">
        <v>150</v>
      </c>
      <c r="E678" s="9" t="s">
        <v>120</v>
      </c>
      <c r="G678" s="9" t="s">
        <v>122</v>
      </c>
      <c r="H678" s="9" t="s">
        <v>146</v>
      </c>
      <c r="I678" s="9">
        <v>0.64</v>
      </c>
      <c r="J678" s="47">
        <v>0.64</v>
      </c>
    </row>
    <row r="679" ht="12.75" customHeight="1">
      <c r="A679" s="42" t="s">
        <v>1175</v>
      </c>
      <c r="B679" s="21">
        <v>46159.0</v>
      </c>
      <c r="C679" s="9" t="s">
        <v>118</v>
      </c>
      <c r="D679" s="9" t="s">
        <v>150</v>
      </c>
      <c r="E679" s="9" t="s">
        <v>120</v>
      </c>
      <c r="G679" s="9" t="s">
        <v>122</v>
      </c>
      <c r="H679" s="9" t="s">
        <v>146</v>
      </c>
      <c r="I679" s="9">
        <v>0.64</v>
      </c>
      <c r="J679" s="47">
        <v>0.64</v>
      </c>
    </row>
    <row r="680" ht="12.75" customHeight="1">
      <c r="A680" s="42" t="s">
        <v>1183</v>
      </c>
      <c r="B680" s="21">
        <v>46166.0</v>
      </c>
      <c r="C680" s="9" t="s">
        <v>118</v>
      </c>
      <c r="D680" s="9" t="s">
        <v>150</v>
      </c>
      <c r="E680" s="9" t="s">
        <v>120</v>
      </c>
      <c r="G680" s="9" t="s">
        <v>122</v>
      </c>
      <c r="H680" s="9" t="s">
        <v>146</v>
      </c>
      <c r="I680" s="9">
        <v>0.64</v>
      </c>
      <c r="J680" s="47">
        <v>0.64</v>
      </c>
    </row>
    <row r="681" ht="12.75" customHeight="1">
      <c r="A681" s="42" t="s">
        <v>1193</v>
      </c>
      <c r="B681" s="21">
        <v>46174.0</v>
      </c>
      <c r="C681" s="9" t="s">
        <v>118</v>
      </c>
      <c r="D681" s="9" t="s">
        <v>150</v>
      </c>
      <c r="E681" s="9" t="s">
        <v>120</v>
      </c>
      <c r="G681" s="9" t="s">
        <v>122</v>
      </c>
      <c r="H681" s="9" t="s">
        <v>146</v>
      </c>
      <c r="I681" s="9">
        <v>0.61</v>
      </c>
      <c r="J681" s="47">
        <v>0.61</v>
      </c>
    </row>
    <row r="682" ht="12.75" customHeight="1">
      <c r="A682" s="42" t="s">
        <v>1199</v>
      </c>
      <c r="B682" s="21">
        <v>46180.0</v>
      </c>
      <c r="C682" s="9" t="s">
        <v>118</v>
      </c>
      <c r="D682" s="9" t="s">
        <v>150</v>
      </c>
      <c r="E682" s="9" t="s">
        <v>120</v>
      </c>
      <c r="G682" s="9" t="s">
        <v>122</v>
      </c>
      <c r="H682" s="9" t="s">
        <v>146</v>
      </c>
      <c r="I682" s="9">
        <v>0.61</v>
      </c>
      <c r="J682" s="47">
        <v>0.61</v>
      </c>
    </row>
    <row r="683" ht="12.75" customHeight="1">
      <c r="A683" s="42" t="s">
        <v>1207</v>
      </c>
      <c r="B683" s="21">
        <v>46187.0</v>
      </c>
      <c r="C683" s="9" t="s">
        <v>118</v>
      </c>
      <c r="D683" s="9" t="s">
        <v>150</v>
      </c>
      <c r="E683" s="9" t="s">
        <v>120</v>
      </c>
      <c r="G683" s="9" t="s">
        <v>122</v>
      </c>
      <c r="H683" s="9" t="s">
        <v>146</v>
      </c>
      <c r="I683" s="9">
        <v>0.61</v>
      </c>
      <c r="J683" s="47">
        <v>0.61</v>
      </c>
    </row>
    <row r="684" ht="12.75" customHeight="1">
      <c r="A684" s="42" t="s">
        <v>1215</v>
      </c>
      <c r="B684" s="21">
        <v>46194.0</v>
      </c>
      <c r="C684" s="9" t="s">
        <v>118</v>
      </c>
      <c r="D684" s="9" t="s">
        <v>150</v>
      </c>
      <c r="E684" s="9" t="s">
        <v>120</v>
      </c>
      <c r="G684" s="9" t="s">
        <v>122</v>
      </c>
      <c r="H684" s="9" t="s">
        <v>146</v>
      </c>
      <c r="I684" s="9">
        <v>0.61</v>
      </c>
      <c r="J684" s="47">
        <v>0.61</v>
      </c>
    </row>
    <row r="685" ht="12.75" customHeight="1">
      <c r="A685" s="42" t="s">
        <v>1223</v>
      </c>
      <c r="B685" s="21">
        <v>46201.0</v>
      </c>
      <c r="C685" s="9" t="s">
        <v>118</v>
      </c>
      <c r="D685" s="9" t="s">
        <v>150</v>
      </c>
      <c r="E685" s="9" t="s">
        <v>120</v>
      </c>
      <c r="G685" s="9" t="s">
        <v>122</v>
      </c>
      <c r="H685" s="9" t="s">
        <v>146</v>
      </c>
      <c r="I685" s="9">
        <v>0.61</v>
      </c>
      <c r="J685" s="47">
        <v>0.61</v>
      </c>
    </row>
    <row r="686" ht="12.75" customHeight="1">
      <c r="A686" s="42" t="s">
        <v>1231</v>
      </c>
      <c r="B686" s="21">
        <v>46208.0</v>
      </c>
      <c r="C686" s="9" t="s">
        <v>118</v>
      </c>
      <c r="D686" s="9" t="s">
        <v>150</v>
      </c>
      <c r="E686" s="9" t="s">
        <v>120</v>
      </c>
      <c r="G686" s="9" t="s">
        <v>122</v>
      </c>
      <c r="H686" s="9" t="s">
        <v>146</v>
      </c>
      <c r="I686" s="9">
        <v>0.57</v>
      </c>
      <c r="J686" s="47">
        <v>0.57</v>
      </c>
    </row>
    <row r="687" ht="12.75" customHeight="1">
      <c r="A687" s="42" t="s">
        <v>1239</v>
      </c>
      <c r="B687" s="21">
        <v>46215.0</v>
      </c>
      <c r="C687" s="9" t="s">
        <v>118</v>
      </c>
      <c r="D687" s="9" t="s">
        <v>150</v>
      </c>
      <c r="E687" s="9" t="s">
        <v>120</v>
      </c>
      <c r="G687" s="9" t="s">
        <v>122</v>
      </c>
      <c r="H687" s="9" t="s">
        <v>146</v>
      </c>
      <c r="I687" s="9">
        <v>0.57</v>
      </c>
      <c r="J687" s="47">
        <v>0.57</v>
      </c>
    </row>
    <row r="688" ht="12.75" customHeight="1">
      <c r="A688" s="42" t="s">
        <v>1247</v>
      </c>
      <c r="B688" s="21">
        <v>46222.0</v>
      </c>
      <c r="C688" s="9" t="s">
        <v>118</v>
      </c>
      <c r="D688" s="9" t="s">
        <v>150</v>
      </c>
      <c r="E688" s="9" t="s">
        <v>120</v>
      </c>
      <c r="G688" s="9" t="s">
        <v>122</v>
      </c>
      <c r="H688" s="9" t="s">
        <v>146</v>
      </c>
      <c r="I688" s="9">
        <v>0.57</v>
      </c>
      <c r="J688" s="47">
        <v>0.57</v>
      </c>
    </row>
    <row r="689" ht="12.75" customHeight="1">
      <c r="A689" s="42" t="s">
        <v>1255</v>
      </c>
      <c r="B689" s="21">
        <v>46229.0</v>
      </c>
      <c r="C689" s="9" t="s">
        <v>118</v>
      </c>
      <c r="D689" s="9" t="s">
        <v>150</v>
      </c>
      <c r="E689" s="9" t="s">
        <v>120</v>
      </c>
      <c r="G689" s="9" t="s">
        <v>122</v>
      </c>
      <c r="H689" s="9" t="s">
        <v>146</v>
      </c>
      <c r="I689" s="9">
        <v>0.57</v>
      </c>
      <c r="J689" s="47">
        <v>0.57</v>
      </c>
    </row>
    <row r="690" ht="12.75" customHeight="1">
      <c r="A690" s="42" t="s">
        <v>1263</v>
      </c>
      <c r="B690" s="21">
        <v>46236.0</v>
      </c>
      <c r="C690" s="9" t="s">
        <v>118</v>
      </c>
      <c r="D690" s="9" t="s">
        <v>150</v>
      </c>
      <c r="E690" s="9" t="s">
        <v>120</v>
      </c>
      <c r="G690" s="9" t="s">
        <v>122</v>
      </c>
      <c r="H690" s="9" t="s">
        <v>146</v>
      </c>
      <c r="I690" s="9">
        <v>0.56</v>
      </c>
      <c r="J690" s="47">
        <v>0.56</v>
      </c>
    </row>
    <row r="691" ht="12.75" customHeight="1">
      <c r="A691" s="42" t="s">
        <v>1271</v>
      </c>
      <c r="B691" s="21">
        <v>46243.0</v>
      </c>
      <c r="C691" s="9" t="s">
        <v>118</v>
      </c>
      <c r="D691" s="9" t="s">
        <v>150</v>
      </c>
      <c r="E691" s="9" t="s">
        <v>120</v>
      </c>
      <c r="G691" s="9" t="s">
        <v>122</v>
      </c>
      <c r="H691" s="9" t="s">
        <v>146</v>
      </c>
      <c r="I691" s="9">
        <v>0.56</v>
      </c>
      <c r="J691" s="47">
        <v>0.56</v>
      </c>
    </row>
    <row r="692" ht="12.75" customHeight="1">
      <c r="A692" s="42" t="s">
        <v>1279</v>
      </c>
      <c r="B692" s="21">
        <v>46250.0</v>
      </c>
      <c r="C692" s="9" t="s">
        <v>118</v>
      </c>
      <c r="D692" s="9" t="s">
        <v>150</v>
      </c>
      <c r="E692" s="9" t="s">
        <v>120</v>
      </c>
      <c r="G692" s="9" t="s">
        <v>122</v>
      </c>
      <c r="H692" s="9" t="s">
        <v>146</v>
      </c>
      <c r="I692" s="9">
        <v>0.56</v>
      </c>
      <c r="J692" s="47">
        <v>0.56</v>
      </c>
    </row>
    <row r="693" ht="12.75" customHeight="1">
      <c r="A693" s="42" t="s">
        <v>1287</v>
      </c>
      <c r="B693" s="21">
        <v>46257.0</v>
      </c>
      <c r="C693" s="9" t="s">
        <v>118</v>
      </c>
      <c r="D693" s="9" t="s">
        <v>150</v>
      </c>
      <c r="E693" s="9" t="s">
        <v>120</v>
      </c>
      <c r="G693" s="9" t="s">
        <v>122</v>
      </c>
      <c r="H693" s="9" t="s">
        <v>146</v>
      </c>
      <c r="I693" s="9">
        <v>0.56</v>
      </c>
      <c r="J693" s="47">
        <v>0.56</v>
      </c>
    </row>
    <row r="694" ht="12.75" customHeight="1">
      <c r="A694" s="42" t="s">
        <v>1295</v>
      </c>
      <c r="B694" s="21">
        <v>46264.0</v>
      </c>
      <c r="C694" s="9" t="s">
        <v>118</v>
      </c>
      <c r="D694" s="9" t="s">
        <v>150</v>
      </c>
      <c r="E694" s="9" t="s">
        <v>120</v>
      </c>
      <c r="G694" s="9" t="s">
        <v>122</v>
      </c>
      <c r="H694" s="9" t="s">
        <v>146</v>
      </c>
      <c r="I694" s="9">
        <v>0.58</v>
      </c>
      <c r="J694" s="47">
        <v>0.58</v>
      </c>
    </row>
    <row r="695" ht="12.75" customHeight="1">
      <c r="A695" s="42" t="s">
        <v>1303</v>
      </c>
      <c r="B695" s="21">
        <v>46271.0</v>
      </c>
      <c r="C695" s="9" t="s">
        <v>118</v>
      </c>
      <c r="D695" s="9" t="s">
        <v>150</v>
      </c>
      <c r="E695" s="9" t="s">
        <v>120</v>
      </c>
      <c r="G695" s="9" t="s">
        <v>122</v>
      </c>
      <c r="H695" s="9" t="s">
        <v>146</v>
      </c>
      <c r="I695" s="9">
        <v>0.58</v>
      </c>
      <c r="J695" s="47">
        <v>0.58</v>
      </c>
    </row>
    <row r="696" ht="12.75" customHeight="1">
      <c r="A696" s="42" t="s">
        <v>1311</v>
      </c>
      <c r="B696" s="21">
        <v>46278.0</v>
      </c>
      <c r="C696" s="9" t="s">
        <v>118</v>
      </c>
      <c r="D696" s="9" t="s">
        <v>150</v>
      </c>
      <c r="E696" s="9" t="s">
        <v>120</v>
      </c>
      <c r="G696" s="9" t="s">
        <v>122</v>
      </c>
      <c r="H696" s="9" t="s">
        <v>146</v>
      </c>
      <c r="I696" s="9">
        <v>0.58</v>
      </c>
      <c r="J696" s="47">
        <v>0.58</v>
      </c>
    </row>
    <row r="697" ht="12.75" customHeight="1">
      <c r="A697" s="42" t="s">
        <v>1319</v>
      </c>
      <c r="B697" s="21">
        <v>46285.0</v>
      </c>
      <c r="C697" s="9" t="s">
        <v>118</v>
      </c>
      <c r="D697" s="9" t="s">
        <v>150</v>
      </c>
      <c r="E697" s="9" t="s">
        <v>120</v>
      </c>
      <c r="G697" s="9" t="s">
        <v>122</v>
      </c>
      <c r="H697" s="9" t="s">
        <v>146</v>
      </c>
      <c r="I697" s="9">
        <v>0.58</v>
      </c>
      <c r="J697" s="47">
        <v>0.58</v>
      </c>
    </row>
    <row r="698" ht="12.75" customHeight="1">
      <c r="A698" s="42" t="s">
        <v>1327</v>
      </c>
      <c r="B698" s="21">
        <v>46292.0</v>
      </c>
      <c r="C698" s="9" t="s">
        <v>118</v>
      </c>
      <c r="D698" s="9" t="s">
        <v>150</v>
      </c>
      <c r="E698" s="9" t="s">
        <v>120</v>
      </c>
      <c r="G698" s="9" t="s">
        <v>122</v>
      </c>
      <c r="H698" s="9" t="s">
        <v>146</v>
      </c>
      <c r="I698" s="9">
        <v>0.58</v>
      </c>
      <c r="J698" s="47">
        <v>0.58</v>
      </c>
    </row>
    <row r="699" ht="12.75" customHeight="1">
      <c r="A699" s="42" t="s">
        <v>1335</v>
      </c>
      <c r="B699" s="21">
        <v>46299.0</v>
      </c>
      <c r="C699" s="9" t="s">
        <v>118</v>
      </c>
      <c r="D699" s="9" t="s">
        <v>150</v>
      </c>
      <c r="E699" s="9" t="s">
        <v>120</v>
      </c>
      <c r="G699" s="9" t="s">
        <v>122</v>
      </c>
      <c r="H699" s="9" t="s">
        <v>146</v>
      </c>
      <c r="I699" s="9">
        <v>0.57</v>
      </c>
      <c r="J699" s="47">
        <v>0.57</v>
      </c>
    </row>
    <row r="700" ht="12.75" customHeight="1">
      <c r="A700" s="42" t="s">
        <v>1343</v>
      </c>
      <c r="B700" s="21">
        <v>46306.0</v>
      </c>
      <c r="C700" s="9" t="s">
        <v>118</v>
      </c>
      <c r="D700" s="9" t="s">
        <v>150</v>
      </c>
      <c r="E700" s="9" t="s">
        <v>120</v>
      </c>
      <c r="G700" s="9" t="s">
        <v>122</v>
      </c>
      <c r="H700" s="9" t="s">
        <v>146</v>
      </c>
      <c r="I700" s="9">
        <v>0.57</v>
      </c>
      <c r="J700" s="47">
        <v>0.57</v>
      </c>
    </row>
    <row r="701" ht="12.75" customHeight="1">
      <c r="A701" s="42" t="s">
        <v>1351</v>
      </c>
      <c r="B701" s="21">
        <v>46313.0</v>
      </c>
      <c r="C701" s="9" t="s">
        <v>118</v>
      </c>
      <c r="D701" s="9" t="s">
        <v>150</v>
      </c>
      <c r="E701" s="9" t="s">
        <v>120</v>
      </c>
      <c r="G701" s="9" t="s">
        <v>122</v>
      </c>
      <c r="H701" s="9" t="s">
        <v>146</v>
      </c>
      <c r="I701" s="9">
        <v>0.57</v>
      </c>
      <c r="J701" s="47">
        <v>0.57</v>
      </c>
    </row>
    <row r="702" ht="12.75" customHeight="1">
      <c r="A702" s="42" t="s">
        <v>1359</v>
      </c>
      <c r="B702" s="21">
        <v>46320.0</v>
      </c>
      <c r="C702" s="9" t="s">
        <v>118</v>
      </c>
      <c r="D702" s="9" t="s">
        <v>150</v>
      </c>
      <c r="E702" s="9" t="s">
        <v>120</v>
      </c>
      <c r="G702" s="9" t="s">
        <v>122</v>
      </c>
      <c r="H702" s="9" t="s">
        <v>146</v>
      </c>
      <c r="I702" s="9">
        <v>0.57</v>
      </c>
      <c r="J702" s="47">
        <v>0.57</v>
      </c>
    </row>
    <row r="703" ht="12.75" customHeight="1">
      <c r="A703" s="42" t="s">
        <v>1367</v>
      </c>
      <c r="B703" s="21">
        <v>46327.0</v>
      </c>
      <c r="C703" s="9" t="s">
        <v>118</v>
      </c>
      <c r="D703" s="9" t="s">
        <v>150</v>
      </c>
      <c r="E703" s="9" t="s">
        <v>120</v>
      </c>
      <c r="G703" s="9" t="s">
        <v>122</v>
      </c>
      <c r="H703" s="9" t="s">
        <v>146</v>
      </c>
      <c r="I703" s="9">
        <v>0.69</v>
      </c>
      <c r="J703" s="47">
        <v>0.69</v>
      </c>
    </row>
    <row r="704" ht="12.75" customHeight="1">
      <c r="A704" s="42" t="s">
        <v>1375</v>
      </c>
      <c r="B704" s="21">
        <v>46334.0</v>
      </c>
      <c r="C704" s="9" t="s">
        <v>118</v>
      </c>
      <c r="D704" s="9" t="s">
        <v>150</v>
      </c>
      <c r="E704" s="9" t="s">
        <v>120</v>
      </c>
      <c r="G704" s="9" t="s">
        <v>122</v>
      </c>
      <c r="H704" s="9" t="s">
        <v>146</v>
      </c>
      <c r="I704" s="9">
        <v>0.69</v>
      </c>
      <c r="J704" s="47">
        <v>0.69</v>
      </c>
    </row>
    <row r="705" ht="12.75" customHeight="1">
      <c r="A705" s="42" t="s">
        <v>1383</v>
      </c>
      <c r="B705" s="21">
        <v>46341.0</v>
      </c>
      <c r="C705" s="9" t="s">
        <v>118</v>
      </c>
      <c r="D705" s="9" t="s">
        <v>150</v>
      </c>
      <c r="E705" s="9" t="s">
        <v>120</v>
      </c>
      <c r="G705" s="9" t="s">
        <v>122</v>
      </c>
      <c r="H705" s="9" t="s">
        <v>146</v>
      </c>
      <c r="I705" s="9">
        <v>0.69</v>
      </c>
      <c r="J705" s="47">
        <v>0.69</v>
      </c>
    </row>
    <row r="706" ht="12.75" customHeight="1">
      <c r="A706" s="42" t="s">
        <v>1391</v>
      </c>
      <c r="B706" s="21">
        <v>46348.0</v>
      </c>
      <c r="C706" s="9" t="s">
        <v>118</v>
      </c>
      <c r="D706" s="9" t="s">
        <v>150</v>
      </c>
      <c r="E706" s="9" t="s">
        <v>120</v>
      </c>
      <c r="G706" s="9" t="s">
        <v>122</v>
      </c>
      <c r="H706" s="9" t="s">
        <v>146</v>
      </c>
      <c r="I706" s="9">
        <v>0.69</v>
      </c>
      <c r="J706" s="47">
        <v>0.69</v>
      </c>
    </row>
    <row r="707" ht="12.75" customHeight="1">
      <c r="A707" s="42" t="s">
        <v>1399</v>
      </c>
      <c r="B707" s="21">
        <v>46355.0</v>
      </c>
      <c r="C707" s="9" t="s">
        <v>118</v>
      </c>
      <c r="D707" s="9" t="s">
        <v>150</v>
      </c>
      <c r="E707" s="9" t="s">
        <v>120</v>
      </c>
      <c r="G707" s="9" t="s">
        <v>122</v>
      </c>
      <c r="H707" s="9" t="s">
        <v>146</v>
      </c>
      <c r="I707" s="9">
        <v>0.69</v>
      </c>
      <c r="J707" s="47">
        <v>0.69</v>
      </c>
    </row>
    <row r="708" ht="12.75" customHeight="1">
      <c r="A708" s="42" t="s">
        <v>1407</v>
      </c>
      <c r="B708" s="21">
        <v>46362.0</v>
      </c>
      <c r="C708" s="9" t="s">
        <v>118</v>
      </c>
      <c r="D708" s="9" t="s">
        <v>150</v>
      </c>
      <c r="E708" s="9" t="s">
        <v>120</v>
      </c>
      <c r="G708" s="9" t="s">
        <v>122</v>
      </c>
      <c r="H708" s="9" t="s">
        <v>146</v>
      </c>
      <c r="I708" s="9">
        <v>0.54</v>
      </c>
      <c r="J708" s="47">
        <v>0.54</v>
      </c>
    </row>
    <row r="709" ht="12.75" customHeight="1">
      <c r="A709" s="42" t="s">
        <v>1415</v>
      </c>
      <c r="B709" s="21">
        <v>46369.0</v>
      </c>
      <c r="C709" s="9" t="s">
        <v>118</v>
      </c>
      <c r="D709" s="9" t="s">
        <v>150</v>
      </c>
      <c r="E709" s="9" t="s">
        <v>120</v>
      </c>
      <c r="G709" s="9" t="s">
        <v>122</v>
      </c>
      <c r="H709" s="9" t="s">
        <v>146</v>
      </c>
      <c r="I709" s="9">
        <v>0.54</v>
      </c>
      <c r="J709" s="47">
        <v>0.54</v>
      </c>
    </row>
    <row r="710" ht="12.75" customHeight="1">
      <c r="A710" s="42" t="s">
        <v>1423</v>
      </c>
      <c r="B710" s="21">
        <v>46376.0</v>
      </c>
      <c r="C710" s="9" t="s">
        <v>118</v>
      </c>
      <c r="D710" s="9" t="s">
        <v>150</v>
      </c>
      <c r="E710" s="9" t="s">
        <v>120</v>
      </c>
      <c r="G710" s="9" t="s">
        <v>122</v>
      </c>
      <c r="H710" s="9" t="s">
        <v>146</v>
      </c>
      <c r="I710" s="9">
        <v>0.54</v>
      </c>
      <c r="J710" s="47">
        <v>0.54</v>
      </c>
    </row>
    <row r="711" ht="12.75" customHeight="1">
      <c r="A711" s="42" t="s">
        <v>1431</v>
      </c>
      <c r="B711" s="21">
        <v>46383.0</v>
      </c>
      <c r="C711" s="9" t="s">
        <v>118</v>
      </c>
      <c r="D711" s="9" t="s">
        <v>150</v>
      </c>
      <c r="E711" s="9" t="s">
        <v>120</v>
      </c>
      <c r="G711" s="9" t="s">
        <v>122</v>
      </c>
      <c r="H711" s="9" t="s">
        <v>146</v>
      </c>
      <c r="I711" s="9">
        <v>0.54</v>
      </c>
      <c r="J711" s="47">
        <v>0.54</v>
      </c>
    </row>
    <row r="712" ht="12.75" customHeight="1">
      <c r="A712" s="42" t="s">
        <v>1087</v>
      </c>
      <c r="B712" s="21">
        <v>46082.0</v>
      </c>
      <c r="C712" s="9" t="s">
        <v>118</v>
      </c>
      <c r="D712" s="9" t="s">
        <v>147</v>
      </c>
      <c r="E712" s="9" t="s">
        <v>120</v>
      </c>
      <c r="G712" s="9" t="s">
        <v>122</v>
      </c>
      <c r="H712" s="9" t="s">
        <v>146</v>
      </c>
      <c r="I712" s="9">
        <v>0.56</v>
      </c>
      <c r="J712" s="47">
        <v>0.56</v>
      </c>
    </row>
    <row r="713" ht="12.75" customHeight="1">
      <c r="A713" s="42" t="s">
        <v>1095</v>
      </c>
      <c r="B713" s="21">
        <v>46089.0</v>
      </c>
      <c r="C713" s="9" t="s">
        <v>118</v>
      </c>
      <c r="D713" s="9" t="s">
        <v>147</v>
      </c>
      <c r="E713" s="9" t="s">
        <v>120</v>
      </c>
      <c r="G713" s="9" t="s">
        <v>122</v>
      </c>
      <c r="H713" s="9" t="s">
        <v>146</v>
      </c>
      <c r="I713" s="9">
        <v>0.56</v>
      </c>
      <c r="J713" s="47">
        <v>0.56</v>
      </c>
    </row>
    <row r="714" ht="12.75" customHeight="1">
      <c r="A714" s="42" t="s">
        <v>1103</v>
      </c>
      <c r="B714" s="21">
        <v>46096.0</v>
      </c>
      <c r="C714" s="9" t="s">
        <v>118</v>
      </c>
      <c r="D714" s="9" t="s">
        <v>147</v>
      </c>
      <c r="E714" s="9" t="s">
        <v>120</v>
      </c>
      <c r="G714" s="9" t="s">
        <v>122</v>
      </c>
      <c r="H714" s="9" t="s">
        <v>146</v>
      </c>
      <c r="I714" s="9">
        <v>0.56</v>
      </c>
      <c r="J714" s="47">
        <v>0.56</v>
      </c>
    </row>
    <row r="715" ht="12.75" customHeight="1">
      <c r="A715" s="42" t="s">
        <v>1111</v>
      </c>
      <c r="B715" s="21">
        <v>46103.0</v>
      </c>
      <c r="C715" s="9" t="s">
        <v>118</v>
      </c>
      <c r="D715" s="9" t="s">
        <v>147</v>
      </c>
      <c r="E715" s="9" t="s">
        <v>120</v>
      </c>
      <c r="G715" s="9" t="s">
        <v>122</v>
      </c>
      <c r="H715" s="9" t="s">
        <v>146</v>
      </c>
      <c r="I715" s="9">
        <v>0.56</v>
      </c>
      <c r="J715" s="47">
        <v>0.56</v>
      </c>
    </row>
    <row r="716" ht="12.75" customHeight="1">
      <c r="A716" s="42" t="s">
        <v>1119</v>
      </c>
      <c r="B716" s="21">
        <v>46110.0</v>
      </c>
      <c r="C716" s="9" t="s">
        <v>118</v>
      </c>
      <c r="D716" s="9" t="s">
        <v>147</v>
      </c>
      <c r="E716" s="9" t="s">
        <v>120</v>
      </c>
      <c r="G716" s="9" t="s">
        <v>122</v>
      </c>
      <c r="H716" s="9" t="s">
        <v>146</v>
      </c>
      <c r="I716" s="9">
        <v>0.56</v>
      </c>
      <c r="J716" s="47">
        <v>0.56</v>
      </c>
    </row>
    <row r="717" ht="12.75" customHeight="1">
      <c r="A717" s="42" t="s">
        <v>1127</v>
      </c>
      <c r="B717" s="21">
        <v>46117.0</v>
      </c>
      <c r="C717" s="9" t="s">
        <v>118</v>
      </c>
      <c r="D717" s="9" t="s">
        <v>147</v>
      </c>
      <c r="E717" s="9" t="s">
        <v>120</v>
      </c>
      <c r="G717" s="9" t="s">
        <v>122</v>
      </c>
      <c r="H717" s="9" t="s">
        <v>146</v>
      </c>
      <c r="I717" s="9">
        <v>0.92</v>
      </c>
      <c r="J717" s="47">
        <v>0.92</v>
      </c>
    </row>
    <row r="718" ht="12.75" customHeight="1">
      <c r="A718" s="42" t="s">
        <v>1135</v>
      </c>
      <c r="B718" s="21">
        <v>46124.0</v>
      </c>
      <c r="C718" s="9" t="s">
        <v>118</v>
      </c>
      <c r="D718" s="9" t="s">
        <v>147</v>
      </c>
      <c r="E718" s="9" t="s">
        <v>120</v>
      </c>
      <c r="G718" s="9" t="s">
        <v>122</v>
      </c>
      <c r="H718" s="9" t="s">
        <v>146</v>
      </c>
      <c r="I718" s="9">
        <v>0.92</v>
      </c>
      <c r="J718" s="47">
        <v>0.92</v>
      </c>
    </row>
    <row r="719" ht="12.75" customHeight="1">
      <c r="A719" s="42" t="s">
        <v>1143</v>
      </c>
      <c r="B719" s="21">
        <v>46131.0</v>
      </c>
      <c r="C719" s="9" t="s">
        <v>118</v>
      </c>
      <c r="D719" s="9" t="s">
        <v>147</v>
      </c>
      <c r="E719" s="9" t="s">
        <v>120</v>
      </c>
      <c r="G719" s="9" t="s">
        <v>122</v>
      </c>
      <c r="H719" s="9" t="s">
        <v>146</v>
      </c>
      <c r="I719" s="9">
        <v>0.92</v>
      </c>
      <c r="J719" s="47">
        <v>0.92</v>
      </c>
    </row>
    <row r="720" ht="12.75" customHeight="1">
      <c r="A720" s="42" t="s">
        <v>1151</v>
      </c>
      <c r="B720" s="21">
        <v>46138.0</v>
      </c>
      <c r="C720" s="9" t="s">
        <v>118</v>
      </c>
      <c r="D720" s="9" t="s">
        <v>147</v>
      </c>
      <c r="E720" s="9" t="s">
        <v>120</v>
      </c>
      <c r="G720" s="9" t="s">
        <v>122</v>
      </c>
      <c r="H720" s="9" t="s">
        <v>146</v>
      </c>
      <c r="I720" s="9">
        <v>0.92</v>
      </c>
      <c r="J720" s="47">
        <v>0.92</v>
      </c>
    </row>
    <row r="721" ht="12.75" customHeight="1">
      <c r="A721" s="42" t="s">
        <v>1159</v>
      </c>
      <c r="B721" s="21">
        <v>46145.0</v>
      </c>
      <c r="C721" s="9" t="s">
        <v>118</v>
      </c>
      <c r="D721" s="9" t="s">
        <v>147</v>
      </c>
      <c r="E721" s="9" t="s">
        <v>120</v>
      </c>
      <c r="G721" s="9" t="s">
        <v>122</v>
      </c>
      <c r="H721" s="9" t="s">
        <v>146</v>
      </c>
      <c r="I721" s="9">
        <v>1.33</v>
      </c>
      <c r="J721" s="47">
        <v>1.33</v>
      </c>
    </row>
    <row r="722" ht="12.75" customHeight="1">
      <c r="A722" s="42" t="s">
        <v>1167</v>
      </c>
      <c r="B722" s="21">
        <v>46152.0</v>
      </c>
      <c r="C722" s="9" t="s">
        <v>118</v>
      </c>
      <c r="D722" s="9" t="s">
        <v>147</v>
      </c>
      <c r="E722" s="9" t="s">
        <v>120</v>
      </c>
      <c r="G722" s="9" t="s">
        <v>122</v>
      </c>
      <c r="H722" s="9" t="s">
        <v>146</v>
      </c>
      <c r="I722" s="9">
        <v>1.33</v>
      </c>
      <c r="J722" s="47">
        <v>1.33</v>
      </c>
    </row>
    <row r="723" ht="12.75" customHeight="1">
      <c r="A723" s="42" t="s">
        <v>1175</v>
      </c>
      <c r="B723" s="21">
        <v>46159.0</v>
      </c>
      <c r="C723" s="9" t="s">
        <v>118</v>
      </c>
      <c r="D723" s="9" t="s">
        <v>147</v>
      </c>
      <c r="E723" s="9" t="s">
        <v>120</v>
      </c>
      <c r="G723" s="9" t="s">
        <v>122</v>
      </c>
      <c r="H723" s="9" t="s">
        <v>146</v>
      </c>
      <c r="I723" s="9">
        <v>1.33</v>
      </c>
      <c r="J723" s="47">
        <v>1.33</v>
      </c>
    </row>
    <row r="724" ht="12.75" customHeight="1">
      <c r="A724" s="42" t="s">
        <v>1183</v>
      </c>
      <c r="B724" s="21">
        <v>46166.0</v>
      </c>
      <c r="C724" s="9" t="s">
        <v>118</v>
      </c>
      <c r="D724" s="9" t="s">
        <v>147</v>
      </c>
      <c r="E724" s="9" t="s">
        <v>120</v>
      </c>
      <c r="G724" s="9" t="s">
        <v>122</v>
      </c>
      <c r="H724" s="9" t="s">
        <v>146</v>
      </c>
      <c r="I724" s="9">
        <v>1.33</v>
      </c>
      <c r="J724" s="47">
        <v>1.33</v>
      </c>
    </row>
    <row r="725" ht="12.75" customHeight="1">
      <c r="A725" s="42" t="s">
        <v>1193</v>
      </c>
      <c r="B725" s="21">
        <v>46174.0</v>
      </c>
      <c r="C725" s="9" t="s">
        <v>118</v>
      </c>
      <c r="D725" s="9" t="s">
        <v>147</v>
      </c>
      <c r="E725" s="9" t="s">
        <v>120</v>
      </c>
      <c r="G725" s="9" t="s">
        <v>122</v>
      </c>
      <c r="H725" s="9" t="s">
        <v>146</v>
      </c>
      <c r="I725" s="9">
        <v>1.44</v>
      </c>
      <c r="J725" s="47">
        <v>1.44</v>
      </c>
    </row>
    <row r="726" ht="12.75" customHeight="1">
      <c r="A726" s="42" t="s">
        <v>1199</v>
      </c>
      <c r="B726" s="21">
        <v>46180.0</v>
      </c>
      <c r="C726" s="9" t="s">
        <v>118</v>
      </c>
      <c r="D726" s="9" t="s">
        <v>147</v>
      </c>
      <c r="E726" s="9" t="s">
        <v>120</v>
      </c>
      <c r="G726" s="9" t="s">
        <v>122</v>
      </c>
      <c r="H726" s="9" t="s">
        <v>146</v>
      </c>
      <c r="I726" s="9">
        <v>1.44</v>
      </c>
      <c r="J726" s="47">
        <v>1.44</v>
      </c>
    </row>
    <row r="727" ht="12.75" customHeight="1">
      <c r="A727" s="42" t="s">
        <v>1207</v>
      </c>
      <c r="B727" s="21">
        <v>46187.0</v>
      </c>
      <c r="C727" s="9" t="s">
        <v>118</v>
      </c>
      <c r="D727" s="9" t="s">
        <v>147</v>
      </c>
      <c r="E727" s="9" t="s">
        <v>120</v>
      </c>
      <c r="G727" s="9" t="s">
        <v>122</v>
      </c>
      <c r="H727" s="9" t="s">
        <v>146</v>
      </c>
      <c r="I727" s="9">
        <v>1.44</v>
      </c>
      <c r="J727" s="47">
        <v>1.44</v>
      </c>
    </row>
    <row r="728" ht="12.75" customHeight="1">
      <c r="A728" s="42" t="s">
        <v>1215</v>
      </c>
      <c r="B728" s="21">
        <v>46194.0</v>
      </c>
      <c r="C728" s="9" t="s">
        <v>118</v>
      </c>
      <c r="D728" s="9" t="s">
        <v>147</v>
      </c>
      <c r="E728" s="9" t="s">
        <v>120</v>
      </c>
      <c r="G728" s="9" t="s">
        <v>122</v>
      </c>
      <c r="H728" s="9" t="s">
        <v>146</v>
      </c>
      <c r="I728" s="9">
        <v>1.44</v>
      </c>
      <c r="J728" s="47">
        <v>1.44</v>
      </c>
    </row>
    <row r="729" ht="12.75" customHeight="1">
      <c r="A729" s="42" t="s">
        <v>1223</v>
      </c>
      <c r="B729" s="21">
        <v>46201.0</v>
      </c>
      <c r="C729" s="9" t="s">
        <v>118</v>
      </c>
      <c r="D729" s="9" t="s">
        <v>147</v>
      </c>
      <c r="E729" s="9" t="s">
        <v>120</v>
      </c>
      <c r="G729" s="9" t="s">
        <v>122</v>
      </c>
      <c r="H729" s="9" t="s">
        <v>146</v>
      </c>
      <c r="I729" s="9">
        <v>1.44</v>
      </c>
      <c r="J729" s="47">
        <v>1.44</v>
      </c>
    </row>
    <row r="730" ht="12.75" customHeight="1">
      <c r="A730" s="42" t="s">
        <v>1231</v>
      </c>
      <c r="B730" s="21">
        <v>46208.0</v>
      </c>
      <c r="C730" s="9" t="s">
        <v>118</v>
      </c>
      <c r="D730" s="9" t="s">
        <v>147</v>
      </c>
      <c r="E730" s="9" t="s">
        <v>120</v>
      </c>
      <c r="G730" s="9" t="s">
        <v>122</v>
      </c>
      <c r="H730" s="9" t="s">
        <v>146</v>
      </c>
      <c r="I730" s="9">
        <v>1.39</v>
      </c>
      <c r="J730" s="47">
        <v>1.39</v>
      </c>
    </row>
    <row r="731" ht="12.75" customHeight="1">
      <c r="A731" s="42" t="s">
        <v>1239</v>
      </c>
      <c r="B731" s="21">
        <v>46215.0</v>
      </c>
      <c r="C731" s="9" t="s">
        <v>118</v>
      </c>
      <c r="D731" s="9" t="s">
        <v>147</v>
      </c>
      <c r="E731" s="9" t="s">
        <v>120</v>
      </c>
      <c r="G731" s="9" t="s">
        <v>122</v>
      </c>
      <c r="H731" s="9" t="s">
        <v>146</v>
      </c>
      <c r="I731" s="9">
        <v>1.39</v>
      </c>
      <c r="J731" s="47">
        <v>1.39</v>
      </c>
    </row>
    <row r="732" ht="12.75" customHeight="1">
      <c r="A732" s="42" t="s">
        <v>1247</v>
      </c>
      <c r="B732" s="21">
        <v>46222.0</v>
      </c>
      <c r="C732" s="9" t="s">
        <v>118</v>
      </c>
      <c r="D732" s="9" t="s">
        <v>147</v>
      </c>
      <c r="E732" s="9" t="s">
        <v>120</v>
      </c>
      <c r="G732" s="9" t="s">
        <v>122</v>
      </c>
      <c r="H732" s="9" t="s">
        <v>146</v>
      </c>
      <c r="I732" s="9">
        <v>1.39</v>
      </c>
      <c r="J732" s="47">
        <v>1.39</v>
      </c>
    </row>
    <row r="733" ht="12.75" customHeight="1">
      <c r="A733" s="42" t="s">
        <v>1255</v>
      </c>
      <c r="B733" s="21">
        <v>46229.0</v>
      </c>
      <c r="C733" s="9" t="s">
        <v>118</v>
      </c>
      <c r="D733" s="9" t="s">
        <v>147</v>
      </c>
      <c r="E733" s="9" t="s">
        <v>120</v>
      </c>
      <c r="G733" s="9" t="s">
        <v>122</v>
      </c>
      <c r="H733" s="9" t="s">
        <v>146</v>
      </c>
      <c r="I733" s="9">
        <v>1.39</v>
      </c>
      <c r="J733" s="47">
        <v>1.39</v>
      </c>
    </row>
    <row r="734" ht="12.75" customHeight="1">
      <c r="A734" s="42" t="s">
        <v>1263</v>
      </c>
      <c r="B734" s="21">
        <v>46236.0</v>
      </c>
      <c r="C734" s="9" t="s">
        <v>118</v>
      </c>
      <c r="D734" s="9" t="s">
        <v>147</v>
      </c>
      <c r="E734" s="9" t="s">
        <v>120</v>
      </c>
      <c r="G734" s="9" t="s">
        <v>122</v>
      </c>
      <c r="H734" s="9" t="s">
        <v>146</v>
      </c>
      <c r="I734" s="9">
        <v>1.38</v>
      </c>
      <c r="J734" s="47">
        <v>1.38</v>
      </c>
    </row>
    <row r="735" ht="12.75" customHeight="1">
      <c r="A735" s="42" t="s">
        <v>1271</v>
      </c>
      <c r="B735" s="21">
        <v>46243.0</v>
      </c>
      <c r="C735" s="9" t="s">
        <v>118</v>
      </c>
      <c r="D735" s="9" t="s">
        <v>147</v>
      </c>
      <c r="E735" s="9" t="s">
        <v>120</v>
      </c>
      <c r="G735" s="9" t="s">
        <v>122</v>
      </c>
      <c r="H735" s="9" t="s">
        <v>146</v>
      </c>
      <c r="I735" s="9">
        <v>1.38</v>
      </c>
      <c r="J735" s="47">
        <v>1.38</v>
      </c>
    </row>
    <row r="736" ht="12.75" customHeight="1">
      <c r="A736" s="42" t="s">
        <v>1279</v>
      </c>
      <c r="B736" s="21">
        <v>46250.0</v>
      </c>
      <c r="C736" s="9" t="s">
        <v>118</v>
      </c>
      <c r="D736" s="9" t="s">
        <v>147</v>
      </c>
      <c r="E736" s="9" t="s">
        <v>120</v>
      </c>
      <c r="G736" s="9" t="s">
        <v>122</v>
      </c>
      <c r="H736" s="9" t="s">
        <v>146</v>
      </c>
      <c r="I736" s="9">
        <v>1.38</v>
      </c>
      <c r="J736" s="47">
        <v>1.38</v>
      </c>
    </row>
    <row r="737" ht="12.75" customHeight="1">
      <c r="A737" s="42" t="s">
        <v>1287</v>
      </c>
      <c r="B737" s="21">
        <v>46257.0</v>
      </c>
      <c r="C737" s="9" t="s">
        <v>118</v>
      </c>
      <c r="D737" s="9" t="s">
        <v>147</v>
      </c>
      <c r="E737" s="9" t="s">
        <v>120</v>
      </c>
      <c r="G737" s="9" t="s">
        <v>122</v>
      </c>
      <c r="H737" s="9" t="s">
        <v>146</v>
      </c>
      <c r="I737" s="9">
        <v>1.38</v>
      </c>
      <c r="J737" s="47">
        <v>1.38</v>
      </c>
    </row>
    <row r="738" ht="12.75" customHeight="1">
      <c r="A738" s="42" t="s">
        <v>1295</v>
      </c>
      <c r="B738" s="21">
        <v>46264.0</v>
      </c>
      <c r="C738" s="9" t="s">
        <v>118</v>
      </c>
      <c r="D738" s="9" t="s">
        <v>147</v>
      </c>
      <c r="E738" s="9" t="s">
        <v>120</v>
      </c>
      <c r="G738" s="9" t="s">
        <v>122</v>
      </c>
      <c r="H738" s="9" t="s">
        <v>146</v>
      </c>
      <c r="I738" s="9">
        <v>1.52</v>
      </c>
      <c r="J738" s="47">
        <v>1.52</v>
      </c>
    </row>
    <row r="739" ht="12.75" customHeight="1">
      <c r="A739" s="42" t="s">
        <v>1303</v>
      </c>
      <c r="B739" s="21">
        <v>46271.0</v>
      </c>
      <c r="C739" s="9" t="s">
        <v>118</v>
      </c>
      <c r="D739" s="9" t="s">
        <v>147</v>
      </c>
      <c r="E739" s="9" t="s">
        <v>120</v>
      </c>
      <c r="G739" s="9" t="s">
        <v>122</v>
      </c>
      <c r="H739" s="9" t="s">
        <v>146</v>
      </c>
      <c r="I739" s="9">
        <v>1.52</v>
      </c>
      <c r="J739" s="47">
        <v>1.52</v>
      </c>
    </row>
    <row r="740" ht="12.75" customHeight="1">
      <c r="A740" s="42" t="s">
        <v>1311</v>
      </c>
      <c r="B740" s="21">
        <v>46278.0</v>
      </c>
      <c r="C740" s="9" t="s">
        <v>118</v>
      </c>
      <c r="D740" s="9" t="s">
        <v>147</v>
      </c>
      <c r="E740" s="9" t="s">
        <v>120</v>
      </c>
      <c r="G740" s="9" t="s">
        <v>122</v>
      </c>
      <c r="H740" s="9" t="s">
        <v>146</v>
      </c>
      <c r="I740" s="9">
        <v>1.52</v>
      </c>
      <c r="J740" s="47">
        <v>1.52</v>
      </c>
    </row>
    <row r="741" ht="12.75" customHeight="1">
      <c r="A741" s="42" t="s">
        <v>1319</v>
      </c>
      <c r="B741" s="21">
        <v>46285.0</v>
      </c>
      <c r="C741" s="9" t="s">
        <v>118</v>
      </c>
      <c r="D741" s="9" t="s">
        <v>147</v>
      </c>
      <c r="E741" s="9" t="s">
        <v>120</v>
      </c>
      <c r="G741" s="9" t="s">
        <v>122</v>
      </c>
      <c r="H741" s="9" t="s">
        <v>146</v>
      </c>
      <c r="I741" s="9">
        <v>1.52</v>
      </c>
      <c r="J741" s="47">
        <v>1.52</v>
      </c>
    </row>
    <row r="742" ht="12.75" customHeight="1">
      <c r="A742" s="42" t="s">
        <v>1327</v>
      </c>
      <c r="B742" s="21">
        <v>46292.0</v>
      </c>
      <c r="C742" s="9" t="s">
        <v>118</v>
      </c>
      <c r="D742" s="9" t="s">
        <v>147</v>
      </c>
      <c r="E742" s="9" t="s">
        <v>120</v>
      </c>
      <c r="G742" s="9" t="s">
        <v>122</v>
      </c>
      <c r="H742" s="9" t="s">
        <v>146</v>
      </c>
      <c r="I742" s="9">
        <v>1.52</v>
      </c>
      <c r="J742" s="47">
        <v>1.52</v>
      </c>
    </row>
    <row r="743" ht="12.75" customHeight="1">
      <c r="A743" s="42" t="s">
        <v>1335</v>
      </c>
      <c r="B743" s="21">
        <v>46299.0</v>
      </c>
      <c r="C743" s="9" t="s">
        <v>118</v>
      </c>
      <c r="D743" s="9" t="s">
        <v>147</v>
      </c>
      <c r="E743" s="9" t="s">
        <v>120</v>
      </c>
      <c r="G743" s="9" t="s">
        <v>122</v>
      </c>
      <c r="H743" s="9" t="s">
        <v>146</v>
      </c>
      <c r="I743" s="9">
        <v>1.45</v>
      </c>
      <c r="J743" s="47">
        <v>1.45</v>
      </c>
    </row>
    <row r="744" ht="12.75" customHeight="1">
      <c r="A744" s="42" t="s">
        <v>1343</v>
      </c>
      <c r="B744" s="21">
        <v>46306.0</v>
      </c>
      <c r="C744" s="9" t="s">
        <v>118</v>
      </c>
      <c r="D744" s="9" t="s">
        <v>147</v>
      </c>
      <c r="E744" s="9" t="s">
        <v>120</v>
      </c>
      <c r="G744" s="9" t="s">
        <v>122</v>
      </c>
      <c r="H744" s="9" t="s">
        <v>146</v>
      </c>
      <c r="I744" s="9">
        <v>1.45</v>
      </c>
      <c r="J744" s="47">
        <v>1.45</v>
      </c>
    </row>
    <row r="745" ht="12.75" customHeight="1">
      <c r="A745" s="42" t="s">
        <v>1351</v>
      </c>
      <c r="B745" s="21">
        <v>46313.0</v>
      </c>
      <c r="C745" s="9" t="s">
        <v>118</v>
      </c>
      <c r="D745" s="9" t="s">
        <v>147</v>
      </c>
      <c r="E745" s="9" t="s">
        <v>120</v>
      </c>
      <c r="G745" s="9" t="s">
        <v>122</v>
      </c>
      <c r="H745" s="9" t="s">
        <v>146</v>
      </c>
      <c r="I745" s="9">
        <v>1.45</v>
      </c>
      <c r="J745" s="47">
        <v>1.45</v>
      </c>
    </row>
    <row r="746" ht="12.75" customHeight="1">
      <c r="A746" s="42" t="s">
        <v>1359</v>
      </c>
      <c r="B746" s="21">
        <v>46320.0</v>
      </c>
      <c r="C746" s="9" t="s">
        <v>118</v>
      </c>
      <c r="D746" s="9" t="s">
        <v>147</v>
      </c>
      <c r="E746" s="9" t="s">
        <v>120</v>
      </c>
      <c r="G746" s="9" t="s">
        <v>122</v>
      </c>
      <c r="H746" s="9" t="s">
        <v>146</v>
      </c>
      <c r="I746" s="9">
        <v>1.45</v>
      </c>
      <c r="J746" s="47">
        <v>1.45</v>
      </c>
    </row>
    <row r="747" ht="12.75" customHeight="1">
      <c r="A747" s="42" t="s">
        <v>1367</v>
      </c>
      <c r="B747" s="21">
        <v>46327.0</v>
      </c>
      <c r="C747" s="9" t="s">
        <v>118</v>
      </c>
      <c r="D747" s="9" t="s">
        <v>147</v>
      </c>
      <c r="E747" s="9" t="s">
        <v>120</v>
      </c>
      <c r="G747" s="9" t="s">
        <v>122</v>
      </c>
      <c r="H747" s="9" t="s">
        <v>146</v>
      </c>
      <c r="I747" s="9">
        <v>1.68</v>
      </c>
      <c r="J747" s="47">
        <v>1.68</v>
      </c>
    </row>
    <row r="748" ht="12.75" customHeight="1">
      <c r="A748" s="42" t="s">
        <v>1375</v>
      </c>
      <c r="B748" s="21">
        <v>46334.0</v>
      </c>
      <c r="C748" s="9" t="s">
        <v>118</v>
      </c>
      <c r="D748" s="9" t="s">
        <v>147</v>
      </c>
      <c r="E748" s="9" t="s">
        <v>120</v>
      </c>
      <c r="G748" s="9" t="s">
        <v>122</v>
      </c>
      <c r="H748" s="9" t="s">
        <v>146</v>
      </c>
      <c r="I748" s="9">
        <v>1.68</v>
      </c>
      <c r="J748" s="47">
        <v>1.68</v>
      </c>
    </row>
    <row r="749" ht="12.75" customHeight="1">
      <c r="A749" s="42" t="s">
        <v>1383</v>
      </c>
      <c r="B749" s="21">
        <v>46341.0</v>
      </c>
      <c r="C749" s="9" t="s">
        <v>118</v>
      </c>
      <c r="D749" s="9" t="s">
        <v>147</v>
      </c>
      <c r="E749" s="9" t="s">
        <v>120</v>
      </c>
      <c r="G749" s="9" t="s">
        <v>122</v>
      </c>
      <c r="H749" s="9" t="s">
        <v>146</v>
      </c>
      <c r="I749" s="9">
        <v>1.68</v>
      </c>
      <c r="J749" s="47">
        <v>1.68</v>
      </c>
    </row>
    <row r="750" ht="12.75" customHeight="1">
      <c r="A750" s="42" t="s">
        <v>1391</v>
      </c>
      <c r="B750" s="21">
        <v>46348.0</v>
      </c>
      <c r="C750" s="9" t="s">
        <v>118</v>
      </c>
      <c r="D750" s="9" t="s">
        <v>147</v>
      </c>
      <c r="E750" s="9" t="s">
        <v>120</v>
      </c>
      <c r="G750" s="9" t="s">
        <v>122</v>
      </c>
      <c r="H750" s="9" t="s">
        <v>146</v>
      </c>
      <c r="I750" s="9">
        <v>1.68</v>
      </c>
      <c r="J750" s="47">
        <v>1.68</v>
      </c>
    </row>
    <row r="751" ht="12.75" customHeight="1">
      <c r="A751" s="42" t="s">
        <v>1399</v>
      </c>
      <c r="B751" s="21">
        <v>46355.0</v>
      </c>
      <c r="C751" s="9" t="s">
        <v>118</v>
      </c>
      <c r="D751" s="9" t="s">
        <v>147</v>
      </c>
      <c r="E751" s="9" t="s">
        <v>120</v>
      </c>
      <c r="G751" s="9" t="s">
        <v>122</v>
      </c>
      <c r="H751" s="9" t="s">
        <v>146</v>
      </c>
      <c r="I751" s="9">
        <v>1.68</v>
      </c>
      <c r="J751" s="47">
        <v>1.68</v>
      </c>
    </row>
    <row r="752" ht="12.75" customHeight="1">
      <c r="A752" s="42" t="s">
        <v>1407</v>
      </c>
      <c r="B752" s="21">
        <v>46362.0</v>
      </c>
      <c r="C752" s="9" t="s">
        <v>118</v>
      </c>
      <c r="D752" s="9" t="s">
        <v>147</v>
      </c>
      <c r="E752" s="9" t="s">
        <v>120</v>
      </c>
      <c r="G752" s="9" t="s">
        <v>122</v>
      </c>
      <c r="H752" s="9" t="s">
        <v>146</v>
      </c>
      <c r="I752" s="9">
        <v>1.39</v>
      </c>
      <c r="J752" s="47">
        <v>1.39</v>
      </c>
    </row>
    <row r="753" ht="12.75" customHeight="1">
      <c r="A753" s="42" t="s">
        <v>1415</v>
      </c>
      <c r="B753" s="21">
        <v>46369.0</v>
      </c>
      <c r="C753" s="9" t="s">
        <v>118</v>
      </c>
      <c r="D753" s="9" t="s">
        <v>147</v>
      </c>
      <c r="E753" s="9" t="s">
        <v>120</v>
      </c>
      <c r="G753" s="9" t="s">
        <v>122</v>
      </c>
      <c r="H753" s="9" t="s">
        <v>146</v>
      </c>
      <c r="I753" s="9">
        <v>1.39</v>
      </c>
      <c r="J753" s="47">
        <v>1.39</v>
      </c>
    </row>
    <row r="754" ht="12.75" customHeight="1">
      <c r="A754" s="42" t="s">
        <v>1423</v>
      </c>
      <c r="B754" s="21">
        <v>46376.0</v>
      </c>
      <c r="C754" s="9" t="s">
        <v>118</v>
      </c>
      <c r="D754" s="9" t="s">
        <v>147</v>
      </c>
      <c r="E754" s="9" t="s">
        <v>120</v>
      </c>
      <c r="G754" s="9" t="s">
        <v>122</v>
      </c>
      <c r="H754" s="9" t="s">
        <v>146</v>
      </c>
      <c r="I754" s="9">
        <v>1.39</v>
      </c>
      <c r="J754" s="47">
        <v>1.39</v>
      </c>
    </row>
    <row r="755" ht="12.75" customHeight="1">
      <c r="A755" s="42" t="s">
        <v>1431</v>
      </c>
      <c r="B755" s="21">
        <v>46383.0</v>
      </c>
      <c r="C755" s="9" t="s">
        <v>118</v>
      </c>
      <c r="D755" s="9" t="s">
        <v>147</v>
      </c>
      <c r="E755" s="9" t="s">
        <v>120</v>
      </c>
      <c r="G755" s="9" t="s">
        <v>122</v>
      </c>
      <c r="H755" s="9" t="s">
        <v>146</v>
      </c>
      <c r="I755" s="9">
        <v>1.39</v>
      </c>
      <c r="J755" s="47">
        <v>1.39</v>
      </c>
    </row>
    <row r="756" ht="12.75" customHeight="1">
      <c r="A756" s="42" t="s">
        <v>1087</v>
      </c>
      <c r="B756" s="21">
        <v>46082.0</v>
      </c>
      <c r="C756" s="9" t="s">
        <v>118</v>
      </c>
      <c r="D756" s="9" t="s">
        <v>151</v>
      </c>
      <c r="E756" s="9" t="s">
        <v>120</v>
      </c>
      <c r="G756" s="9" t="s">
        <v>122</v>
      </c>
      <c r="H756" s="9" t="s">
        <v>146</v>
      </c>
      <c r="I756" s="9">
        <v>0.07</v>
      </c>
      <c r="J756" s="47">
        <v>0.07</v>
      </c>
    </row>
    <row r="757" ht="12.75" customHeight="1">
      <c r="A757" s="42" t="s">
        <v>1095</v>
      </c>
      <c r="B757" s="21">
        <v>46089.0</v>
      </c>
      <c r="C757" s="9" t="s">
        <v>118</v>
      </c>
      <c r="D757" s="9" t="s">
        <v>151</v>
      </c>
      <c r="E757" s="9" t="s">
        <v>120</v>
      </c>
      <c r="G757" s="9" t="s">
        <v>122</v>
      </c>
      <c r="H757" s="9" t="s">
        <v>146</v>
      </c>
      <c r="I757" s="9">
        <v>0.07</v>
      </c>
      <c r="J757" s="47">
        <v>0.07</v>
      </c>
    </row>
    <row r="758" ht="12.75" customHeight="1">
      <c r="A758" s="42" t="s">
        <v>1103</v>
      </c>
      <c r="B758" s="21">
        <v>46096.0</v>
      </c>
      <c r="C758" s="9" t="s">
        <v>118</v>
      </c>
      <c r="D758" s="9" t="s">
        <v>151</v>
      </c>
      <c r="E758" s="9" t="s">
        <v>120</v>
      </c>
      <c r="G758" s="9" t="s">
        <v>122</v>
      </c>
      <c r="H758" s="9" t="s">
        <v>146</v>
      </c>
      <c r="I758" s="9">
        <v>0.07</v>
      </c>
      <c r="J758" s="47">
        <v>0.07</v>
      </c>
    </row>
    <row r="759" ht="12.75" customHeight="1">
      <c r="A759" s="42" t="s">
        <v>1111</v>
      </c>
      <c r="B759" s="21">
        <v>46103.0</v>
      </c>
      <c r="C759" s="9" t="s">
        <v>118</v>
      </c>
      <c r="D759" s="9" t="s">
        <v>151</v>
      </c>
      <c r="E759" s="9" t="s">
        <v>120</v>
      </c>
      <c r="G759" s="9" t="s">
        <v>122</v>
      </c>
      <c r="H759" s="9" t="s">
        <v>146</v>
      </c>
      <c r="I759" s="9">
        <v>0.07</v>
      </c>
      <c r="J759" s="47">
        <v>0.07</v>
      </c>
    </row>
    <row r="760" ht="12.75" customHeight="1">
      <c r="A760" s="42" t="s">
        <v>1119</v>
      </c>
      <c r="B760" s="21">
        <v>46110.0</v>
      </c>
      <c r="C760" s="9" t="s">
        <v>118</v>
      </c>
      <c r="D760" s="9" t="s">
        <v>151</v>
      </c>
      <c r="E760" s="9" t="s">
        <v>120</v>
      </c>
      <c r="G760" s="9" t="s">
        <v>122</v>
      </c>
      <c r="H760" s="9" t="s">
        <v>146</v>
      </c>
      <c r="I760" s="9">
        <v>0.07</v>
      </c>
      <c r="J760" s="47">
        <v>0.07</v>
      </c>
    </row>
    <row r="761" ht="12.75" customHeight="1">
      <c r="A761" s="42" t="s">
        <v>1127</v>
      </c>
      <c r="B761" s="21">
        <v>46117.0</v>
      </c>
      <c r="C761" s="9" t="s">
        <v>118</v>
      </c>
      <c r="D761" s="9" t="s">
        <v>151</v>
      </c>
      <c r="E761" s="9" t="s">
        <v>120</v>
      </c>
      <c r="G761" s="9" t="s">
        <v>122</v>
      </c>
      <c r="H761" s="9" t="s">
        <v>146</v>
      </c>
      <c r="I761" s="9">
        <v>0.08</v>
      </c>
      <c r="J761" s="47">
        <v>0.08</v>
      </c>
    </row>
    <row r="762" ht="12.75" customHeight="1">
      <c r="A762" s="42" t="s">
        <v>1135</v>
      </c>
      <c r="B762" s="21">
        <v>46124.0</v>
      </c>
      <c r="C762" s="9" t="s">
        <v>118</v>
      </c>
      <c r="D762" s="9" t="s">
        <v>151</v>
      </c>
      <c r="E762" s="9" t="s">
        <v>120</v>
      </c>
      <c r="G762" s="9" t="s">
        <v>122</v>
      </c>
      <c r="H762" s="9" t="s">
        <v>146</v>
      </c>
      <c r="I762" s="9">
        <v>0.08</v>
      </c>
      <c r="J762" s="47">
        <v>0.08</v>
      </c>
    </row>
    <row r="763" ht="12.75" customHeight="1">
      <c r="A763" s="42" t="s">
        <v>1143</v>
      </c>
      <c r="B763" s="21">
        <v>46131.0</v>
      </c>
      <c r="C763" s="9" t="s">
        <v>118</v>
      </c>
      <c r="D763" s="9" t="s">
        <v>151</v>
      </c>
      <c r="E763" s="9" t="s">
        <v>120</v>
      </c>
      <c r="G763" s="9" t="s">
        <v>122</v>
      </c>
      <c r="H763" s="9" t="s">
        <v>146</v>
      </c>
      <c r="I763" s="9">
        <v>0.08</v>
      </c>
      <c r="J763" s="47">
        <v>0.08</v>
      </c>
    </row>
    <row r="764" ht="12.75" customHeight="1">
      <c r="A764" s="42" t="s">
        <v>1151</v>
      </c>
      <c r="B764" s="21">
        <v>46138.0</v>
      </c>
      <c r="C764" s="9" t="s">
        <v>118</v>
      </c>
      <c r="D764" s="9" t="s">
        <v>151</v>
      </c>
      <c r="E764" s="9" t="s">
        <v>120</v>
      </c>
      <c r="G764" s="9" t="s">
        <v>122</v>
      </c>
      <c r="H764" s="9" t="s">
        <v>146</v>
      </c>
      <c r="I764" s="9">
        <v>0.08</v>
      </c>
      <c r="J764" s="47">
        <v>0.08</v>
      </c>
    </row>
    <row r="765" ht="12.75" customHeight="1">
      <c r="A765" s="42" t="s">
        <v>1159</v>
      </c>
      <c r="B765" s="21">
        <v>46145.0</v>
      </c>
      <c r="C765" s="9" t="s">
        <v>118</v>
      </c>
      <c r="D765" s="9" t="s">
        <v>151</v>
      </c>
      <c r="E765" s="9" t="s">
        <v>120</v>
      </c>
      <c r="G765" s="9" t="s">
        <v>122</v>
      </c>
      <c r="H765" s="9" t="s">
        <v>146</v>
      </c>
      <c r="I765" s="9">
        <v>0.09</v>
      </c>
      <c r="J765" s="47">
        <v>0.09</v>
      </c>
    </row>
    <row r="766" ht="12.75" customHeight="1">
      <c r="A766" s="42" t="s">
        <v>1167</v>
      </c>
      <c r="B766" s="21">
        <v>46152.0</v>
      </c>
      <c r="C766" s="9" t="s">
        <v>118</v>
      </c>
      <c r="D766" s="9" t="s">
        <v>151</v>
      </c>
      <c r="E766" s="9" t="s">
        <v>120</v>
      </c>
      <c r="G766" s="9" t="s">
        <v>122</v>
      </c>
      <c r="H766" s="9" t="s">
        <v>146</v>
      </c>
      <c r="I766" s="9">
        <v>0.09</v>
      </c>
      <c r="J766" s="47">
        <v>0.09</v>
      </c>
    </row>
    <row r="767" ht="12.75" customHeight="1">
      <c r="A767" s="42" t="s">
        <v>1175</v>
      </c>
      <c r="B767" s="21">
        <v>46159.0</v>
      </c>
      <c r="C767" s="9" t="s">
        <v>118</v>
      </c>
      <c r="D767" s="9" t="s">
        <v>151</v>
      </c>
      <c r="E767" s="9" t="s">
        <v>120</v>
      </c>
      <c r="G767" s="9" t="s">
        <v>122</v>
      </c>
      <c r="H767" s="9" t="s">
        <v>146</v>
      </c>
      <c r="I767" s="9">
        <v>0.09</v>
      </c>
      <c r="J767" s="47">
        <v>0.09</v>
      </c>
    </row>
    <row r="768" ht="12.75" customHeight="1">
      <c r="A768" s="42" t="s">
        <v>1183</v>
      </c>
      <c r="B768" s="21">
        <v>46166.0</v>
      </c>
      <c r="C768" s="9" t="s">
        <v>118</v>
      </c>
      <c r="D768" s="9" t="s">
        <v>151</v>
      </c>
      <c r="E768" s="9" t="s">
        <v>120</v>
      </c>
      <c r="G768" s="9" t="s">
        <v>122</v>
      </c>
      <c r="H768" s="9" t="s">
        <v>146</v>
      </c>
      <c r="I768" s="9">
        <v>0.09</v>
      </c>
      <c r="J768" s="47">
        <v>0.09</v>
      </c>
    </row>
    <row r="769" ht="12.75" customHeight="1">
      <c r="A769" s="42" t="s">
        <v>1193</v>
      </c>
      <c r="B769" s="21">
        <v>46174.0</v>
      </c>
      <c r="C769" s="9" t="s">
        <v>118</v>
      </c>
      <c r="D769" s="9" t="s">
        <v>151</v>
      </c>
      <c r="E769" s="9" t="s">
        <v>120</v>
      </c>
      <c r="G769" s="9" t="s">
        <v>122</v>
      </c>
      <c r="H769" s="9" t="s">
        <v>146</v>
      </c>
      <c r="I769" s="9">
        <v>0.1</v>
      </c>
      <c r="J769" s="47">
        <v>0.1</v>
      </c>
    </row>
    <row r="770" ht="12.75" customHeight="1">
      <c r="A770" s="42" t="s">
        <v>1199</v>
      </c>
      <c r="B770" s="21">
        <v>46180.0</v>
      </c>
      <c r="C770" s="9" t="s">
        <v>118</v>
      </c>
      <c r="D770" s="9" t="s">
        <v>151</v>
      </c>
      <c r="E770" s="9" t="s">
        <v>120</v>
      </c>
      <c r="G770" s="9" t="s">
        <v>122</v>
      </c>
      <c r="H770" s="9" t="s">
        <v>146</v>
      </c>
      <c r="I770" s="9">
        <v>0.1</v>
      </c>
      <c r="J770" s="47">
        <v>0.1</v>
      </c>
    </row>
    <row r="771" ht="12.75" customHeight="1">
      <c r="A771" s="42" t="s">
        <v>1207</v>
      </c>
      <c r="B771" s="21">
        <v>46187.0</v>
      </c>
      <c r="C771" s="9" t="s">
        <v>118</v>
      </c>
      <c r="D771" s="9" t="s">
        <v>151</v>
      </c>
      <c r="E771" s="9" t="s">
        <v>120</v>
      </c>
      <c r="G771" s="9" t="s">
        <v>122</v>
      </c>
      <c r="H771" s="9" t="s">
        <v>146</v>
      </c>
      <c r="I771" s="9">
        <v>0.1</v>
      </c>
      <c r="J771" s="47">
        <v>0.1</v>
      </c>
    </row>
    <row r="772" ht="12.75" customHeight="1">
      <c r="A772" s="42" t="s">
        <v>1215</v>
      </c>
      <c r="B772" s="21">
        <v>46194.0</v>
      </c>
      <c r="C772" s="9" t="s">
        <v>118</v>
      </c>
      <c r="D772" s="9" t="s">
        <v>151</v>
      </c>
      <c r="E772" s="9" t="s">
        <v>120</v>
      </c>
      <c r="G772" s="9" t="s">
        <v>122</v>
      </c>
      <c r="H772" s="9" t="s">
        <v>146</v>
      </c>
      <c r="I772" s="9">
        <v>0.1</v>
      </c>
      <c r="J772" s="47">
        <v>0.1</v>
      </c>
    </row>
    <row r="773" ht="12.75" customHeight="1">
      <c r="A773" s="42" t="s">
        <v>1223</v>
      </c>
      <c r="B773" s="21">
        <v>46201.0</v>
      </c>
      <c r="C773" s="9" t="s">
        <v>118</v>
      </c>
      <c r="D773" s="9" t="s">
        <v>151</v>
      </c>
      <c r="E773" s="9" t="s">
        <v>120</v>
      </c>
      <c r="G773" s="9" t="s">
        <v>122</v>
      </c>
      <c r="H773" s="9" t="s">
        <v>146</v>
      </c>
      <c r="I773" s="9">
        <v>0.1</v>
      </c>
      <c r="J773" s="47">
        <v>0.1</v>
      </c>
    </row>
    <row r="774" ht="12.75" customHeight="1">
      <c r="A774" s="42" t="s">
        <v>1231</v>
      </c>
      <c r="B774" s="21">
        <v>46208.0</v>
      </c>
      <c r="C774" s="9" t="s">
        <v>118</v>
      </c>
      <c r="D774" s="9" t="s">
        <v>151</v>
      </c>
      <c r="E774" s="9" t="s">
        <v>120</v>
      </c>
      <c r="G774" s="9" t="s">
        <v>122</v>
      </c>
      <c r="H774" s="9" t="s">
        <v>146</v>
      </c>
      <c r="I774" s="9">
        <v>0.11</v>
      </c>
      <c r="J774" s="47">
        <v>0.11</v>
      </c>
    </row>
    <row r="775" ht="12.75" customHeight="1">
      <c r="A775" s="42" t="s">
        <v>1239</v>
      </c>
      <c r="B775" s="21">
        <v>46215.0</v>
      </c>
      <c r="C775" s="9" t="s">
        <v>118</v>
      </c>
      <c r="D775" s="9" t="s">
        <v>151</v>
      </c>
      <c r="E775" s="9" t="s">
        <v>120</v>
      </c>
      <c r="G775" s="9" t="s">
        <v>122</v>
      </c>
      <c r="H775" s="9" t="s">
        <v>146</v>
      </c>
      <c r="I775" s="9">
        <v>0.11</v>
      </c>
      <c r="J775" s="47">
        <v>0.11</v>
      </c>
    </row>
    <row r="776" ht="12.75" customHeight="1">
      <c r="A776" s="42" t="s">
        <v>1247</v>
      </c>
      <c r="B776" s="21">
        <v>46222.0</v>
      </c>
      <c r="C776" s="9" t="s">
        <v>118</v>
      </c>
      <c r="D776" s="9" t="s">
        <v>151</v>
      </c>
      <c r="E776" s="9" t="s">
        <v>120</v>
      </c>
      <c r="G776" s="9" t="s">
        <v>122</v>
      </c>
      <c r="H776" s="9" t="s">
        <v>146</v>
      </c>
      <c r="I776" s="9">
        <v>0.11</v>
      </c>
      <c r="J776" s="47">
        <v>0.11</v>
      </c>
    </row>
    <row r="777" ht="12.75" customHeight="1">
      <c r="A777" s="42" t="s">
        <v>1255</v>
      </c>
      <c r="B777" s="21">
        <v>46229.0</v>
      </c>
      <c r="C777" s="9" t="s">
        <v>118</v>
      </c>
      <c r="D777" s="9" t="s">
        <v>151</v>
      </c>
      <c r="E777" s="9" t="s">
        <v>120</v>
      </c>
      <c r="G777" s="9" t="s">
        <v>122</v>
      </c>
      <c r="H777" s="9" t="s">
        <v>146</v>
      </c>
      <c r="I777" s="9">
        <v>0.11</v>
      </c>
      <c r="J777" s="47">
        <v>0.11</v>
      </c>
    </row>
    <row r="778" ht="12.75" customHeight="1">
      <c r="A778" s="42" t="s">
        <v>1263</v>
      </c>
      <c r="B778" s="21">
        <v>46236.0</v>
      </c>
      <c r="C778" s="9" t="s">
        <v>118</v>
      </c>
      <c r="D778" s="9" t="s">
        <v>151</v>
      </c>
      <c r="E778" s="9" t="s">
        <v>120</v>
      </c>
      <c r="G778" s="9" t="s">
        <v>122</v>
      </c>
      <c r="H778" s="9" t="s">
        <v>146</v>
      </c>
      <c r="I778" s="9">
        <v>0.11</v>
      </c>
      <c r="J778" s="47">
        <v>0.11</v>
      </c>
    </row>
    <row r="779" ht="12.75" customHeight="1">
      <c r="A779" s="42" t="s">
        <v>1271</v>
      </c>
      <c r="B779" s="21">
        <v>46243.0</v>
      </c>
      <c r="C779" s="9" t="s">
        <v>118</v>
      </c>
      <c r="D779" s="9" t="s">
        <v>151</v>
      </c>
      <c r="E779" s="9" t="s">
        <v>120</v>
      </c>
      <c r="G779" s="9" t="s">
        <v>122</v>
      </c>
      <c r="H779" s="9" t="s">
        <v>146</v>
      </c>
      <c r="I779" s="9">
        <v>0.11</v>
      </c>
      <c r="J779" s="47">
        <v>0.11</v>
      </c>
    </row>
    <row r="780" ht="12.75" customHeight="1">
      <c r="A780" s="42" t="s">
        <v>1279</v>
      </c>
      <c r="B780" s="21">
        <v>46250.0</v>
      </c>
      <c r="C780" s="9" t="s">
        <v>118</v>
      </c>
      <c r="D780" s="9" t="s">
        <v>151</v>
      </c>
      <c r="E780" s="9" t="s">
        <v>120</v>
      </c>
      <c r="G780" s="9" t="s">
        <v>122</v>
      </c>
      <c r="H780" s="9" t="s">
        <v>146</v>
      </c>
      <c r="I780" s="9">
        <v>0.11</v>
      </c>
      <c r="J780" s="47">
        <v>0.11</v>
      </c>
    </row>
    <row r="781" ht="12.75" customHeight="1">
      <c r="A781" s="42" t="s">
        <v>1287</v>
      </c>
      <c r="B781" s="21">
        <v>46257.0</v>
      </c>
      <c r="C781" s="9" t="s">
        <v>118</v>
      </c>
      <c r="D781" s="9" t="s">
        <v>151</v>
      </c>
      <c r="E781" s="9" t="s">
        <v>120</v>
      </c>
      <c r="G781" s="9" t="s">
        <v>122</v>
      </c>
      <c r="H781" s="9" t="s">
        <v>146</v>
      </c>
      <c r="I781" s="9">
        <v>0.11</v>
      </c>
      <c r="J781" s="47">
        <v>0.11</v>
      </c>
    </row>
    <row r="782" ht="12.75" customHeight="1">
      <c r="A782" s="42" t="s">
        <v>1295</v>
      </c>
      <c r="B782" s="21">
        <v>46264.0</v>
      </c>
      <c r="C782" s="9" t="s">
        <v>118</v>
      </c>
      <c r="D782" s="9" t="s">
        <v>151</v>
      </c>
      <c r="E782" s="9" t="s">
        <v>120</v>
      </c>
      <c r="G782" s="9" t="s">
        <v>122</v>
      </c>
      <c r="H782" s="9" t="s">
        <v>146</v>
      </c>
      <c r="I782" s="9">
        <v>0.12</v>
      </c>
      <c r="J782" s="47">
        <v>0.12</v>
      </c>
    </row>
    <row r="783" ht="12.75" customHeight="1">
      <c r="A783" s="42" t="s">
        <v>1303</v>
      </c>
      <c r="B783" s="21">
        <v>46271.0</v>
      </c>
      <c r="C783" s="9" t="s">
        <v>118</v>
      </c>
      <c r="D783" s="9" t="s">
        <v>151</v>
      </c>
      <c r="E783" s="9" t="s">
        <v>120</v>
      </c>
      <c r="G783" s="9" t="s">
        <v>122</v>
      </c>
      <c r="H783" s="9" t="s">
        <v>146</v>
      </c>
      <c r="I783" s="9">
        <v>0.12</v>
      </c>
      <c r="J783" s="47">
        <v>0.12</v>
      </c>
    </row>
    <row r="784" ht="12.75" customHeight="1">
      <c r="A784" s="42" t="s">
        <v>1311</v>
      </c>
      <c r="B784" s="21">
        <v>46278.0</v>
      </c>
      <c r="C784" s="9" t="s">
        <v>118</v>
      </c>
      <c r="D784" s="9" t="s">
        <v>151</v>
      </c>
      <c r="E784" s="9" t="s">
        <v>120</v>
      </c>
      <c r="G784" s="9" t="s">
        <v>122</v>
      </c>
      <c r="H784" s="9" t="s">
        <v>146</v>
      </c>
      <c r="I784" s="9">
        <v>0.12</v>
      </c>
      <c r="J784" s="47">
        <v>0.12</v>
      </c>
    </row>
    <row r="785" ht="12.75" customHeight="1">
      <c r="A785" s="42" t="s">
        <v>1319</v>
      </c>
      <c r="B785" s="21">
        <v>46285.0</v>
      </c>
      <c r="C785" s="9" t="s">
        <v>118</v>
      </c>
      <c r="D785" s="9" t="s">
        <v>151</v>
      </c>
      <c r="E785" s="9" t="s">
        <v>120</v>
      </c>
      <c r="G785" s="9" t="s">
        <v>122</v>
      </c>
      <c r="H785" s="9" t="s">
        <v>146</v>
      </c>
      <c r="I785" s="9">
        <v>0.12</v>
      </c>
      <c r="J785" s="47">
        <v>0.12</v>
      </c>
    </row>
    <row r="786" ht="12.75" customHeight="1">
      <c r="A786" s="42" t="s">
        <v>1327</v>
      </c>
      <c r="B786" s="21">
        <v>46292.0</v>
      </c>
      <c r="C786" s="9" t="s">
        <v>118</v>
      </c>
      <c r="D786" s="9" t="s">
        <v>151</v>
      </c>
      <c r="E786" s="9" t="s">
        <v>120</v>
      </c>
      <c r="G786" s="9" t="s">
        <v>122</v>
      </c>
      <c r="H786" s="9" t="s">
        <v>146</v>
      </c>
      <c r="I786" s="9">
        <v>0.12</v>
      </c>
      <c r="J786" s="47">
        <v>0.12</v>
      </c>
    </row>
    <row r="787" ht="12.75" customHeight="1">
      <c r="A787" s="42" t="s">
        <v>1335</v>
      </c>
      <c r="B787" s="21">
        <v>46299.0</v>
      </c>
      <c r="C787" s="9" t="s">
        <v>118</v>
      </c>
      <c r="D787" s="9" t="s">
        <v>151</v>
      </c>
      <c r="E787" s="9" t="s">
        <v>120</v>
      </c>
      <c r="G787" s="9" t="s">
        <v>122</v>
      </c>
      <c r="H787" s="9" t="s">
        <v>146</v>
      </c>
      <c r="I787" s="9">
        <v>0.12</v>
      </c>
      <c r="J787" s="47">
        <v>0.12</v>
      </c>
    </row>
    <row r="788" ht="12.75" customHeight="1">
      <c r="A788" s="42" t="s">
        <v>1343</v>
      </c>
      <c r="B788" s="21">
        <v>46306.0</v>
      </c>
      <c r="C788" s="9" t="s">
        <v>118</v>
      </c>
      <c r="D788" s="9" t="s">
        <v>151</v>
      </c>
      <c r="E788" s="9" t="s">
        <v>120</v>
      </c>
      <c r="G788" s="9" t="s">
        <v>122</v>
      </c>
      <c r="H788" s="9" t="s">
        <v>146</v>
      </c>
      <c r="I788" s="9">
        <v>0.12</v>
      </c>
      <c r="J788" s="47">
        <v>0.12</v>
      </c>
    </row>
    <row r="789" ht="12.75" customHeight="1">
      <c r="A789" s="42" t="s">
        <v>1351</v>
      </c>
      <c r="B789" s="21">
        <v>46313.0</v>
      </c>
      <c r="C789" s="9" t="s">
        <v>118</v>
      </c>
      <c r="D789" s="9" t="s">
        <v>151</v>
      </c>
      <c r="E789" s="9" t="s">
        <v>120</v>
      </c>
      <c r="G789" s="9" t="s">
        <v>122</v>
      </c>
      <c r="H789" s="9" t="s">
        <v>146</v>
      </c>
      <c r="I789" s="9">
        <v>0.12</v>
      </c>
      <c r="J789" s="47">
        <v>0.12</v>
      </c>
    </row>
    <row r="790" ht="12.75" customHeight="1">
      <c r="A790" s="42" t="s">
        <v>1359</v>
      </c>
      <c r="B790" s="21">
        <v>46320.0</v>
      </c>
      <c r="C790" s="9" t="s">
        <v>118</v>
      </c>
      <c r="D790" s="9" t="s">
        <v>151</v>
      </c>
      <c r="E790" s="9" t="s">
        <v>120</v>
      </c>
      <c r="G790" s="9" t="s">
        <v>122</v>
      </c>
      <c r="H790" s="9" t="s">
        <v>146</v>
      </c>
      <c r="I790" s="9">
        <v>0.12</v>
      </c>
      <c r="J790" s="47">
        <v>0.12</v>
      </c>
    </row>
    <row r="791" ht="12.75" customHeight="1">
      <c r="A791" s="42" t="s">
        <v>1367</v>
      </c>
      <c r="B791" s="21">
        <v>46327.0</v>
      </c>
      <c r="C791" s="9" t="s">
        <v>118</v>
      </c>
      <c r="D791" s="9" t="s">
        <v>151</v>
      </c>
      <c r="E791" s="9" t="s">
        <v>120</v>
      </c>
      <c r="G791" s="9" t="s">
        <v>122</v>
      </c>
      <c r="H791" s="9" t="s">
        <v>146</v>
      </c>
      <c r="I791" s="9">
        <v>0.13</v>
      </c>
      <c r="J791" s="47">
        <v>0.13</v>
      </c>
    </row>
    <row r="792" ht="12.75" customHeight="1">
      <c r="A792" s="42" t="s">
        <v>1375</v>
      </c>
      <c r="B792" s="21">
        <v>46334.0</v>
      </c>
      <c r="C792" s="9" t="s">
        <v>118</v>
      </c>
      <c r="D792" s="9" t="s">
        <v>151</v>
      </c>
      <c r="E792" s="9" t="s">
        <v>120</v>
      </c>
      <c r="G792" s="9" t="s">
        <v>122</v>
      </c>
      <c r="H792" s="9" t="s">
        <v>146</v>
      </c>
      <c r="I792" s="9">
        <v>0.13</v>
      </c>
      <c r="J792" s="47">
        <v>0.13</v>
      </c>
    </row>
    <row r="793" ht="12.75" customHeight="1">
      <c r="A793" s="42" t="s">
        <v>1383</v>
      </c>
      <c r="B793" s="21">
        <v>46341.0</v>
      </c>
      <c r="C793" s="9" t="s">
        <v>118</v>
      </c>
      <c r="D793" s="9" t="s">
        <v>151</v>
      </c>
      <c r="E793" s="9" t="s">
        <v>120</v>
      </c>
      <c r="G793" s="9" t="s">
        <v>122</v>
      </c>
      <c r="H793" s="9" t="s">
        <v>146</v>
      </c>
      <c r="I793" s="9">
        <v>0.13</v>
      </c>
      <c r="J793" s="47">
        <v>0.13</v>
      </c>
    </row>
    <row r="794" ht="12.75" customHeight="1">
      <c r="A794" s="42" t="s">
        <v>1391</v>
      </c>
      <c r="B794" s="21">
        <v>46348.0</v>
      </c>
      <c r="C794" s="9" t="s">
        <v>118</v>
      </c>
      <c r="D794" s="9" t="s">
        <v>151</v>
      </c>
      <c r="E794" s="9" t="s">
        <v>120</v>
      </c>
      <c r="G794" s="9" t="s">
        <v>122</v>
      </c>
      <c r="H794" s="9" t="s">
        <v>146</v>
      </c>
      <c r="I794" s="9">
        <v>0.13</v>
      </c>
      <c r="J794" s="47">
        <v>0.13</v>
      </c>
    </row>
    <row r="795" ht="12.75" customHeight="1">
      <c r="A795" s="42" t="s">
        <v>1399</v>
      </c>
      <c r="B795" s="21">
        <v>46355.0</v>
      </c>
      <c r="C795" s="9" t="s">
        <v>118</v>
      </c>
      <c r="D795" s="9" t="s">
        <v>151</v>
      </c>
      <c r="E795" s="9" t="s">
        <v>120</v>
      </c>
      <c r="G795" s="9" t="s">
        <v>122</v>
      </c>
      <c r="H795" s="9" t="s">
        <v>146</v>
      </c>
      <c r="I795" s="9">
        <v>0.13</v>
      </c>
      <c r="J795" s="47">
        <v>0.13</v>
      </c>
    </row>
    <row r="796" ht="12.75" customHeight="1">
      <c r="A796" s="42" t="s">
        <v>1407</v>
      </c>
      <c r="B796" s="21">
        <v>46362.0</v>
      </c>
      <c r="C796" s="9" t="s">
        <v>118</v>
      </c>
      <c r="D796" s="9" t="s">
        <v>151</v>
      </c>
      <c r="E796" s="9" t="s">
        <v>120</v>
      </c>
      <c r="G796" s="9" t="s">
        <v>122</v>
      </c>
      <c r="H796" s="9" t="s">
        <v>146</v>
      </c>
      <c r="I796" s="9">
        <v>0.13</v>
      </c>
      <c r="J796" s="47">
        <v>0.13</v>
      </c>
    </row>
    <row r="797" ht="12.75" customHeight="1">
      <c r="A797" s="42" t="s">
        <v>1415</v>
      </c>
      <c r="B797" s="21">
        <v>46369.0</v>
      </c>
      <c r="C797" s="9" t="s">
        <v>118</v>
      </c>
      <c r="D797" s="9" t="s">
        <v>151</v>
      </c>
      <c r="E797" s="9" t="s">
        <v>120</v>
      </c>
      <c r="G797" s="9" t="s">
        <v>122</v>
      </c>
      <c r="H797" s="9" t="s">
        <v>146</v>
      </c>
      <c r="I797" s="9">
        <v>0.13</v>
      </c>
      <c r="J797" s="47">
        <v>0.13</v>
      </c>
    </row>
    <row r="798" ht="12.75" customHeight="1">
      <c r="A798" s="42" t="s">
        <v>1423</v>
      </c>
      <c r="B798" s="21">
        <v>46376.0</v>
      </c>
      <c r="C798" s="9" t="s">
        <v>118</v>
      </c>
      <c r="D798" s="9" t="s">
        <v>151</v>
      </c>
      <c r="E798" s="9" t="s">
        <v>120</v>
      </c>
      <c r="G798" s="9" t="s">
        <v>122</v>
      </c>
      <c r="H798" s="9" t="s">
        <v>146</v>
      </c>
      <c r="I798" s="9">
        <v>0.13</v>
      </c>
      <c r="J798" s="47">
        <v>0.13</v>
      </c>
    </row>
    <row r="799" ht="12.75" customHeight="1">
      <c r="A799" s="42" t="s">
        <v>1431</v>
      </c>
      <c r="B799" s="21">
        <v>46383.0</v>
      </c>
      <c r="C799" s="9" t="s">
        <v>118</v>
      </c>
      <c r="D799" s="9" t="s">
        <v>151</v>
      </c>
      <c r="E799" s="9" t="s">
        <v>120</v>
      </c>
      <c r="G799" s="9" t="s">
        <v>122</v>
      </c>
      <c r="H799" s="9" t="s">
        <v>146</v>
      </c>
      <c r="I799" s="9">
        <v>0.13</v>
      </c>
      <c r="J799" s="47">
        <v>0.13</v>
      </c>
    </row>
    <row r="800" ht="12.75" customHeight="1">
      <c r="A800" s="42" t="s">
        <v>1087</v>
      </c>
      <c r="B800" s="21">
        <v>46082.0</v>
      </c>
      <c r="C800" s="9" t="s">
        <v>118</v>
      </c>
      <c r="D800" s="9" t="s">
        <v>149</v>
      </c>
      <c r="E800" s="9" t="s">
        <v>120</v>
      </c>
      <c r="G800" s="9" t="s">
        <v>122</v>
      </c>
      <c r="H800" s="9" t="s">
        <v>146</v>
      </c>
      <c r="I800" s="9">
        <v>73.39</v>
      </c>
      <c r="J800" s="47">
        <v>73.39</v>
      </c>
    </row>
    <row r="801" ht="12.75" customHeight="1">
      <c r="A801" s="42" t="s">
        <v>1095</v>
      </c>
      <c r="B801" s="21">
        <v>46089.0</v>
      </c>
      <c r="C801" s="9" t="s">
        <v>118</v>
      </c>
      <c r="D801" s="9" t="s">
        <v>149</v>
      </c>
      <c r="E801" s="9" t="s">
        <v>120</v>
      </c>
      <c r="G801" s="9" t="s">
        <v>122</v>
      </c>
      <c r="H801" s="9" t="s">
        <v>146</v>
      </c>
      <c r="I801" s="9">
        <v>73.39</v>
      </c>
      <c r="J801" s="47">
        <v>73.39</v>
      </c>
    </row>
    <row r="802" ht="12.75" customHeight="1">
      <c r="A802" s="42" t="s">
        <v>1103</v>
      </c>
      <c r="B802" s="21">
        <v>46096.0</v>
      </c>
      <c r="C802" s="9" t="s">
        <v>118</v>
      </c>
      <c r="D802" s="9" t="s">
        <v>149</v>
      </c>
      <c r="E802" s="9" t="s">
        <v>120</v>
      </c>
      <c r="G802" s="9" t="s">
        <v>122</v>
      </c>
      <c r="H802" s="9" t="s">
        <v>146</v>
      </c>
      <c r="I802" s="9">
        <v>73.39</v>
      </c>
      <c r="J802" s="47">
        <v>73.39</v>
      </c>
    </row>
    <row r="803" ht="12.75" customHeight="1">
      <c r="A803" s="42" t="s">
        <v>1111</v>
      </c>
      <c r="B803" s="21">
        <v>46103.0</v>
      </c>
      <c r="C803" s="9" t="s">
        <v>118</v>
      </c>
      <c r="D803" s="9" t="s">
        <v>149</v>
      </c>
      <c r="E803" s="9" t="s">
        <v>120</v>
      </c>
      <c r="G803" s="9" t="s">
        <v>122</v>
      </c>
      <c r="H803" s="9" t="s">
        <v>146</v>
      </c>
      <c r="I803" s="9">
        <v>73.39</v>
      </c>
      <c r="J803" s="47">
        <v>73.39</v>
      </c>
    </row>
    <row r="804" ht="12.75" customHeight="1">
      <c r="A804" s="42" t="s">
        <v>1119</v>
      </c>
      <c r="B804" s="21">
        <v>46110.0</v>
      </c>
      <c r="C804" s="9" t="s">
        <v>118</v>
      </c>
      <c r="D804" s="9" t="s">
        <v>149</v>
      </c>
      <c r="E804" s="9" t="s">
        <v>120</v>
      </c>
      <c r="G804" s="9" t="s">
        <v>122</v>
      </c>
      <c r="H804" s="9" t="s">
        <v>146</v>
      </c>
      <c r="I804" s="9">
        <v>75.13</v>
      </c>
      <c r="J804" s="47">
        <v>75.13</v>
      </c>
    </row>
    <row r="805" ht="12.75" customHeight="1">
      <c r="A805" s="42" t="s">
        <v>1127</v>
      </c>
      <c r="B805" s="21">
        <v>46117.0</v>
      </c>
      <c r="C805" s="9" t="s">
        <v>118</v>
      </c>
      <c r="D805" s="9" t="s">
        <v>149</v>
      </c>
      <c r="E805" s="9" t="s">
        <v>120</v>
      </c>
      <c r="G805" s="9" t="s">
        <v>122</v>
      </c>
      <c r="H805" s="9" t="s">
        <v>146</v>
      </c>
      <c r="I805" s="9">
        <v>75.83</v>
      </c>
      <c r="J805" s="47">
        <v>75.83</v>
      </c>
    </row>
    <row r="806" ht="12.75" customHeight="1">
      <c r="A806" s="42" t="s">
        <v>1135</v>
      </c>
      <c r="B806" s="21">
        <v>46124.0</v>
      </c>
      <c r="C806" s="9" t="s">
        <v>118</v>
      </c>
      <c r="D806" s="9" t="s">
        <v>149</v>
      </c>
      <c r="E806" s="9" t="s">
        <v>120</v>
      </c>
      <c r="G806" s="9" t="s">
        <v>122</v>
      </c>
      <c r="H806" s="9" t="s">
        <v>146</v>
      </c>
      <c r="I806" s="9">
        <v>75.83</v>
      </c>
      <c r="J806" s="47">
        <v>75.83</v>
      </c>
    </row>
    <row r="807" ht="12.75" customHeight="1">
      <c r="A807" s="42" t="s">
        <v>1143</v>
      </c>
      <c r="B807" s="21">
        <v>46131.0</v>
      </c>
      <c r="C807" s="9" t="s">
        <v>118</v>
      </c>
      <c r="D807" s="9" t="s">
        <v>149</v>
      </c>
      <c r="E807" s="9" t="s">
        <v>120</v>
      </c>
      <c r="G807" s="9" t="s">
        <v>122</v>
      </c>
      <c r="H807" s="9" t="s">
        <v>146</v>
      </c>
      <c r="I807" s="9">
        <v>75.83</v>
      </c>
      <c r="J807" s="47">
        <v>75.83</v>
      </c>
    </row>
    <row r="808" ht="12.75" customHeight="1">
      <c r="A808" s="42" t="s">
        <v>1151</v>
      </c>
      <c r="B808" s="21">
        <v>46138.0</v>
      </c>
      <c r="C808" s="9" t="s">
        <v>118</v>
      </c>
      <c r="D808" s="9" t="s">
        <v>149</v>
      </c>
      <c r="E808" s="9" t="s">
        <v>120</v>
      </c>
      <c r="G808" s="9" t="s">
        <v>122</v>
      </c>
      <c r="H808" s="9" t="s">
        <v>146</v>
      </c>
      <c r="I808" s="9">
        <v>74.78</v>
      </c>
      <c r="J808" s="47">
        <v>74.78</v>
      </c>
    </row>
    <row r="809" ht="12.75" customHeight="1">
      <c r="A809" s="42" t="s">
        <v>1159</v>
      </c>
      <c r="B809" s="21">
        <v>46145.0</v>
      </c>
      <c r="C809" s="9" t="s">
        <v>118</v>
      </c>
      <c r="D809" s="9" t="s">
        <v>149</v>
      </c>
      <c r="E809" s="9" t="s">
        <v>120</v>
      </c>
      <c r="G809" s="9" t="s">
        <v>122</v>
      </c>
      <c r="H809" s="9" t="s">
        <v>146</v>
      </c>
      <c r="I809" s="9">
        <v>73.39</v>
      </c>
      <c r="J809" s="47">
        <v>73.39</v>
      </c>
    </row>
    <row r="810" ht="12.75" customHeight="1">
      <c r="A810" s="42" t="s">
        <v>1167</v>
      </c>
      <c r="B810" s="21">
        <v>46152.0</v>
      </c>
      <c r="C810" s="9" t="s">
        <v>118</v>
      </c>
      <c r="D810" s="9" t="s">
        <v>149</v>
      </c>
      <c r="E810" s="9" t="s">
        <v>120</v>
      </c>
      <c r="G810" s="9" t="s">
        <v>122</v>
      </c>
      <c r="H810" s="9" t="s">
        <v>146</v>
      </c>
      <c r="I810" s="9">
        <v>73.39</v>
      </c>
      <c r="J810" s="47">
        <v>73.39</v>
      </c>
    </row>
    <row r="811" ht="12.75" customHeight="1">
      <c r="A811" s="42" t="s">
        <v>1175</v>
      </c>
      <c r="B811" s="21">
        <v>46159.0</v>
      </c>
      <c r="C811" s="9" t="s">
        <v>118</v>
      </c>
      <c r="D811" s="9" t="s">
        <v>149</v>
      </c>
      <c r="E811" s="9" t="s">
        <v>120</v>
      </c>
      <c r="G811" s="9" t="s">
        <v>122</v>
      </c>
      <c r="H811" s="9" t="s">
        <v>146</v>
      </c>
      <c r="I811" s="9">
        <v>73.39</v>
      </c>
      <c r="J811" s="47">
        <v>73.39</v>
      </c>
    </row>
    <row r="812" ht="12.75" customHeight="1">
      <c r="A812" s="42" t="s">
        <v>1183</v>
      </c>
      <c r="B812" s="21">
        <v>46166.0</v>
      </c>
      <c r="C812" s="9" t="s">
        <v>118</v>
      </c>
      <c r="D812" s="9" t="s">
        <v>149</v>
      </c>
      <c r="E812" s="9" t="s">
        <v>120</v>
      </c>
      <c r="G812" s="9" t="s">
        <v>122</v>
      </c>
      <c r="H812" s="9" t="s">
        <v>146</v>
      </c>
      <c r="I812" s="9">
        <v>73.39</v>
      </c>
      <c r="J812" s="47">
        <v>73.39</v>
      </c>
    </row>
    <row r="813" ht="12.75" customHeight="1">
      <c r="A813" s="42" t="s">
        <v>1193</v>
      </c>
      <c r="B813" s="21">
        <v>46174.0</v>
      </c>
      <c r="C813" s="9" t="s">
        <v>118</v>
      </c>
      <c r="D813" s="9" t="s">
        <v>149</v>
      </c>
      <c r="E813" s="9" t="s">
        <v>120</v>
      </c>
      <c r="G813" s="9" t="s">
        <v>122</v>
      </c>
      <c r="H813" s="9" t="s">
        <v>146</v>
      </c>
      <c r="I813" s="9">
        <v>75.83</v>
      </c>
      <c r="J813" s="47">
        <v>75.83</v>
      </c>
    </row>
    <row r="814" ht="12.75" customHeight="1">
      <c r="A814" s="42" t="s">
        <v>1199</v>
      </c>
      <c r="B814" s="21">
        <v>46180.0</v>
      </c>
      <c r="C814" s="9" t="s">
        <v>118</v>
      </c>
      <c r="D814" s="9" t="s">
        <v>149</v>
      </c>
      <c r="E814" s="9" t="s">
        <v>120</v>
      </c>
      <c r="G814" s="9" t="s">
        <v>122</v>
      </c>
      <c r="H814" s="9" t="s">
        <v>146</v>
      </c>
      <c r="I814" s="9">
        <v>75.83</v>
      </c>
      <c r="J814" s="47">
        <v>75.83</v>
      </c>
    </row>
    <row r="815" ht="12.75" customHeight="1">
      <c r="A815" s="42" t="s">
        <v>1207</v>
      </c>
      <c r="B815" s="21">
        <v>46187.0</v>
      </c>
      <c r="C815" s="9" t="s">
        <v>118</v>
      </c>
      <c r="D815" s="9" t="s">
        <v>149</v>
      </c>
      <c r="E815" s="9" t="s">
        <v>120</v>
      </c>
      <c r="G815" s="9" t="s">
        <v>122</v>
      </c>
      <c r="H815" s="9" t="s">
        <v>146</v>
      </c>
      <c r="I815" s="9">
        <v>75.83</v>
      </c>
      <c r="J815" s="47">
        <v>75.83</v>
      </c>
    </row>
    <row r="816" ht="12.75" customHeight="1">
      <c r="A816" s="42" t="s">
        <v>1215</v>
      </c>
      <c r="B816" s="21">
        <v>46194.0</v>
      </c>
      <c r="C816" s="9" t="s">
        <v>118</v>
      </c>
      <c r="D816" s="9" t="s">
        <v>149</v>
      </c>
      <c r="E816" s="9" t="s">
        <v>120</v>
      </c>
      <c r="G816" s="9" t="s">
        <v>122</v>
      </c>
      <c r="H816" s="9" t="s">
        <v>146</v>
      </c>
      <c r="I816" s="9">
        <v>75.83</v>
      </c>
      <c r="J816" s="47">
        <v>75.83</v>
      </c>
    </row>
    <row r="817" ht="12.75" customHeight="1">
      <c r="A817" s="42" t="s">
        <v>1223</v>
      </c>
      <c r="B817" s="21">
        <v>46201.0</v>
      </c>
      <c r="C817" s="9" t="s">
        <v>118</v>
      </c>
      <c r="D817" s="9" t="s">
        <v>149</v>
      </c>
      <c r="E817" s="9" t="s">
        <v>120</v>
      </c>
      <c r="G817" s="9" t="s">
        <v>122</v>
      </c>
      <c r="H817" s="9" t="s">
        <v>146</v>
      </c>
      <c r="I817" s="9">
        <v>61.99</v>
      </c>
      <c r="J817" s="47">
        <v>61.99</v>
      </c>
    </row>
    <row r="818" ht="12.75" customHeight="1">
      <c r="A818" s="42" t="s">
        <v>1231</v>
      </c>
      <c r="B818" s="21">
        <v>46208.0</v>
      </c>
      <c r="C818" s="9" t="s">
        <v>118</v>
      </c>
      <c r="D818" s="9" t="s">
        <v>149</v>
      </c>
      <c r="E818" s="9" t="s">
        <v>120</v>
      </c>
      <c r="G818" s="9" t="s">
        <v>122</v>
      </c>
      <c r="H818" s="9" t="s">
        <v>146</v>
      </c>
      <c r="I818" s="9">
        <v>56.45</v>
      </c>
      <c r="J818" s="47">
        <v>56.45</v>
      </c>
    </row>
    <row r="819" ht="12.75" customHeight="1">
      <c r="A819" s="42" t="s">
        <v>1239</v>
      </c>
      <c r="B819" s="21">
        <v>46215.0</v>
      </c>
      <c r="C819" s="9" t="s">
        <v>118</v>
      </c>
      <c r="D819" s="9" t="s">
        <v>149</v>
      </c>
      <c r="E819" s="9" t="s">
        <v>120</v>
      </c>
      <c r="G819" s="9" t="s">
        <v>122</v>
      </c>
      <c r="H819" s="9" t="s">
        <v>146</v>
      </c>
      <c r="I819" s="9">
        <v>56.45</v>
      </c>
      <c r="J819" s="47">
        <v>56.45</v>
      </c>
    </row>
    <row r="820" ht="12.75" customHeight="1">
      <c r="A820" s="42" t="s">
        <v>1247</v>
      </c>
      <c r="B820" s="21">
        <v>46222.0</v>
      </c>
      <c r="C820" s="9" t="s">
        <v>118</v>
      </c>
      <c r="D820" s="9" t="s">
        <v>149</v>
      </c>
      <c r="E820" s="9" t="s">
        <v>120</v>
      </c>
      <c r="G820" s="9" t="s">
        <v>122</v>
      </c>
      <c r="H820" s="9" t="s">
        <v>146</v>
      </c>
      <c r="I820" s="9">
        <v>56.45</v>
      </c>
      <c r="J820" s="47">
        <v>56.45</v>
      </c>
    </row>
    <row r="821" ht="12.75" customHeight="1">
      <c r="A821" s="42" t="s">
        <v>1255</v>
      </c>
      <c r="B821" s="21">
        <v>46229.0</v>
      </c>
      <c r="C821" s="9" t="s">
        <v>118</v>
      </c>
      <c r="D821" s="9" t="s">
        <v>149</v>
      </c>
      <c r="E821" s="9" t="s">
        <v>120</v>
      </c>
      <c r="G821" s="9" t="s">
        <v>122</v>
      </c>
      <c r="H821" s="9" t="s">
        <v>146</v>
      </c>
      <c r="I821" s="9">
        <v>56.45</v>
      </c>
      <c r="J821" s="47">
        <v>56.45</v>
      </c>
    </row>
    <row r="822" ht="12.75" customHeight="1">
      <c r="A822" s="42" t="s">
        <v>1263</v>
      </c>
      <c r="B822" s="21">
        <v>46236.0</v>
      </c>
      <c r="C822" s="9" t="s">
        <v>118</v>
      </c>
      <c r="D822" s="9" t="s">
        <v>149</v>
      </c>
      <c r="E822" s="9" t="s">
        <v>120</v>
      </c>
      <c r="G822" s="9" t="s">
        <v>122</v>
      </c>
      <c r="H822" s="9" t="s">
        <v>146</v>
      </c>
      <c r="I822" s="9">
        <v>56.45</v>
      </c>
      <c r="J822" s="47">
        <v>56.45</v>
      </c>
    </row>
    <row r="823" ht="12.75" customHeight="1">
      <c r="A823" s="42" t="s">
        <v>1271</v>
      </c>
      <c r="B823" s="21">
        <v>46243.0</v>
      </c>
      <c r="C823" s="9" t="s">
        <v>118</v>
      </c>
      <c r="D823" s="9" t="s">
        <v>149</v>
      </c>
      <c r="E823" s="9" t="s">
        <v>120</v>
      </c>
      <c r="G823" s="9" t="s">
        <v>122</v>
      </c>
      <c r="H823" s="9" t="s">
        <v>146</v>
      </c>
      <c r="I823" s="9">
        <v>56.45</v>
      </c>
      <c r="J823" s="47">
        <v>56.45</v>
      </c>
    </row>
    <row r="824" ht="12.75" customHeight="1">
      <c r="A824" s="42" t="s">
        <v>1279</v>
      </c>
      <c r="B824" s="21">
        <v>46250.0</v>
      </c>
      <c r="C824" s="9" t="s">
        <v>118</v>
      </c>
      <c r="D824" s="9" t="s">
        <v>149</v>
      </c>
      <c r="E824" s="9" t="s">
        <v>120</v>
      </c>
      <c r="G824" s="9" t="s">
        <v>122</v>
      </c>
      <c r="H824" s="9" t="s">
        <v>146</v>
      </c>
      <c r="I824" s="9">
        <v>56.45</v>
      </c>
      <c r="J824" s="47">
        <v>56.45</v>
      </c>
    </row>
    <row r="825" ht="12.75" customHeight="1">
      <c r="A825" s="42" t="s">
        <v>1287</v>
      </c>
      <c r="B825" s="21">
        <v>46257.0</v>
      </c>
      <c r="C825" s="9" t="s">
        <v>118</v>
      </c>
      <c r="D825" s="9" t="s">
        <v>149</v>
      </c>
      <c r="E825" s="9" t="s">
        <v>120</v>
      </c>
      <c r="G825" s="9" t="s">
        <v>122</v>
      </c>
      <c r="H825" s="9" t="s">
        <v>146</v>
      </c>
      <c r="I825" s="9">
        <v>56.45</v>
      </c>
      <c r="J825" s="47">
        <v>56.45</v>
      </c>
    </row>
    <row r="826" ht="12.75" customHeight="1">
      <c r="A826" s="42" t="s">
        <v>1295</v>
      </c>
      <c r="B826" s="21">
        <v>46264.0</v>
      </c>
      <c r="C826" s="9" t="s">
        <v>118</v>
      </c>
      <c r="D826" s="9" t="s">
        <v>149</v>
      </c>
      <c r="E826" s="9" t="s">
        <v>120</v>
      </c>
      <c r="G826" s="9" t="s">
        <v>122</v>
      </c>
      <c r="H826" s="9" t="s">
        <v>146</v>
      </c>
      <c r="I826" s="9">
        <v>68.06</v>
      </c>
      <c r="J826" s="47">
        <v>68.06</v>
      </c>
    </row>
    <row r="827" ht="12.75" customHeight="1">
      <c r="A827" s="42" t="s">
        <v>1303</v>
      </c>
      <c r="B827" s="21">
        <v>46271.0</v>
      </c>
      <c r="C827" s="9" t="s">
        <v>118</v>
      </c>
      <c r="D827" s="9" t="s">
        <v>149</v>
      </c>
      <c r="E827" s="9" t="s">
        <v>120</v>
      </c>
      <c r="G827" s="9" t="s">
        <v>122</v>
      </c>
      <c r="H827" s="9" t="s">
        <v>146</v>
      </c>
      <c r="I827" s="9">
        <v>70.0</v>
      </c>
      <c r="J827" s="47">
        <v>70.0</v>
      </c>
    </row>
    <row r="828" ht="12.75" customHeight="1">
      <c r="A828" s="42" t="s">
        <v>1311</v>
      </c>
      <c r="B828" s="21">
        <v>46278.0</v>
      </c>
      <c r="C828" s="9" t="s">
        <v>118</v>
      </c>
      <c r="D828" s="9" t="s">
        <v>149</v>
      </c>
      <c r="E828" s="9" t="s">
        <v>120</v>
      </c>
      <c r="G828" s="9" t="s">
        <v>122</v>
      </c>
      <c r="H828" s="9" t="s">
        <v>146</v>
      </c>
      <c r="I828" s="9">
        <v>70.0</v>
      </c>
      <c r="J828" s="47">
        <v>70.0</v>
      </c>
    </row>
    <row r="829" ht="12.75" customHeight="1">
      <c r="A829" s="42" t="s">
        <v>1319</v>
      </c>
      <c r="B829" s="21">
        <v>46285.0</v>
      </c>
      <c r="C829" s="9" t="s">
        <v>118</v>
      </c>
      <c r="D829" s="9" t="s">
        <v>149</v>
      </c>
      <c r="E829" s="9" t="s">
        <v>120</v>
      </c>
      <c r="G829" s="9" t="s">
        <v>122</v>
      </c>
      <c r="H829" s="9" t="s">
        <v>146</v>
      </c>
      <c r="I829" s="9">
        <v>70.0</v>
      </c>
      <c r="J829" s="47">
        <v>70.0</v>
      </c>
    </row>
    <row r="830" ht="12.75" customHeight="1">
      <c r="A830" s="42" t="s">
        <v>1327</v>
      </c>
      <c r="B830" s="21">
        <v>46292.0</v>
      </c>
      <c r="C830" s="9" t="s">
        <v>118</v>
      </c>
      <c r="D830" s="9" t="s">
        <v>149</v>
      </c>
      <c r="E830" s="9" t="s">
        <v>120</v>
      </c>
      <c r="G830" s="9" t="s">
        <v>122</v>
      </c>
      <c r="H830" s="9" t="s">
        <v>146</v>
      </c>
      <c r="I830" s="9">
        <v>65.48</v>
      </c>
      <c r="J830" s="47">
        <v>65.48</v>
      </c>
    </row>
    <row r="831" ht="12.75" customHeight="1">
      <c r="A831" s="42" t="s">
        <v>1335</v>
      </c>
      <c r="B831" s="21">
        <v>46299.0</v>
      </c>
      <c r="C831" s="9" t="s">
        <v>118</v>
      </c>
      <c r="D831" s="9" t="s">
        <v>149</v>
      </c>
      <c r="E831" s="9" t="s">
        <v>120</v>
      </c>
      <c r="G831" s="9" t="s">
        <v>122</v>
      </c>
      <c r="H831" s="9" t="s">
        <v>146</v>
      </c>
      <c r="I831" s="9">
        <v>62.1</v>
      </c>
      <c r="J831" s="47">
        <v>62.1</v>
      </c>
    </row>
    <row r="832" ht="12.75" customHeight="1">
      <c r="A832" s="42" t="s">
        <v>1343</v>
      </c>
      <c r="B832" s="21">
        <v>46306.0</v>
      </c>
      <c r="C832" s="9" t="s">
        <v>118</v>
      </c>
      <c r="D832" s="9" t="s">
        <v>149</v>
      </c>
      <c r="E832" s="9" t="s">
        <v>120</v>
      </c>
      <c r="G832" s="9" t="s">
        <v>122</v>
      </c>
      <c r="H832" s="9" t="s">
        <v>146</v>
      </c>
      <c r="I832" s="9">
        <v>62.1</v>
      </c>
      <c r="J832" s="47">
        <v>62.1</v>
      </c>
    </row>
    <row r="833" ht="12.75" customHeight="1">
      <c r="A833" s="42" t="s">
        <v>1351</v>
      </c>
      <c r="B833" s="21">
        <v>46313.0</v>
      </c>
      <c r="C833" s="9" t="s">
        <v>118</v>
      </c>
      <c r="D833" s="9" t="s">
        <v>149</v>
      </c>
      <c r="E833" s="9" t="s">
        <v>120</v>
      </c>
      <c r="G833" s="9" t="s">
        <v>122</v>
      </c>
      <c r="H833" s="9" t="s">
        <v>146</v>
      </c>
      <c r="I833" s="9">
        <v>62.1</v>
      </c>
      <c r="J833" s="47">
        <v>62.1</v>
      </c>
    </row>
    <row r="834" ht="12.75" customHeight="1">
      <c r="A834" s="42" t="s">
        <v>1359</v>
      </c>
      <c r="B834" s="21">
        <v>46320.0</v>
      </c>
      <c r="C834" s="9" t="s">
        <v>118</v>
      </c>
      <c r="D834" s="9" t="s">
        <v>149</v>
      </c>
      <c r="E834" s="9" t="s">
        <v>120</v>
      </c>
      <c r="G834" s="9" t="s">
        <v>122</v>
      </c>
      <c r="H834" s="9" t="s">
        <v>146</v>
      </c>
      <c r="I834" s="9">
        <v>61.56</v>
      </c>
      <c r="J834" s="47">
        <v>61.56</v>
      </c>
    </row>
    <row r="835" ht="12.75" customHeight="1">
      <c r="A835" s="42" t="s">
        <v>1367</v>
      </c>
      <c r="B835" s="21">
        <v>46327.0</v>
      </c>
      <c r="C835" s="9" t="s">
        <v>118</v>
      </c>
      <c r="D835" s="9" t="s">
        <v>149</v>
      </c>
      <c r="E835" s="9" t="s">
        <v>120</v>
      </c>
      <c r="G835" s="9" t="s">
        <v>122</v>
      </c>
      <c r="H835" s="9" t="s">
        <v>146</v>
      </c>
      <c r="I835" s="9">
        <v>58.33</v>
      </c>
      <c r="J835" s="47">
        <v>58.33</v>
      </c>
    </row>
    <row r="836" ht="12.75" customHeight="1">
      <c r="A836" s="42" t="s">
        <v>1375</v>
      </c>
      <c r="B836" s="21">
        <v>46334.0</v>
      </c>
      <c r="C836" s="9" t="s">
        <v>118</v>
      </c>
      <c r="D836" s="9" t="s">
        <v>149</v>
      </c>
      <c r="E836" s="9" t="s">
        <v>120</v>
      </c>
      <c r="G836" s="9" t="s">
        <v>122</v>
      </c>
      <c r="H836" s="9" t="s">
        <v>146</v>
      </c>
      <c r="I836" s="9">
        <v>58.33</v>
      </c>
      <c r="J836" s="47">
        <v>58.33</v>
      </c>
    </row>
    <row r="837" ht="12.75" customHeight="1">
      <c r="A837" s="42" t="s">
        <v>1383</v>
      </c>
      <c r="B837" s="21">
        <v>46341.0</v>
      </c>
      <c r="C837" s="9" t="s">
        <v>118</v>
      </c>
      <c r="D837" s="9" t="s">
        <v>149</v>
      </c>
      <c r="E837" s="9" t="s">
        <v>120</v>
      </c>
      <c r="G837" s="9" t="s">
        <v>122</v>
      </c>
      <c r="H837" s="9" t="s">
        <v>146</v>
      </c>
      <c r="I837" s="9">
        <v>58.33</v>
      </c>
      <c r="J837" s="47">
        <v>58.33</v>
      </c>
    </row>
    <row r="838" ht="12.75" customHeight="1">
      <c r="A838" s="42" t="s">
        <v>1391</v>
      </c>
      <c r="B838" s="21">
        <v>46348.0</v>
      </c>
      <c r="C838" s="9" t="s">
        <v>118</v>
      </c>
      <c r="D838" s="9" t="s">
        <v>149</v>
      </c>
      <c r="E838" s="9" t="s">
        <v>120</v>
      </c>
      <c r="G838" s="9" t="s">
        <v>122</v>
      </c>
      <c r="H838" s="9" t="s">
        <v>146</v>
      </c>
      <c r="I838" s="9">
        <v>58.33</v>
      </c>
      <c r="J838" s="47">
        <v>58.33</v>
      </c>
    </row>
    <row r="839" ht="12.75" customHeight="1">
      <c r="A839" s="42" t="s">
        <v>1399</v>
      </c>
      <c r="B839" s="21">
        <v>46355.0</v>
      </c>
      <c r="C839" s="9" t="s">
        <v>118</v>
      </c>
      <c r="D839" s="9" t="s">
        <v>149</v>
      </c>
      <c r="E839" s="9" t="s">
        <v>120</v>
      </c>
      <c r="G839" s="9" t="s">
        <v>122</v>
      </c>
      <c r="H839" s="9" t="s">
        <v>146</v>
      </c>
      <c r="I839" s="9">
        <v>51.88</v>
      </c>
      <c r="J839" s="47">
        <v>51.88</v>
      </c>
    </row>
    <row r="840" ht="12.75" customHeight="1">
      <c r="A840" s="42" t="s">
        <v>1407</v>
      </c>
      <c r="B840" s="21">
        <v>46362.0</v>
      </c>
      <c r="C840" s="9" t="s">
        <v>118</v>
      </c>
      <c r="D840" s="9" t="s">
        <v>149</v>
      </c>
      <c r="E840" s="9" t="s">
        <v>120</v>
      </c>
      <c r="G840" s="9" t="s">
        <v>122</v>
      </c>
      <c r="H840" s="9" t="s">
        <v>146</v>
      </c>
      <c r="I840" s="9">
        <v>50.81</v>
      </c>
      <c r="J840" s="47">
        <v>50.81</v>
      </c>
    </row>
    <row r="841" ht="12.75" customHeight="1">
      <c r="A841" s="42" t="s">
        <v>1415</v>
      </c>
      <c r="B841" s="21">
        <v>46369.0</v>
      </c>
      <c r="C841" s="9" t="s">
        <v>118</v>
      </c>
      <c r="D841" s="9" t="s">
        <v>149</v>
      </c>
      <c r="E841" s="9" t="s">
        <v>120</v>
      </c>
      <c r="G841" s="9" t="s">
        <v>122</v>
      </c>
      <c r="H841" s="9" t="s">
        <v>146</v>
      </c>
      <c r="I841" s="9">
        <v>50.81</v>
      </c>
      <c r="J841" s="47">
        <v>50.81</v>
      </c>
    </row>
    <row r="842" ht="12.75" customHeight="1">
      <c r="A842" s="42" t="s">
        <v>1423</v>
      </c>
      <c r="B842" s="21">
        <v>46376.0</v>
      </c>
      <c r="C842" s="9" t="s">
        <v>118</v>
      </c>
      <c r="D842" s="9" t="s">
        <v>149</v>
      </c>
      <c r="E842" s="9" t="s">
        <v>120</v>
      </c>
      <c r="G842" s="9" t="s">
        <v>122</v>
      </c>
      <c r="H842" s="9" t="s">
        <v>146</v>
      </c>
      <c r="I842" s="9">
        <v>50.81</v>
      </c>
      <c r="J842" s="47">
        <v>50.81</v>
      </c>
    </row>
    <row r="843" ht="12.75" customHeight="1">
      <c r="A843" s="42" t="s">
        <v>1431</v>
      </c>
      <c r="B843" s="21">
        <v>46383.0</v>
      </c>
      <c r="C843" s="9" t="s">
        <v>118</v>
      </c>
      <c r="D843" s="9" t="s">
        <v>149</v>
      </c>
      <c r="E843" s="9" t="s">
        <v>120</v>
      </c>
      <c r="G843" s="9" t="s">
        <v>122</v>
      </c>
      <c r="H843" s="9" t="s">
        <v>146</v>
      </c>
      <c r="I843" s="9">
        <v>29.03</v>
      </c>
      <c r="J843" s="47">
        <v>29.03</v>
      </c>
    </row>
    <row r="844" ht="12.75" customHeight="1">
      <c r="A844" s="42" t="s">
        <v>1087</v>
      </c>
      <c r="B844" s="21">
        <v>46082.0</v>
      </c>
      <c r="C844" s="9" t="s">
        <v>118</v>
      </c>
      <c r="D844" s="9" t="s">
        <v>149</v>
      </c>
      <c r="E844" s="9" t="s">
        <v>130</v>
      </c>
      <c r="G844" s="9" t="s">
        <v>122</v>
      </c>
      <c r="H844" s="9" t="s">
        <v>146</v>
      </c>
      <c r="I844" s="9">
        <v>113.0</v>
      </c>
      <c r="J844" s="47">
        <v>113.0</v>
      </c>
    </row>
    <row r="845" ht="12.75" customHeight="1">
      <c r="A845" s="42" t="s">
        <v>1095</v>
      </c>
      <c r="B845" s="21">
        <v>46089.0</v>
      </c>
      <c r="C845" s="9" t="s">
        <v>118</v>
      </c>
      <c r="D845" s="9" t="s">
        <v>149</v>
      </c>
      <c r="E845" s="9" t="s">
        <v>130</v>
      </c>
      <c r="G845" s="9" t="s">
        <v>122</v>
      </c>
      <c r="H845" s="9" t="s">
        <v>146</v>
      </c>
      <c r="I845" s="9">
        <v>83.0</v>
      </c>
      <c r="J845" s="47">
        <v>83.0</v>
      </c>
    </row>
    <row r="846" ht="12.75" customHeight="1">
      <c r="A846" s="42" t="s">
        <v>1087</v>
      </c>
      <c r="B846" s="21">
        <v>46082.0</v>
      </c>
      <c r="C846" s="9" t="s">
        <v>125</v>
      </c>
      <c r="D846" s="9" t="s">
        <v>126</v>
      </c>
      <c r="E846" s="9" t="s">
        <v>120</v>
      </c>
      <c r="G846" s="9" t="s">
        <v>122</v>
      </c>
      <c r="H846" s="9" t="s">
        <v>124</v>
      </c>
      <c r="I846" s="9">
        <v>0.5</v>
      </c>
      <c r="J846" s="47">
        <v>0.5</v>
      </c>
    </row>
    <row r="847" ht="12.75" customHeight="1">
      <c r="A847" s="42" t="s">
        <v>1095</v>
      </c>
      <c r="B847" s="21">
        <v>46089.0</v>
      </c>
      <c r="C847" s="9" t="s">
        <v>125</v>
      </c>
      <c r="D847" s="9" t="s">
        <v>126</v>
      </c>
      <c r="E847" s="9" t="s">
        <v>120</v>
      </c>
      <c r="G847" s="9" t="s">
        <v>122</v>
      </c>
      <c r="H847" s="9" t="s">
        <v>124</v>
      </c>
      <c r="I847" s="9">
        <v>0.5</v>
      </c>
      <c r="J847" s="47">
        <v>0.5</v>
      </c>
    </row>
    <row r="848" ht="12.75" customHeight="1">
      <c r="A848" s="42" t="s">
        <v>1103</v>
      </c>
      <c r="B848" s="21">
        <v>46096.0</v>
      </c>
      <c r="C848" s="9" t="s">
        <v>125</v>
      </c>
      <c r="D848" s="9" t="s">
        <v>126</v>
      </c>
      <c r="E848" s="9" t="s">
        <v>120</v>
      </c>
      <c r="G848" s="9" t="s">
        <v>122</v>
      </c>
      <c r="H848" s="9" t="s">
        <v>124</v>
      </c>
      <c r="I848" s="9">
        <v>0.5</v>
      </c>
      <c r="J848" s="47">
        <v>0.5</v>
      </c>
    </row>
    <row r="849" ht="12.75" customHeight="1">
      <c r="A849" s="42" t="s">
        <v>1111</v>
      </c>
      <c r="B849" s="21">
        <v>46103.0</v>
      </c>
      <c r="C849" s="9" t="s">
        <v>125</v>
      </c>
      <c r="D849" s="9" t="s">
        <v>126</v>
      </c>
      <c r="E849" s="9" t="s">
        <v>120</v>
      </c>
      <c r="G849" s="9" t="s">
        <v>122</v>
      </c>
      <c r="H849" s="9" t="s">
        <v>124</v>
      </c>
      <c r="I849" s="9">
        <v>0.5</v>
      </c>
      <c r="J849" s="47">
        <v>0.5</v>
      </c>
    </row>
    <row r="850" ht="12.75" customHeight="1">
      <c r="A850" s="42" t="s">
        <v>1119</v>
      </c>
      <c r="B850" s="21">
        <v>46110.0</v>
      </c>
      <c r="C850" s="9" t="s">
        <v>125</v>
      </c>
      <c r="D850" s="9" t="s">
        <v>126</v>
      </c>
      <c r="E850" s="9" t="s">
        <v>120</v>
      </c>
      <c r="G850" s="9" t="s">
        <v>122</v>
      </c>
      <c r="H850" s="9" t="s">
        <v>124</v>
      </c>
      <c r="I850" s="9">
        <v>0.5</v>
      </c>
      <c r="J850" s="47">
        <v>0.5</v>
      </c>
    </row>
    <row r="851" ht="12.75" customHeight="1">
      <c r="A851" s="42" t="s">
        <v>1127</v>
      </c>
      <c r="B851" s="21">
        <v>46117.0</v>
      </c>
      <c r="C851" s="9" t="s">
        <v>125</v>
      </c>
      <c r="D851" s="9" t="s">
        <v>126</v>
      </c>
      <c r="E851" s="9" t="s">
        <v>120</v>
      </c>
      <c r="G851" s="9" t="s">
        <v>122</v>
      </c>
      <c r="H851" s="9" t="s">
        <v>124</v>
      </c>
      <c r="I851" s="9">
        <v>0.53</v>
      </c>
      <c r="J851" s="47">
        <v>0.53</v>
      </c>
    </row>
    <row r="852" ht="12.75" customHeight="1">
      <c r="A852" s="42" t="s">
        <v>1135</v>
      </c>
      <c r="B852" s="21">
        <v>46124.0</v>
      </c>
      <c r="C852" s="9" t="s">
        <v>125</v>
      </c>
      <c r="D852" s="9" t="s">
        <v>126</v>
      </c>
      <c r="E852" s="9" t="s">
        <v>120</v>
      </c>
      <c r="G852" s="9" t="s">
        <v>122</v>
      </c>
      <c r="H852" s="9" t="s">
        <v>124</v>
      </c>
      <c r="I852" s="9">
        <v>0.53</v>
      </c>
      <c r="J852" s="47">
        <v>0.53</v>
      </c>
    </row>
    <row r="853" ht="12.75" customHeight="1">
      <c r="A853" s="42" t="s">
        <v>1143</v>
      </c>
      <c r="B853" s="21">
        <v>46131.0</v>
      </c>
      <c r="C853" s="9" t="s">
        <v>125</v>
      </c>
      <c r="D853" s="9" t="s">
        <v>126</v>
      </c>
      <c r="E853" s="9" t="s">
        <v>120</v>
      </c>
      <c r="G853" s="9" t="s">
        <v>122</v>
      </c>
      <c r="H853" s="9" t="s">
        <v>124</v>
      </c>
      <c r="I853" s="9">
        <v>0.53</v>
      </c>
      <c r="J853" s="47">
        <v>0.53</v>
      </c>
    </row>
    <row r="854" ht="12.75" customHeight="1">
      <c r="A854" s="42" t="s">
        <v>1151</v>
      </c>
      <c r="B854" s="21">
        <v>46138.0</v>
      </c>
      <c r="C854" s="9" t="s">
        <v>125</v>
      </c>
      <c r="D854" s="9" t="s">
        <v>126</v>
      </c>
      <c r="E854" s="9" t="s">
        <v>120</v>
      </c>
      <c r="G854" s="9" t="s">
        <v>122</v>
      </c>
      <c r="H854" s="9" t="s">
        <v>124</v>
      </c>
      <c r="I854" s="9">
        <v>0.53</v>
      </c>
      <c r="J854" s="47">
        <v>0.53</v>
      </c>
    </row>
    <row r="855" ht="12.75" customHeight="1">
      <c r="A855" s="42" t="s">
        <v>1159</v>
      </c>
      <c r="B855" s="21">
        <v>46145.0</v>
      </c>
      <c r="C855" s="9" t="s">
        <v>125</v>
      </c>
      <c r="D855" s="9" t="s">
        <v>126</v>
      </c>
      <c r="E855" s="9" t="s">
        <v>120</v>
      </c>
      <c r="G855" s="9" t="s">
        <v>122</v>
      </c>
      <c r="H855" s="9" t="s">
        <v>124</v>
      </c>
      <c r="I855" s="9">
        <v>0.63</v>
      </c>
      <c r="J855" s="47">
        <v>0.63</v>
      </c>
    </row>
    <row r="856" ht="12.75" customHeight="1">
      <c r="A856" s="42" t="s">
        <v>1167</v>
      </c>
      <c r="B856" s="21">
        <v>46152.0</v>
      </c>
      <c r="C856" s="9" t="s">
        <v>125</v>
      </c>
      <c r="D856" s="9" t="s">
        <v>126</v>
      </c>
      <c r="E856" s="9" t="s">
        <v>120</v>
      </c>
      <c r="G856" s="9" t="s">
        <v>122</v>
      </c>
      <c r="H856" s="9" t="s">
        <v>124</v>
      </c>
      <c r="I856" s="9">
        <v>0.63</v>
      </c>
      <c r="J856" s="47">
        <v>0.63</v>
      </c>
    </row>
    <row r="857" ht="12.75" customHeight="1">
      <c r="A857" s="42" t="s">
        <v>1175</v>
      </c>
      <c r="B857" s="21">
        <v>46159.0</v>
      </c>
      <c r="C857" s="9" t="s">
        <v>125</v>
      </c>
      <c r="D857" s="9" t="s">
        <v>126</v>
      </c>
      <c r="E857" s="9" t="s">
        <v>120</v>
      </c>
      <c r="G857" s="9" t="s">
        <v>122</v>
      </c>
      <c r="H857" s="9" t="s">
        <v>124</v>
      </c>
      <c r="I857" s="9">
        <v>0.63</v>
      </c>
      <c r="J857" s="47">
        <v>0.63</v>
      </c>
    </row>
    <row r="858" ht="12.75" customHeight="1">
      <c r="A858" s="42" t="s">
        <v>1183</v>
      </c>
      <c r="B858" s="21">
        <v>46166.0</v>
      </c>
      <c r="C858" s="9" t="s">
        <v>125</v>
      </c>
      <c r="D858" s="9" t="s">
        <v>126</v>
      </c>
      <c r="E858" s="9" t="s">
        <v>120</v>
      </c>
      <c r="G858" s="9" t="s">
        <v>122</v>
      </c>
      <c r="H858" s="9" t="s">
        <v>124</v>
      </c>
      <c r="I858" s="9">
        <v>0.63</v>
      </c>
      <c r="J858" s="47">
        <v>0.63</v>
      </c>
    </row>
    <row r="859" ht="12.75" customHeight="1">
      <c r="A859" s="42" t="s">
        <v>1193</v>
      </c>
      <c r="B859" s="21">
        <v>46174.0</v>
      </c>
      <c r="C859" s="9" t="s">
        <v>125</v>
      </c>
      <c r="D859" s="9" t="s">
        <v>126</v>
      </c>
      <c r="E859" s="9" t="s">
        <v>120</v>
      </c>
      <c r="G859" s="9" t="s">
        <v>122</v>
      </c>
      <c r="H859" s="9" t="s">
        <v>124</v>
      </c>
      <c r="I859" s="9">
        <v>0.66</v>
      </c>
      <c r="J859" s="47">
        <v>0.66</v>
      </c>
    </row>
    <row r="860" ht="12.75" customHeight="1">
      <c r="A860" s="42" t="s">
        <v>1199</v>
      </c>
      <c r="B860" s="21">
        <v>46180.0</v>
      </c>
      <c r="C860" s="9" t="s">
        <v>125</v>
      </c>
      <c r="D860" s="9" t="s">
        <v>126</v>
      </c>
      <c r="E860" s="9" t="s">
        <v>120</v>
      </c>
      <c r="G860" s="9" t="s">
        <v>122</v>
      </c>
      <c r="H860" s="9" t="s">
        <v>124</v>
      </c>
      <c r="I860" s="9">
        <v>0.66</v>
      </c>
      <c r="J860" s="47">
        <v>0.66</v>
      </c>
    </row>
    <row r="861" ht="12.75" customHeight="1">
      <c r="A861" s="42" t="s">
        <v>1207</v>
      </c>
      <c r="B861" s="21">
        <v>46187.0</v>
      </c>
      <c r="C861" s="9" t="s">
        <v>125</v>
      </c>
      <c r="D861" s="9" t="s">
        <v>126</v>
      </c>
      <c r="E861" s="9" t="s">
        <v>120</v>
      </c>
      <c r="G861" s="9" t="s">
        <v>122</v>
      </c>
      <c r="H861" s="9" t="s">
        <v>124</v>
      </c>
      <c r="I861" s="9">
        <v>0.66</v>
      </c>
      <c r="J861" s="47">
        <v>0.66</v>
      </c>
    </row>
    <row r="862" ht="12.75" customHeight="1">
      <c r="A862" s="42" t="s">
        <v>1215</v>
      </c>
      <c r="B862" s="21">
        <v>46194.0</v>
      </c>
      <c r="C862" s="9" t="s">
        <v>125</v>
      </c>
      <c r="D862" s="9" t="s">
        <v>126</v>
      </c>
      <c r="E862" s="9" t="s">
        <v>120</v>
      </c>
      <c r="G862" s="9" t="s">
        <v>122</v>
      </c>
      <c r="H862" s="9" t="s">
        <v>124</v>
      </c>
      <c r="I862" s="9">
        <v>0.66</v>
      </c>
      <c r="J862" s="47">
        <v>0.66</v>
      </c>
    </row>
    <row r="863" ht="12.75" customHeight="1">
      <c r="A863" s="42" t="s">
        <v>1223</v>
      </c>
      <c r="B863" s="21">
        <v>46201.0</v>
      </c>
      <c r="C863" s="9" t="s">
        <v>125</v>
      </c>
      <c r="D863" s="9" t="s">
        <v>126</v>
      </c>
      <c r="E863" s="9" t="s">
        <v>120</v>
      </c>
      <c r="G863" s="9" t="s">
        <v>122</v>
      </c>
      <c r="H863" s="9" t="s">
        <v>124</v>
      </c>
      <c r="I863" s="9">
        <v>0.66</v>
      </c>
      <c r="J863" s="47">
        <v>0.66</v>
      </c>
    </row>
    <row r="864" ht="12.75" customHeight="1">
      <c r="A864" s="42" t="s">
        <v>1231</v>
      </c>
      <c r="B864" s="21">
        <v>46208.0</v>
      </c>
      <c r="C864" s="9" t="s">
        <v>125</v>
      </c>
      <c r="D864" s="9" t="s">
        <v>126</v>
      </c>
      <c r="E864" s="9" t="s">
        <v>120</v>
      </c>
      <c r="G864" s="9" t="s">
        <v>122</v>
      </c>
      <c r="H864" s="9" t="s">
        <v>124</v>
      </c>
      <c r="I864" s="9">
        <v>0.69</v>
      </c>
      <c r="J864" s="47">
        <v>0.69</v>
      </c>
    </row>
    <row r="865" ht="12.75" customHeight="1">
      <c r="A865" s="42" t="s">
        <v>1239</v>
      </c>
      <c r="B865" s="21">
        <v>46215.0</v>
      </c>
      <c r="C865" s="9" t="s">
        <v>125</v>
      </c>
      <c r="D865" s="9" t="s">
        <v>126</v>
      </c>
      <c r="E865" s="9" t="s">
        <v>120</v>
      </c>
      <c r="G865" s="9" t="s">
        <v>122</v>
      </c>
      <c r="H865" s="9" t="s">
        <v>124</v>
      </c>
      <c r="I865" s="9">
        <v>0.69</v>
      </c>
      <c r="J865" s="47">
        <v>0.69</v>
      </c>
    </row>
    <row r="866" ht="12.75" customHeight="1">
      <c r="A866" s="42" t="s">
        <v>1247</v>
      </c>
      <c r="B866" s="21">
        <v>46222.0</v>
      </c>
      <c r="C866" s="9" t="s">
        <v>125</v>
      </c>
      <c r="D866" s="9" t="s">
        <v>126</v>
      </c>
      <c r="E866" s="9" t="s">
        <v>120</v>
      </c>
      <c r="G866" s="9" t="s">
        <v>122</v>
      </c>
      <c r="H866" s="9" t="s">
        <v>124</v>
      </c>
      <c r="I866" s="9">
        <v>0.69</v>
      </c>
      <c r="J866" s="47">
        <v>0.69</v>
      </c>
    </row>
    <row r="867" ht="12.75" customHeight="1">
      <c r="A867" s="42" t="s">
        <v>1255</v>
      </c>
      <c r="B867" s="21">
        <v>46229.0</v>
      </c>
      <c r="C867" s="9" t="s">
        <v>125</v>
      </c>
      <c r="D867" s="9" t="s">
        <v>126</v>
      </c>
      <c r="E867" s="9" t="s">
        <v>120</v>
      </c>
      <c r="G867" s="9" t="s">
        <v>122</v>
      </c>
      <c r="H867" s="9" t="s">
        <v>124</v>
      </c>
      <c r="I867" s="9">
        <v>0.69</v>
      </c>
      <c r="J867" s="47">
        <v>0.69</v>
      </c>
    </row>
    <row r="868" ht="12.75" customHeight="1">
      <c r="A868" s="42" t="s">
        <v>1263</v>
      </c>
      <c r="B868" s="21">
        <v>46236.0</v>
      </c>
      <c r="C868" s="9" t="s">
        <v>125</v>
      </c>
      <c r="D868" s="9" t="s">
        <v>126</v>
      </c>
      <c r="E868" s="9" t="s">
        <v>120</v>
      </c>
      <c r="G868" s="9" t="s">
        <v>122</v>
      </c>
      <c r="H868" s="9" t="s">
        <v>124</v>
      </c>
      <c r="I868" s="9">
        <v>0.72</v>
      </c>
      <c r="J868" s="47">
        <v>0.72</v>
      </c>
    </row>
    <row r="869" ht="12.75" customHeight="1">
      <c r="A869" s="42" t="s">
        <v>1271</v>
      </c>
      <c r="B869" s="21">
        <v>46243.0</v>
      </c>
      <c r="C869" s="9" t="s">
        <v>125</v>
      </c>
      <c r="D869" s="9" t="s">
        <v>126</v>
      </c>
      <c r="E869" s="9" t="s">
        <v>120</v>
      </c>
      <c r="G869" s="9" t="s">
        <v>122</v>
      </c>
      <c r="H869" s="9" t="s">
        <v>124</v>
      </c>
      <c r="I869" s="9">
        <v>0.72</v>
      </c>
      <c r="J869" s="47">
        <v>0.72</v>
      </c>
    </row>
    <row r="870" ht="12.75" customHeight="1">
      <c r="A870" s="42" t="s">
        <v>1279</v>
      </c>
      <c r="B870" s="21">
        <v>46250.0</v>
      </c>
      <c r="C870" s="9" t="s">
        <v>125</v>
      </c>
      <c r="D870" s="9" t="s">
        <v>126</v>
      </c>
      <c r="E870" s="9" t="s">
        <v>120</v>
      </c>
      <c r="G870" s="9" t="s">
        <v>122</v>
      </c>
      <c r="H870" s="9" t="s">
        <v>124</v>
      </c>
      <c r="I870" s="9">
        <v>0.72</v>
      </c>
      <c r="J870" s="47">
        <v>0.72</v>
      </c>
    </row>
    <row r="871" ht="12.75" customHeight="1">
      <c r="A871" s="42" t="s">
        <v>1287</v>
      </c>
      <c r="B871" s="21">
        <v>46257.0</v>
      </c>
      <c r="C871" s="9" t="s">
        <v>125</v>
      </c>
      <c r="D871" s="9" t="s">
        <v>126</v>
      </c>
      <c r="E871" s="9" t="s">
        <v>120</v>
      </c>
      <c r="G871" s="9" t="s">
        <v>122</v>
      </c>
      <c r="H871" s="9" t="s">
        <v>124</v>
      </c>
      <c r="I871" s="9">
        <v>0.72</v>
      </c>
      <c r="J871" s="47">
        <v>0.72</v>
      </c>
    </row>
    <row r="872" ht="12.75" customHeight="1">
      <c r="A872" s="42" t="s">
        <v>1295</v>
      </c>
      <c r="B872" s="21">
        <v>46264.0</v>
      </c>
      <c r="C872" s="9" t="s">
        <v>125</v>
      </c>
      <c r="D872" s="9" t="s">
        <v>126</v>
      </c>
      <c r="E872" s="9" t="s">
        <v>120</v>
      </c>
      <c r="G872" s="9" t="s">
        <v>122</v>
      </c>
      <c r="H872" s="9" t="s">
        <v>124</v>
      </c>
      <c r="I872" s="9">
        <v>0.72</v>
      </c>
      <c r="J872" s="47">
        <v>0.72</v>
      </c>
    </row>
    <row r="873" ht="12.75" customHeight="1">
      <c r="A873" s="42" t="s">
        <v>1303</v>
      </c>
      <c r="B873" s="21">
        <v>46271.0</v>
      </c>
      <c r="C873" s="9" t="s">
        <v>125</v>
      </c>
      <c r="D873" s="9" t="s">
        <v>126</v>
      </c>
      <c r="E873" s="9" t="s">
        <v>120</v>
      </c>
      <c r="G873" s="9" t="s">
        <v>122</v>
      </c>
      <c r="H873" s="9" t="s">
        <v>124</v>
      </c>
      <c r="I873" s="9">
        <v>0.72</v>
      </c>
      <c r="J873" s="47">
        <v>0.72</v>
      </c>
    </row>
    <row r="874" ht="12.75" customHeight="1">
      <c r="A874" s="42" t="s">
        <v>1311</v>
      </c>
      <c r="B874" s="21">
        <v>46278.0</v>
      </c>
      <c r="C874" s="9" t="s">
        <v>125</v>
      </c>
      <c r="D874" s="9" t="s">
        <v>126</v>
      </c>
      <c r="E874" s="9" t="s">
        <v>120</v>
      </c>
      <c r="G874" s="9" t="s">
        <v>122</v>
      </c>
      <c r="H874" s="9" t="s">
        <v>124</v>
      </c>
      <c r="I874" s="9">
        <v>0.72</v>
      </c>
      <c r="J874" s="47">
        <v>0.72</v>
      </c>
    </row>
    <row r="875" ht="12.75" customHeight="1">
      <c r="A875" s="42" t="s">
        <v>1319</v>
      </c>
      <c r="B875" s="21">
        <v>46285.0</v>
      </c>
      <c r="C875" s="9" t="s">
        <v>125</v>
      </c>
      <c r="D875" s="9" t="s">
        <v>126</v>
      </c>
      <c r="E875" s="9" t="s">
        <v>120</v>
      </c>
      <c r="G875" s="9" t="s">
        <v>122</v>
      </c>
      <c r="H875" s="9" t="s">
        <v>124</v>
      </c>
      <c r="I875" s="9">
        <v>0.72</v>
      </c>
      <c r="J875" s="47">
        <v>0.72</v>
      </c>
    </row>
    <row r="876" ht="12.75" customHeight="1">
      <c r="A876" s="42" t="s">
        <v>1327</v>
      </c>
      <c r="B876" s="21">
        <v>46292.0</v>
      </c>
      <c r="C876" s="9" t="s">
        <v>125</v>
      </c>
      <c r="D876" s="9" t="s">
        <v>126</v>
      </c>
      <c r="E876" s="9" t="s">
        <v>120</v>
      </c>
      <c r="G876" s="9" t="s">
        <v>122</v>
      </c>
      <c r="H876" s="9" t="s">
        <v>124</v>
      </c>
      <c r="I876" s="9">
        <v>0.72</v>
      </c>
      <c r="J876" s="47">
        <v>0.72</v>
      </c>
    </row>
    <row r="877" ht="12.75" customHeight="1">
      <c r="A877" s="42" t="s">
        <v>1335</v>
      </c>
      <c r="B877" s="21">
        <v>46299.0</v>
      </c>
      <c r="C877" s="9" t="s">
        <v>125</v>
      </c>
      <c r="D877" s="9" t="s">
        <v>126</v>
      </c>
      <c r="E877" s="9" t="s">
        <v>120</v>
      </c>
      <c r="G877" s="9" t="s">
        <v>122</v>
      </c>
      <c r="H877" s="9" t="s">
        <v>124</v>
      </c>
      <c r="I877" s="9">
        <v>0.73</v>
      </c>
      <c r="J877" s="47">
        <v>0.73</v>
      </c>
    </row>
    <row r="878" ht="12.75" customHeight="1">
      <c r="A878" s="42" t="s">
        <v>1343</v>
      </c>
      <c r="B878" s="21">
        <v>46306.0</v>
      </c>
      <c r="C878" s="9" t="s">
        <v>125</v>
      </c>
      <c r="D878" s="9" t="s">
        <v>126</v>
      </c>
      <c r="E878" s="9" t="s">
        <v>120</v>
      </c>
      <c r="G878" s="9" t="s">
        <v>122</v>
      </c>
      <c r="H878" s="9" t="s">
        <v>124</v>
      </c>
      <c r="I878" s="9">
        <v>0.73</v>
      </c>
      <c r="J878" s="47">
        <v>0.73</v>
      </c>
    </row>
    <row r="879" ht="12.75" customHeight="1">
      <c r="A879" s="42" t="s">
        <v>1351</v>
      </c>
      <c r="B879" s="21">
        <v>46313.0</v>
      </c>
      <c r="C879" s="9" t="s">
        <v>125</v>
      </c>
      <c r="D879" s="9" t="s">
        <v>126</v>
      </c>
      <c r="E879" s="9" t="s">
        <v>120</v>
      </c>
      <c r="G879" s="9" t="s">
        <v>122</v>
      </c>
      <c r="H879" s="9" t="s">
        <v>124</v>
      </c>
      <c r="I879" s="9">
        <v>0.73</v>
      </c>
      <c r="J879" s="47">
        <v>0.73</v>
      </c>
    </row>
    <row r="880" ht="12.75" customHeight="1">
      <c r="A880" s="42" t="s">
        <v>1359</v>
      </c>
      <c r="B880" s="21">
        <v>46320.0</v>
      </c>
      <c r="C880" s="9" t="s">
        <v>125</v>
      </c>
      <c r="D880" s="9" t="s">
        <v>126</v>
      </c>
      <c r="E880" s="9" t="s">
        <v>120</v>
      </c>
      <c r="G880" s="9" t="s">
        <v>122</v>
      </c>
      <c r="H880" s="9" t="s">
        <v>124</v>
      </c>
      <c r="I880" s="9">
        <v>0.73</v>
      </c>
      <c r="J880" s="47">
        <v>0.73</v>
      </c>
    </row>
    <row r="881" ht="12.75" customHeight="1">
      <c r="A881" s="42" t="s">
        <v>1367</v>
      </c>
      <c r="B881" s="21">
        <v>46327.0</v>
      </c>
      <c r="C881" s="9" t="s">
        <v>125</v>
      </c>
      <c r="D881" s="9" t="s">
        <v>126</v>
      </c>
      <c r="E881" s="9" t="s">
        <v>120</v>
      </c>
      <c r="G881" s="9" t="s">
        <v>122</v>
      </c>
      <c r="H881" s="9" t="s">
        <v>124</v>
      </c>
      <c r="I881" s="9">
        <v>0.85</v>
      </c>
      <c r="J881" s="47">
        <v>0.85</v>
      </c>
    </row>
    <row r="882" ht="12.75" customHeight="1">
      <c r="A882" s="42" t="s">
        <v>1375</v>
      </c>
      <c r="B882" s="21">
        <v>46334.0</v>
      </c>
      <c r="C882" s="9" t="s">
        <v>125</v>
      </c>
      <c r="D882" s="9" t="s">
        <v>126</v>
      </c>
      <c r="E882" s="9" t="s">
        <v>120</v>
      </c>
      <c r="G882" s="9" t="s">
        <v>122</v>
      </c>
      <c r="H882" s="9" t="s">
        <v>124</v>
      </c>
      <c r="I882" s="9">
        <v>0.85</v>
      </c>
      <c r="J882" s="47">
        <v>0.85</v>
      </c>
    </row>
    <row r="883" ht="12.75" customHeight="1">
      <c r="A883" s="42" t="s">
        <v>1383</v>
      </c>
      <c r="B883" s="21">
        <v>46341.0</v>
      </c>
      <c r="C883" s="9" t="s">
        <v>125</v>
      </c>
      <c r="D883" s="9" t="s">
        <v>126</v>
      </c>
      <c r="E883" s="9" t="s">
        <v>120</v>
      </c>
      <c r="G883" s="9" t="s">
        <v>122</v>
      </c>
      <c r="H883" s="9" t="s">
        <v>124</v>
      </c>
      <c r="I883" s="9">
        <v>0.85</v>
      </c>
      <c r="J883" s="47">
        <v>0.85</v>
      </c>
    </row>
    <row r="884" ht="12.75" customHeight="1">
      <c r="A884" s="42" t="s">
        <v>1391</v>
      </c>
      <c r="B884" s="21">
        <v>46348.0</v>
      </c>
      <c r="C884" s="9" t="s">
        <v>125</v>
      </c>
      <c r="D884" s="9" t="s">
        <v>126</v>
      </c>
      <c r="E884" s="9" t="s">
        <v>120</v>
      </c>
      <c r="G884" s="9" t="s">
        <v>122</v>
      </c>
      <c r="H884" s="9" t="s">
        <v>124</v>
      </c>
      <c r="I884" s="9">
        <v>0.85</v>
      </c>
      <c r="J884" s="47">
        <v>0.85</v>
      </c>
    </row>
    <row r="885" ht="12.75" customHeight="1">
      <c r="A885" s="42" t="s">
        <v>1399</v>
      </c>
      <c r="B885" s="21">
        <v>46355.0</v>
      </c>
      <c r="C885" s="9" t="s">
        <v>125</v>
      </c>
      <c r="D885" s="9" t="s">
        <v>126</v>
      </c>
      <c r="E885" s="9" t="s">
        <v>120</v>
      </c>
      <c r="G885" s="9" t="s">
        <v>122</v>
      </c>
      <c r="H885" s="9" t="s">
        <v>124</v>
      </c>
      <c r="I885" s="9">
        <v>0.85</v>
      </c>
      <c r="J885" s="47">
        <v>0.85</v>
      </c>
    </row>
    <row r="886" ht="12.75" customHeight="1">
      <c r="A886" s="42" t="s">
        <v>1407</v>
      </c>
      <c r="B886" s="21">
        <v>46362.0</v>
      </c>
      <c r="C886" s="9" t="s">
        <v>125</v>
      </c>
      <c r="D886" s="9" t="s">
        <v>126</v>
      </c>
      <c r="E886" s="9" t="s">
        <v>120</v>
      </c>
      <c r="G886" s="9" t="s">
        <v>122</v>
      </c>
      <c r="H886" s="9" t="s">
        <v>124</v>
      </c>
      <c r="I886" s="9">
        <v>0.7</v>
      </c>
      <c r="J886" s="47">
        <v>0.7</v>
      </c>
    </row>
    <row r="887" ht="12.75" customHeight="1">
      <c r="A887" s="42" t="s">
        <v>1415</v>
      </c>
      <c r="B887" s="21">
        <v>46369.0</v>
      </c>
      <c r="C887" s="9" t="s">
        <v>125</v>
      </c>
      <c r="D887" s="9" t="s">
        <v>126</v>
      </c>
      <c r="E887" s="9" t="s">
        <v>120</v>
      </c>
      <c r="G887" s="9" t="s">
        <v>122</v>
      </c>
      <c r="H887" s="9" t="s">
        <v>124</v>
      </c>
      <c r="I887" s="9">
        <v>0.7</v>
      </c>
      <c r="J887" s="47">
        <v>0.7</v>
      </c>
    </row>
    <row r="888" ht="12.75" customHeight="1">
      <c r="A888" s="42" t="s">
        <v>1423</v>
      </c>
      <c r="B888" s="21">
        <v>46376.0</v>
      </c>
      <c r="C888" s="9" t="s">
        <v>125</v>
      </c>
      <c r="D888" s="9" t="s">
        <v>126</v>
      </c>
      <c r="E888" s="9" t="s">
        <v>120</v>
      </c>
      <c r="G888" s="9" t="s">
        <v>122</v>
      </c>
      <c r="H888" s="9" t="s">
        <v>124</v>
      </c>
      <c r="I888" s="9">
        <v>0.7</v>
      </c>
      <c r="J888" s="47">
        <v>0.7</v>
      </c>
    </row>
    <row r="889" ht="12.75" customHeight="1">
      <c r="A889" s="42" t="s">
        <v>1431</v>
      </c>
      <c r="B889" s="21">
        <v>46383.0</v>
      </c>
      <c r="C889" s="9" t="s">
        <v>125</v>
      </c>
      <c r="D889" s="9" t="s">
        <v>126</v>
      </c>
      <c r="E889" s="9" t="s">
        <v>120</v>
      </c>
      <c r="G889" s="9" t="s">
        <v>122</v>
      </c>
      <c r="H889" s="9" t="s">
        <v>124</v>
      </c>
      <c r="I889" s="9">
        <v>0.7</v>
      </c>
      <c r="J889" s="47">
        <v>0.7</v>
      </c>
    </row>
    <row r="890" ht="12.75" customHeight="1">
      <c r="A890" s="42" t="s">
        <v>1103</v>
      </c>
      <c r="B890" s="21">
        <v>46096.0</v>
      </c>
      <c r="C890" s="9" t="s">
        <v>125</v>
      </c>
      <c r="D890" s="9" t="s">
        <v>128</v>
      </c>
      <c r="E890" s="9" t="s">
        <v>120</v>
      </c>
      <c r="G890" s="9" t="s">
        <v>122</v>
      </c>
      <c r="H890" s="9" t="s">
        <v>124</v>
      </c>
      <c r="I890" s="9" t="s">
        <v>1621</v>
      </c>
      <c r="J890" s="47"/>
    </row>
    <row r="891" ht="12.75" customHeight="1">
      <c r="A891" s="42" t="s">
        <v>1111</v>
      </c>
      <c r="B891" s="21">
        <v>46103.0</v>
      </c>
      <c r="C891" s="9" t="s">
        <v>125</v>
      </c>
      <c r="D891" s="9" t="s">
        <v>128</v>
      </c>
      <c r="E891" s="9" t="s">
        <v>120</v>
      </c>
      <c r="G891" s="9" t="s">
        <v>122</v>
      </c>
      <c r="H891" s="9" t="s">
        <v>124</v>
      </c>
      <c r="I891" s="9">
        <v>0.7</v>
      </c>
      <c r="J891" s="47">
        <v>0.7</v>
      </c>
    </row>
    <row r="892" ht="12.75" customHeight="1">
      <c r="A892" s="42" t="s">
        <v>1119</v>
      </c>
      <c r="B892" s="21">
        <v>46110.0</v>
      </c>
      <c r="C892" s="9" t="s">
        <v>125</v>
      </c>
      <c r="D892" s="9" t="s">
        <v>128</v>
      </c>
      <c r="E892" s="9" t="s">
        <v>120</v>
      </c>
      <c r="G892" s="9" t="s">
        <v>122</v>
      </c>
      <c r="H892" s="9" t="s">
        <v>124</v>
      </c>
      <c r="I892" s="9">
        <v>0.8</v>
      </c>
      <c r="J892" s="47">
        <v>0.8</v>
      </c>
    </row>
    <row r="893" ht="12.75" customHeight="1">
      <c r="A893" s="42" t="s">
        <v>1127</v>
      </c>
      <c r="B893" s="21">
        <v>46117.0</v>
      </c>
      <c r="C893" s="9" t="s">
        <v>125</v>
      </c>
      <c r="D893" s="9" t="s">
        <v>128</v>
      </c>
      <c r="E893" s="9" t="s">
        <v>120</v>
      </c>
      <c r="G893" s="9" t="s">
        <v>122</v>
      </c>
      <c r="H893" s="9" t="s">
        <v>124</v>
      </c>
      <c r="I893" s="9">
        <v>0.8</v>
      </c>
      <c r="J893" s="47">
        <v>0.8</v>
      </c>
    </row>
    <row r="894" ht="12.75" customHeight="1">
      <c r="A894" s="42" t="s">
        <v>1135</v>
      </c>
      <c r="B894" s="21">
        <v>46124.0</v>
      </c>
      <c r="C894" s="9" t="s">
        <v>125</v>
      </c>
      <c r="D894" s="9" t="s">
        <v>128</v>
      </c>
      <c r="E894" s="9" t="s">
        <v>120</v>
      </c>
      <c r="G894" s="9" t="s">
        <v>122</v>
      </c>
      <c r="H894" s="9" t="s">
        <v>124</v>
      </c>
      <c r="I894" s="9">
        <v>0.8</v>
      </c>
      <c r="J894" s="47">
        <v>0.8</v>
      </c>
    </row>
    <row r="895" ht="12.75" customHeight="1">
      <c r="A895" s="42" t="s">
        <v>1143</v>
      </c>
      <c r="B895" s="21">
        <v>46131.0</v>
      </c>
      <c r="C895" s="9" t="s">
        <v>125</v>
      </c>
      <c r="D895" s="9" t="s">
        <v>128</v>
      </c>
      <c r="E895" s="9" t="s">
        <v>120</v>
      </c>
      <c r="G895" s="9" t="s">
        <v>122</v>
      </c>
      <c r="H895" s="9" t="s">
        <v>124</v>
      </c>
      <c r="I895" s="9">
        <v>0.8</v>
      </c>
      <c r="J895" s="47">
        <v>0.8</v>
      </c>
    </row>
    <row r="896" ht="12.75" customHeight="1">
      <c r="A896" s="42" t="s">
        <v>1151</v>
      </c>
      <c r="B896" s="21">
        <v>46138.0</v>
      </c>
      <c r="C896" s="9" t="s">
        <v>125</v>
      </c>
      <c r="D896" s="9" t="s">
        <v>128</v>
      </c>
      <c r="E896" s="9" t="s">
        <v>120</v>
      </c>
      <c r="G896" s="9" t="s">
        <v>122</v>
      </c>
      <c r="H896" s="9" t="s">
        <v>124</v>
      </c>
      <c r="I896" s="9">
        <v>0.8</v>
      </c>
      <c r="J896" s="47">
        <v>0.8</v>
      </c>
    </row>
    <row r="897" ht="12.75" customHeight="1">
      <c r="A897" s="42" t="s">
        <v>1159</v>
      </c>
      <c r="B897" s="21">
        <v>46145.0</v>
      </c>
      <c r="C897" s="9" t="s">
        <v>125</v>
      </c>
      <c r="D897" s="9" t="s">
        <v>128</v>
      </c>
      <c r="E897" s="9" t="s">
        <v>120</v>
      </c>
      <c r="G897" s="9" t="s">
        <v>122</v>
      </c>
      <c r="H897" s="9" t="s">
        <v>124</v>
      </c>
      <c r="I897" s="9">
        <v>0.8</v>
      </c>
      <c r="J897" s="47">
        <v>0.8</v>
      </c>
    </row>
    <row r="898" ht="12.75" customHeight="1">
      <c r="A898" s="42" t="s">
        <v>1167</v>
      </c>
      <c r="B898" s="21">
        <v>46152.0</v>
      </c>
      <c r="C898" s="9" t="s">
        <v>125</v>
      </c>
      <c r="D898" s="9" t="s">
        <v>128</v>
      </c>
      <c r="E898" s="9" t="s">
        <v>120</v>
      </c>
      <c r="G898" s="9" t="s">
        <v>122</v>
      </c>
      <c r="H898" s="9" t="s">
        <v>124</v>
      </c>
      <c r="I898" s="9">
        <v>0.8</v>
      </c>
      <c r="J898" s="47">
        <v>0.8</v>
      </c>
    </row>
    <row r="899" ht="12.75" customHeight="1">
      <c r="A899" s="42" t="s">
        <v>1175</v>
      </c>
      <c r="B899" s="21">
        <v>46159.0</v>
      </c>
      <c r="C899" s="9" t="s">
        <v>125</v>
      </c>
      <c r="D899" s="9" t="s">
        <v>128</v>
      </c>
      <c r="E899" s="9" t="s">
        <v>120</v>
      </c>
      <c r="G899" s="9" t="s">
        <v>122</v>
      </c>
      <c r="H899" s="9" t="s">
        <v>124</v>
      </c>
      <c r="I899" s="9">
        <v>0.8</v>
      </c>
      <c r="J899" s="47">
        <v>0.8</v>
      </c>
    </row>
    <row r="900" ht="12.75" customHeight="1">
      <c r="A900" s="42" t="s">
        <v>1087</v>
      </c>
      <c r="B900" s="21">
        <v>46082.0</v>
      </c>
      <c r="C900" s="9" t="s">
        <v>125</v>
      </c>
      <c r="D900" s="9" t="s">
        <v>129</v>
      </c>
      <c r="E900" s="9" t="s">
        <v>130</v>
      </c>
      <c r="G900" s="9" t="s">
        <v>122</v>
      </c>
      <c r="H900" s="9" t="s">
        <v>124</v>
      </c>
      <c r="I900" s="9">
        <v>0.61</v>
      </c>
      <c r="J900" s="47">
        <v>0.61</v>
      </c>
    </row>
    <row r="901" ht="12.75" customHeight="1">
      <c r="A901" s="42" t="s">
        <v>1095</v>
      </c>
      <c r="B901" s="21">
        <v>46089.0</v>
      </c>
      <c r="C901" s="9" t="s">
        <v>125</v>
      </c>
      <c r="D901" s="9" t="s">
        <v>129</v>
      </c>
      <c r="E901" s="9" t="s">
        <v>130</v>
      </c>
      <c r="G901" s="9" t="s">
        <v>122</v>
      </c>
      <c r="H901" s="9" t="s">
        <v>124</v>
      </c>
      <c r="I901" s="9">
        <v>0.6</v>
      </c>
      <c r="J901" s="47">
        <v>0.6</v>
      </c>
    </row>
    <row r="902" ht="12.75" customHeight="1">
      <c r="A902" s="42" t="s">
        <v>1103</v>
      </c>
      <c r="B902" s="21">
        <v>46096.0</v>
      </c>
      <c r="C902" s="9" t="s">
        <v>125</v>
      </c>
      <c r="D902" s="9" t="s">
        <v>129</v>
      </c>
      <c r="E902" s="9" t="s">
        <v>130</v>
      </c>
      <c r="G902" s="9" t="s">
        <v>122</v>
      </c>
      <c r="H902" s="9" t="s">
        <v>124</v>
      </c>
      <c r="I902" s="9">
        <v>0.62</v>
      </c>
      <c r="J902" s="47">
        <v>0.62</v>
      </c>
    </row>
    <row r="903" ht="12.75" customHeight="1">
      <c r="A903" s="42" t="s">
        <v>1111</v>
      </c>
      <c r="B903" s="21">
        <v>46103.0</v>
      </c>
      <c r="C903" s="9" t="s">
        <v>125</v>
      </c>
      <c r="D903" s="9" t="s">
        <v>129</v>
      </c>
      <c r="E903" s="9" t="s">
        <v>130</v>
      </c>
      <c r="G903" s="9" t="s">
        <v>122</v>
      </c>
      <c r="H903" s="9" t="s">
        <v>124</v>
      </c>
      <c r="I903" s="9">
        <v>0.65</v>
      </c>
      <c r="J903" s="47">
        <v>0.65</v>
      </c>
    </row>
    <row r="904" ht="12.75" customHeight="1">
      <c r="A904" s="42" t="s">
        <v>1119</v>
      </c>
      <c r="B904" s="21">
        <v>46110.0</v>
      </c>
      <c r="C904" s="9" t="s">
        <v>125</v>
      </c>
      <c r="D904" s="9" t="s">
        <v>129</v>
      </c>
      <c r="E904" s="9" t="s">
        <v>130</v>
      </c>
      <c r="G904" s="9" t="s">
        <v>122</v>
      </c>
      <c r="H904" s="9" t="s">
        <v>124</v>
      </c>
      <c r="I904" s="9">
        <v>0.7</v>
      </c>
      <c r="J904" s="47">
        <v>0.7</v>
      </c>
    </row>
    <row r="905" ht="12.75" customHeight="1">
      <c r="A905" s="42" t="s">
        <v>1127</v>
      </c>
      <c r="B905" s="21">
        <v>46117.0</v>
      </c>
      <c r="C905" s="9" t="s">
        <v>125</v>
      </c>
      <c r="D905" s="9" t="s">
        <v>129</v>
      </c>
      <c r="E905" s="9" t="s">
        <v>130</v>
      </c>
      <c r="G905" s="9" t="s">
        <v>122</v>
      </c>
      <c r="H905" s="9" t="s">
        <v>124</v>
      </c>
      <c r="I905" s="9">
        <v>0.77</v>
      </c>
      <c r="J905" s="47">
        <v>0.77</v>
      </c>
    </row>
    <row r="906" ht="12.75" customHeight="1">
      <c r="A906" s="42" t="s">
        <v>1135</v>
      </c>
      <c r="B906" s="21">
        <v>46124.0</v>
      </c>
      <c r="C906" s="9" t="s">
        <v>125</v>
      </c>
      <c r="D906" s="9" t="s">
        <v>129</v>
      </c>
      <c r="E906" s="9" t="s">
        <v>130</v>
      </c>
      <c r="G906" s="9" t="s">
        <v>122</v>
      </c>
      <c r="H906" s="9" t="s">
        <v>124</v>
      </c>
      <c r="I906" s="9">
        <v>0.85</v>
      </c>
      <c r="J906" s="47">
        <v>0.85</v>
      </c>
    </row>
    <row r="907" ht="12.75" customHeight="1">
      <c r="A907" s="42" t="s">
        <v>1143</v>
      </c>
      <c r="B907" s="21">
        <v>46131.0</v>
      </c>
      <c r="C907" s="9" t="s">
        <v>125</v>
      </c>
      <c r="D907" s="9" t="s">
        <v>129</v>
      </c>
      <c r="E907" s="9" t="s">
        <v>130</v>
      </c>
      <c r="G907" s="9" t="s">
        <v>122</v>
      </c>
      <c r="H907" s="9" t="s">
        <v>124</v>
      </c>
      <c r="I907" s="9">
        <v>0.85</v>
      </c>
      <c r="J907" s="47">
        <v>0.85</v>
      </c>
    </row>
    <row r="908" ht="12.75" customHeight="1">
      <c r="A908" s="42" t="s">
        <v>1151</v>
      </c>
      <c r="B908" s="21">
        <v>46138.0</v>
      </c>
      <c r="C908" s="9" t="s">
        <v>125</v>
      </c>
      <c r="D908" s="9" t="s">
        <v>129</v>
      </c>
      <c r="E908" s="9" t="s">
        <v>130</v>
      </c>
      <c r="G908" s="9" t="s">
        <v>122</v>
      </c>
      <c r="H908" s="9" t="s">
        <v>124</v>
      </c>
      <c r="I908" s="9">
        <v>0.85</v>
      </c>
      <c r="J908" s="47">
        <v>0.85</v>
      </c>
    </row>
    <row r="909" ht="12.75" customHeight="1">
      <c r="A909" s="42" t="s">
        <v>1159</v>
      </c>
      <c r="B909" s="21">
        <v>46145.0</v>
      </c>
      <c r="C909" s="9" t="s">
        <v>125</v>
      </c>
      <c r="D909" s="9" t="s">
        <v>129</v>
      </c>
      <c r="E909" s="9" t="s">
        <v>130</v>
      </c>
      <c r="G909" s="9" t="s">
        <v>122</v>
      </c>
      <c r="H909" s="9" t="s">
        <v>124</v>
      </c>
      <c r="I909" s="9">
        <v>0.86</v>
      </c>
      <c r="J909" s="47">
        <v>0.86</v>
      </c>
    </row>
    <row r="910" ht="12.75" customHeight="1">
      <c r="A910" s="42" t="s">
        <v>1167</v>
      </c>
      <c r="B910" s="21">
        <v>46152.0</v>
      </c>
      <c r="C910" s="9" t="s">
        <v>125</v>
      </c>
      <c r="D910" s="9" t="s">
        <v>129</v>
      </c>
      <c r="E910" s="9" t="s">
        <v>130</v>
      </c>
      <c r="G910" s="9" t="s">
        <v>122</v>
      </c>
      <c r="H910" s="9" t="s">
        <v>124</v>
      </c>
      <c r="I910" s="9">
        <v>0.86</v>
      </c>
      <c r="J910" s="47">
        <v>0.86</v>
      </c>
    </row>
    <row r="911" ht="12.75" customHeight="1">
      <c r="A911" s="42" t="s">
        <v>1175</v>
      </c>
      <c r="B911" s="21">
        <v>46159.0</v>
      </c>
      <c r="C911" s="9" t="s">
        <v>125</v>
      </c>
      <c r="D911" s="9" t="s">
        <v>129</v>
      </c>
      <c r="E911" s="9" t="s">
        <v>130</v>
      </c>
      <c r="G911" s="9" t="s">
        <v>122</v>
      </c>
      <c r="H911" s="9" t="s">
        <v>124</v>
      </c>
      <c r="I911" s="9">
        <v>0.86</v>
      </c>
      <c r="J911" s="47">
        <v>0.86</v>
      </c>
    </row>
    <row r="912" ht="12.75" customHeight="1">
      <c r="A912" s="20"/>
      <c r="B912" s="21"/>
      <c r="J912" s="47"/>
    </row>
    <row r="913" ht="12.75" customHeight="1">
      <c r="A913" s="20"/>
      <c r="B913" s="21"/>
      <c r="J913" s="47"/>
    </row>
    <row r="914" ht="12.75" customHeight="1">
      <c r="A914" s="20"/>
      <c r="B914" s="21"/>
      <c r="J914" s="47"/>
    </row>
    <row r="915" ht="12.75" customHeight="1">
      <c r="A915" s="20"/>
      <c r="B915" s="21"/>
      <c r="J915" s="47"/>
    </row>
    <row r="916" ht="12.75" customHeight="1">
      <c r="A916" s="20"/>
      <c r="B916" s="21"/>
      <c r="J916" s="47"/>
    </row>
    <row r="917" ht="12.75" customHeight="1">
      <c r="A917" s="20"/>
      <c r="B917" s="21"/>
      <c r="J917" s="47"/>
    </row>
    <row r="918" ht="12.75" customHeight="1">
      <c r="A918" s="20"/>
      <c r="B918" s="21"/>
      <c r="J918" s="47"/>
    </row>
    <row r="919" ht="12.75" customHeight="1">
      <c r="A919" s="20"/>
      <c r="B919" s="21"/>
      <c r="J919" s="47"/>
    </row>
    <row r="920" ht="12.75" customHeight="1">
      <c r="A920" s="20"/>
      <c r="B920" s="21"/>
      <c r="J920" s="47"/>
    </row>
    <row r="921" ht="12.75" customHeight="1">
      <c r="A921" s="20"/>
      <c r="B921" s="21"/>
      <c r="J921" s="47"/>
    </row>
    <row r="922" ht="12.75" customHeight="1">
      <c r="A922" s="20"/>
      <c r="B922" s="21"/>
      <c r="J922" s="47"/>
    </row>
    <row r="923" ht="12.75" customHeight="1">
      <c r="A923" s="20"/>
      <c r="B923" s="21"/>
      <c r="J923" s="47"/>
    </row>
    <row r="924" ht="12.75" customHeight="1">
      <c r="A924" s="20"/>
      <c r="B924" s="21"/>
      <c r="J924" s="47"/>
    </row>
    <row r="925" ht="12.75" customHeight="1">
      <c r="A925" s="20"/>
      <c r="B925" s="21"/>
      <c r="J925" s="47"/>
    </row>
    <row r="926" ht="12.75" customHeight="1">
      <c r="A926" s="20"/>
      <c r="B926" s="21"/>
      <c r="J926" s="47"/>
    </row>
    <row r="927" ht="12.75" customHeight="1">
      <c r="A927" s="20"/>
      <c r="B927" s="21"/>
      <c r="J927" s="47"/>
    </row>
    <row r="928" ht="12.75" customHeight="1">
      <c r="A928" s="20"/>
      <c r="B928" s="21"/>
      <c r="J928" s="47"/>
    </row>
    <row r="929" ht="12.75" customHeight="1">
      <c r="A929" s="20"/>
      <c r="B929" s="21"/>
      <c r="J929" s="47"/>
    </row>
    <row r="930" ht="12.75" customHeight="1">
      <c r="A930" s="20"/>
      <c r="B930" s="21"/>
      <c r="J930" s="47"/>
    </row>
    <row r="931" ht="12.75" customHeight="1">
      <c r="A931" s="20"/>
      <c r="B931" s="21"/>
      <c r="J931" s="47"/>
    </row>
    <row r="932" ht="12.75" customHeight="1">
      <c r="A932" s="20"/>
      <c r="B932" s="21"/>
      <c r="J932" s="47"/>
    </row>
    <row r="933" ht="12.75" customHeight="1">
      <c r="A933" s="20"/>
      <c r="B933" s="21"/>
      <c r="J933" s="47"/>
    </row>
    <row r="934" ht="12.75" customHeight="1">
      <c r="A934" s="20"/>
      <c r="B934" s="21"/>
      <c r="J934" s="47"/>
    </row>
    <row r="935" ht="12.75" customHeight="1">
      <c r="A935" s="20"/>
      <c r="B935" s="21"/>
      <c r="J935" s="47"/>
    </row>
    <row r="936" ht="12.75" customHeight="1">
      <c r="A936" s="20"/>
      <c r="B936" s="21"/>
      <c r="J936" s="47"/>
    </row>
    <row r="937" ht="12.75" customHeight="1">
      <c r="A937" s="20"/>
      <c r="B937" s="21"/>
      <c r="J937" s="47"/>
    </row>
    <row r="938" ht="12.75" customHeight="1">
      <c r="A938" s="20"/>
      <c r="B938" s="21"/>
      <c r="J938" s="47"/>
    </row>
    <row r="939" ht="12.75" customHeight="1">
      <c r="A939" s="20"/>
      <c r="B939" s="21"/>
      <c r="J939" s="47"/>
    </row>
    <row r="940" ht="12.75" customHeight="1">
      <c r="A940" s="20"/>
      <c r="B940" s="21"/>
      <c r="J940" s="47"/>
    </row>
    <row r="941" ht="12.75" customHeight="1">
      <c r="A941" s="20"/>
      <c r="B941" s="21"/>
      <c r="J941" s="47"/>
    </row>
    <row r="942" ht="12.75" customHeight="1">
      <c r="A942" s="20"/>
      <c r="B942" s="21"/>
      <c r="J942" s="47"/>
    </row>
    <row r="943" ht="12.75" customHeight="1">
      <c r="A943" s="20"/>
      <c r="B943" s="21"/>
      <c r="J943" s="47"/>
    </row>
    <row r="944" ht="12.75" customHeight="1">
      <c r="A944" s="20"/>
      <c r="B944" s="21"/>
      <c r="J944" s="47"/>
    </row>
    <row r="945" ht="12.75" customHeight="1">
      <c r="A945" s="20"/>
      <c r="B945" s="21"/>
      <c r="J945" s="47"/>
    </row>
    <row r="946" ht="12.75" customHeight="1">
      <c r="A946" s="20"/>
      <c r="B946" s="21"/>
      <c r="J946" s="47"/>
    </row>
    <row r="947" ht="12.75" customHeight="1">
      <c r="A947" s="20"/>
      <c r="B947" s="21"/>
      <c r="J947" s="47"/>
    </row>
    <row r="948" ht="12.75" customHeight="1">
      <c r="A948" s="20"/>
      <c r="B948" s="21"/>
      <c r="J948" s="47"/>
    </row>
    <row r="949" ht="12.75" customHeight="1">
      <c r="A949" s="20"/>
      <c r="B949" s="21"/>
      <c r="J949" s="47"/>
    </row>
    <row r="950" ht="12.75" customHeight="1">
      <c r="A950" s="20"/>
      <c r="B950" s="21"/>
      <c r="J950" s="47"/>
    </row>
    <row r="951" ht="12.75" customHeight="1">
      <c r="A951" s="20"/>
      <c r="B951" s="21"/>
      <c r="J951" s="47"/>
    </row>
    <row r="952" ht="12.75" customHeight="1">
      <c r="A952" s="20"/>
      <c r="B952" s="21"/>
      <c r="J952" s="47"/>
    </row>
    <row r="953" ht="12.75" customHeight="1">
      <c r="A953" s="20"/>
      <c r="B953" s="21"/>
      <c r="J953" s="47"/>
    </row>
    <row r="954" ht="12.75" customHeight="1">
      <c r="A954" s="20"/>
      <c r="B954" s="21"/>
      <c r="J954" s="47"/>
    </row>
    <row r="955" ht="12.75" customHeight="1">
      <c r="A955" s="20"/>
      <c r="B955" s="21"/>
      <c r="J955" s="47"/>
    </row>
    <row r="956" ht="12.75" customHeight="1">
      <c r="A956" s="20"/>
      <c r="B956" s="21"/>
      <c r="J956" s="47"/>
    </row>
    <row r="957" ht="12.75" customHeight="1">
      <c r="A957" s="20"/>
      <c r="B957" s="21"/>
      <c r="J957" s="47"/>
    </row>
    <row r="958" ht="12.75" customHeight="1">
      <c r="A958" s="20"/>
      <c r="B958" s="21"/>
      <c r="J958" s="47"/>
    </row>
    <row r="959" ht="12.75" customHeight="1">
      <c r="A959" s="20"/>
      <c r="B959" s="21"/>
      <c r="J959" s="47"/>
    </row>
    <row r="960" ht="12.75" customHeight="1">
      <c r="A960" s="20"/>
      <c r="B960" s="21"/>
      <c r="J960" s="47"/>
    </row>
    <row r="961" ht="12.75" customHeight="1">
      <c r="A961" s="20"/>
      <c r="B961" s="21"/>
      <c r="J961" s="47"/>
    </row>
    <row r="962" ht="12.75" customHeight="1">
      <c r="A962" s="20"/>
      <c r="B962" s="21"/>
      <c r="J962" s="47"/>
    </row>
    <row r="963" ht="12.75" customHeight="1">
      <c r="A963" s="20"/>
      <c r="B963" s="21"/>
      <c r="J963" s="47"/>
    </row>
    <row r="964" ht="12.75" customHeight="1">
      <c r="A964" s="20"/>
      <c r="B964" s="21"/>
      <c r="J964" s="47"/>
    </row>
    <row r="965" ht="12.75" customHeight="1">
      <c r="A965" s="20"/>
      <c r="B965" s="21"/>
      <c r="J965" s="47"/>
    </row>
    <row r="966" ht="12.75" customHeight="1">
      <c r="A966" s="20"/>
      <c r="B966" s="21"/>
      <c r="J966" s="47"/>
    </row>
    <row r="967" ht="12.75" customHeight="1">
      <c r="A967" s="20"/>
      <c r="B967" s="21"/>
      <c r="J967" s="47"/>
    </row>
    <row r="968" ht="12.75" customHeight="1">
      <c r="A968" s="20"/>
      <c r="B968" s="21"/>
      <c r="J968" s="47"/>
    </row>
    <row r="969" ht="12.75" customHeight="1">
      <c r="A969" s="20"/>
      <c r="B969" s="21"/>
      <c r="J969" s="47"/>
    </row>
    <row r="970" ht="12.75" customHeight="1">
      <c r="A970" s="20"/>
      <c r="B970" s="21"/>
      <c r="J970" s="47"/>
    </row>
    <row r="971" ht="12.75" customHeight="1">
      <c r="A971" s="20"/>
      <c r="B971" s="21"/>
      <c r="J971" s="47"/>
    </row>
    <row r="972" ht="12.75" customHeight="1">
      <c r="A972" s="20"/>
      <c r="B972" s="21"/>
      <c r="J972" s="47"/>
    </row>
    <row r="973" ht="12.75" customHeight="1">
      <c r="A973" s="20"/>
      <c r="B973" s="21"/>
      <c r="J973" s="47"/>
    </row>
    <row r="974" ht="12.75" customHeight="1">
      <c r="A974" s="20"/>
      <c r="B974" s="21"/>
      <c r="J974" s="47"/>
    </row>
    <row r="975" ht="12.75" customHeight="1">
      <c r="A975" s="20"/>
      <c r="B975" s="21"/>
      <c r="J975" s="47"/>
    </row>
    <row r="976" ht="12.75" customHeight="1">
      <c r="A976" s="20"/>
      <c r="B976" s="21"/>
      <c r="J976" s="47"/>
    </row>
    <row r="977" ht="12.75" customHeight="1">
      <c r="A977" s="20"/>
      <c r="B977" s="21"/>
      <c r="J977" s="47"/>
    </row>
    <row r="978" ht="12.75" customHeight="1">
      <c r="A978" s="20"/>
      <c r="B978" s="21"/>
      <c r="J978" s="47"/>
    </row>
    <row r="979" ht="12.75" customHeight="1">
      <c r="A979" s="20"/>
      <c r="B979" s="21"/>
      <c r="J979" s="47"/>
    </row>
    <row r="980" ht="12.75" customHeight="1">
      <c r="A980" s="20"/>
      <c r="B980" s="21"/>
      <c r="J980" s="47"/>
    </row>
    <row r="981" ht="12.75" customHeight="1">
      <c r="A981" s="20"/>
      <c r="B981" s="21"/>
      <c r="J981" s="47"/>
    </row>
    <row r="982" ht="12.75" customHeight="1">
      <c r="A982" s="20"/>
      <c r="B982" s="21"/>
      <c r="J982" s="47"/>
    </row>
    <row r="983" ht="12.75" customHeight="1">
      <c r="A983" s="20"/>
      <c r="B983" s="21"/>
      <c r="J983" s="47"/>
    </row>
    <row r="984" ht="12.75" customHeight="1">
      <c r="A984" s="20"/>
      <c r="B984" s="21"/>
      <c r="J984" s="47"/>
    </row>
    <row r="985" ht="12.75" customHeight="1">
      <c r="A985" s="20"/>
      <c r="B985" s="21"/>
      <c r="J985" s="47"/>
    </row>
    <row r="986" ht="12.75" customHeight="1">
      <c r="A986" s="20"/>
      <c r="B986" s="21"/>
      <c r="J986" s="47"/>
    </row>
    <row r="987" ht="12.75" customHeight="1">
      <c r="A987" s="20"/>
      <c r="B987" s="21"/>
      <c r="J987" s="47"/>
    </row>
    <row r="988" ht="12.75" customHeight="1">
      <c r="A988" s="20"/>
      <c r="B988" s="21"/>
      <c r="J988" s="47"/>
    </row>
    <row r="989" ht="12.75" customHeight="1">
      <c r="A989" s="20"/>
      <c r="B989" s="21"/>
      <c r="J989" s="47"/>
    </row>
    <row r="990" ht="12.75" customHeight="1">
      <c r="A990" s="20"/>
      <c r="B990" s="21"/>
      <c r="J990" s="47"/>
    </row>
    <row r="991" ht="12.75" customHeight="1">
      <c r="A991" s="20"/>
      <c r="B991" s="21"/>
      <c r="J991" s="47"/>
    </row>
    <row r="992" ht="12.75" customHeight="1">
      <c r="A992" s="20"/>
      <c r="B992" s="21"/>
      <c r="J992" s="47"/>
    </row>
    <row r="993" ht="12.75" customHeight="1">
      <c r="A993" s="20"/>
      <c r="B993" s="21"/>
      <c r="J993" s="47"/>
    </row>
    <row r="994" ht="12.75" customHeight="1">
      <c r="A994" s="20"/>
      <c r="B994" s="21"/>
      <c r="J994" s="47"/>
    </row>
    <row r="995" ht="12.75" customHeight="1">
      <c r="A995" s="20"/>
      <c r="B995" s="21"/>
      <c r="J995" s="47"/>
    </row>
    <row r="996" ht="12.75" customHeight="1">
      <c r="A996" s="20"/>
      <c r="B996" s="21"/>
      <c r="J996" s="47"/>
    </row>
    <row r="997" ht="12.75" customHeight="1">
      <c r="A997" s="20"/>
      <c r="B997" s="21"/>
      <c r="J997" s="47"/>
    </row>
    <row r="998" ht="12.75" customHeight="1">
      <c r="A998" s="20"/>
      <c r="B998" s="21"/>
      <c r="J998" s="47"/>
    </row>
    <row r="999" ht="12.75" customHeight="1">
      <c r="A999" s="20"/>
      <c r="B999" s="21"/>
      <c r="J999" s="47"/>
    </row>
    <row r="1000" ht="12.75" customHeight="1">
      <c r="A1000" s="20"/>
      <c r="B1000" s="21"/>
      <c r="J1000" s="47"/>
    </row>
  </sheetData>
  <hyperlinks>
    <hyperlink display="← Back to Cube Index" location="'Cube Index'!A1" ref="M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13"/>
    <col customWidth="1" min="2" max="2" width="10.13"/>
    <col customWidth="1" min="3" max="3" width="10.63"/>
    <col customWidth="1" min="4" max="4" width="34.5"/>
    <col customWidth="1" min="5" max="5" width="18.88"/>
    <col customWidth="1" min="6" max="6" width="12.0"/>
    <col customWidth="1" min="7" max="7" width="58.5"/>
    <col customWidth="1" min="8" max="8" width="11.88"/>
    <col customWidth="1" min="9" max="9" width="14.88"/>
    <col customWidth="1" min="10" max="11" width="10.63"/>
    <col customWidth="1" min="12" max="12" width="26.63"/>
    <col customWidth="1" min="13" max="26" width="10.63"/>
  </cols>
  <sheetData>
    <row r="1" ht="12.75" customHeight="1">
      <c r="A1" s="38" t="s">
        <v>46</v>
      </c>
      <c r="B1" s="39" t="s">
        <v>47</v>
      </c>
      <c r="C1" s="10" t="s">
        <v>1505</v>
      </c>
      <c r="D1" s="10" t="s">
        <v>1506</v>
      </c>
      <c r="E1" s="10" t="s">
        <v>48</v>
      </c>
      <c r="F1" s="10" t="s">
        <v>53</v>
      </c>
      <c r="G1" s="10" t="s">
        <v>1622</v>
      </c>
      <c r="H1" s="48" t="s">
        <v>1623</v>
      </c>
      <c r="I1" s="10" t="s">
        <v>1624</v>
      </c>
      <c r="L1" s="44" t="s">
        <v>161</v>
      </c>
    </row>
    <row r="2" ht="12.75" customHeight="1">
      <c r="A2" s="42" t="s">
        <v>1087</v>
      </c>
      <c r="B2" s="21">
        <v>46082.0</v>
      </c>
      <c r="C2" s="9" t="s">
        <v>1512</v>
      </c>
      <c r="D2" s="9" t="s">
        <v>1513</v>
      </c>
      <c r="E2" s="9" t="s">
        <v>1509</v>
      </c>
      <c r="F2" s="9" t="s">
        <v>1511</v>
      </c>
      <c r="G2" s="9" t="s">
        <v>1625</v>
      </c>
      <c r="H2" s="49">
        <v>0.25</v>
      </c>
      <c r="I2" s="9" t="s">
        <v>1626</v>
      </c>
    </row>
    <row r="3" ht="12.75" customHeight="1">
      <c r="A3" s="42" t="s">
        <v>1103</v>
      </c>
      <c r="B3" s="21">
        <v>46096.0</v>
      </c>
      <c r="C3" s="9" t="s">
        <v>1512</v>
      </c>
      <c r="D3" s="9" t="s">
        <v>1513</v>
      </c>
      <c r="E3" s="9" t="s">
        <v>1509</v>
      </c>
      <c r="F3" s="9" t="s">
        <v>1511</v>
      </c>
      <c r="G3" s="9" t="s">
        <v>1627</v>
      </c>
      <c r="H3" s="49">
        <v>0.75</v>
      </c>
      <c r="I3" s="9" t="s">
        <v>1628</v>
      </c>
    </row>
    <row r="4" ht="12.75" customHeight="1">
      <c r="A4" s="42" t="s">
        <v>1111</v>
      </c>
      <c r="B4" s="21">
        <v>46103.0</v>
      </c>
      <c r="C4" s="9" t="s">
        <v>1512</v>
      </c>
      <c r="D4" s="9" t="s">
        <v>1513</v>
      </c>
      <c r="E4" s="9" t="s">
        <v>1509</v>
      </c>
      <c r="F4" s="9" t="s">
        <v>1511</v>
      </c>
      <c r="G4" s="9" t="s">
        <v>1629</v>
      </c>
      <c r="H4" s="49">
        <v>0.5</v>
      </c>
      <c r="I4" s="9" t="s">
        <v>1630</v>
      </c>
    </row>
    <row r="5" ht="12.75" customHeight="1">
      <c r="A5" s="42" t="s">
        <v>1135</v>
      </c>
      <c r="B5" s="21">
        <v>46124.0</v>
      </c>
      <c r="C5" s="9" t="s">
        <v>1512</v>
      </c>
      <c r="D5" s="9" t="s">
        <v>1513</v>
      </c>
      <c r="E5" s="9" t="s">
        <v>1509</v>
      </c>
      <c r="F5" s="9" t="s">
        <v>1511</v>
      </c>
      <c r="G5" s="9" t="s">
        <v>1631</v>
      </c>
      <c r="H5" s="49">
        <v>0.5</v>
      </c>
      <c r="I5" s="9" t="s">
        <v>1630</v>
      </c>
    </row>
    <row r="6" ht="12.75" customHeight="1">
      <c r="A6" s="42" t="s">
        <v>1143</v>
      </c>
      <c r="B6" s="21">
        <v>46131.0</v>
      </c>
      <c r="C6" s="9" t="s">
        <v>1512</v>
      </c>
      <c r="D6" s="9" t="s">
        <v>1513</v>
      </c>
      <c r="E6" s="9" t="s">
        <v>1509</v>
      </c>
      <c r="F6" s="9" t="s">
        <v>1511</v>
      </c>
      <c r="G6" s="9" t="s">
        <v>1632</v>
      </c>
      <c r="H6" s="49">
        <v>0.25</v>
      </c>
      <c r="I6" s="9" t="s">
        <v>1626</v>
      </c>
    </row>
    <row r="7" ht="12.75" customHeight="1">
      <c r="A7" s="42" t="s">
        <v>1151</v>
      </c>
      <c r="B7" s="21">
        <v>46138.0</v>
      </c>
      <c r="C7" s="9" t="s">
        <v>1512</v>
      </c>
      <c r="D7" s="9" t="s">
        <v>1513</v>
      </c>
      <c r="E7" s="9" t="s">
        <v>1509</v>
      </c>
      <c r="F7" s="9" t="s">
        <v>1511</v>
      </c>
      <c r="G7" s="9" t="s">
        <v>1633</v>
      </c>
      <c r="H7" s="49">
        <v>0.75</v>
      </c>
      <c r="I7" s="9" t="s">
        <v>1628</v>
      </c>
    </row>
    <row r="8" ht="12.75" customHeight="1">
      <c r="A8" s="42" t="s">
        <v>1095</v>
      </c>
      <c r="B8" s="21">
        <v>46089.0</v>
      </c>
      <c r="C8" s="9" t="s">
        <v>1514</v>
      </c>
      <c r="D8" s="9" t="s">
        <v>1515</v>
      </c>
      <c r="E8" s="9" t="s">
        <v>1509</v>
      </c>
      <c r="F8" s="9" t="s">
        <v>1511</v>
      </c>
      <c r="G8" s="9" t="s">
        <v>1634</v>
      </c>
      <c r="H8" s="49">
        <v>0.75</v>
      </c>
      <c r="I8" s="9" t="s">
        <v>1628</v>
      </c>
    </row>
    <row r="9" ht="12.75" customHeight="1">
      <c r="A9" s="42" t="s">
        <v>1103</v>
      </c>
      <c r="B9" s="21">
        <v>46096.0</v>
      </c>
      <c r="C9" s="9" t="s">
        <v>1514</v>
      </c>
      <c r="D9" s="9" t="s">
        <v>1515</v>
      </c>
      <c r="E9" s="9" t="s">
        <v>1509</v>
      </c>
      <c r="F9" s="9" t="s">
        <v>1511</v>
      </c>
      <c r="G9" s="9" t="s">
        <v>1635</v>
      </c>
      <c r="H9" s="49">
        <v>0.5</v>
      </c>
      <c r="I9" s="9" t="s">
        <v>1630</v>
      </c>
    </row>
    <row r="10" ht="12.75" customHeight="1">
      <c r="A10" s="42" t="s">
        <v>1111</v>
      </c>
      <c r="B10" s="21">
        <v>46103.0</v>
      </c>
      <c r="C10" s="9" t="s">
        <v>1514</v>
      </c>
      <c r="D10" s="9" t="s">
        <v>1515</v>
      </c>
      <c r="E10" s="9" t="s">
        <v>1509</v>
      </c>
      <c r="F10" s="9" t="s">
        <v>1511</v>
      </c>
      <c r="G10" s="9" t="s">
        <v>1636</v>
      </c>
      <c r="H10" s="49">
        <v>0.5</v>
      </c>
      <c r="I10" s="9" t="s">
        <v>1630</v>
      </c>
    </row>
    <row r="11" ht="12.75" customHeight="1">
      <c r="A11" s="42" t="s">
        <v>1135</v>
      </c>
      <c r="B11" s="21">
        <v>46124.0</v>
      </c>
      <c r="C11" s="9" t="s">
        <v>1514</v>
      </c>
      <c r="D11" s="9" t="s">
        <v>1515</v>
      </c>
      <c r="E11" s="9" t="s">
        <v>1509</v>
      </c>
      <c r="F11" s="9" t="s">
        <v>1511</v>
      </c>
      <c r="G11" s="9" t="s">
        <v>1637</v>
      </c>
      <c r="H11" s="49">
        <v>0.75</v>
      </c>
      <c r="I11" s="9" t="s">
        <v>1628</v>
      </c>
    </row>
    <row r="12" ht="12.75" customHeight="1">
      <c r="A12" s="42" t="s">
        <v>1087</v>
      </c>
      <c r="B12" s="21">
        <v>46082.0</v>
      </c>
      <c r="C12" s="9" t="s">
        <v>1516</v>
      </c>
      <c r="D12" s="9" t="s">
        <v>1517</v>
      </c>
      <c r="E12" s="9" t="s">
        <v>1509</v>
      </c>
      <c r="F12" s="9" t="s">
        <v>1518</v>
      </c>
      <c r="G12" s="9" t="s">
        <v>1638</v>
      </c>
      <c r="H12" s="49">
        <v>0.5</v>
      </c>
      <c r="I12" s="9" t="s">
        <v>1630</v>
      </c>
    </row>
    <row r="13" ht="12.75" customHeight="1">
      <c r="A13" s="42" t="s">
        <v>1103</v>
      </c>
      <c r="B13" s="21">
        <v>46096.0</v>
      </c>
      <c r="C13" s="9" t="s">
        <v>1516</v>
      </c>
      <c r="D13" s="9" t="s">
        <v>1517</v>
      </c>
      <c r="E13" s="9" t="s">
        <v>1509</v>
      </c>
      <c r="F13" s="9" t="s">
        <v>1518</v>
      </c>
      <c r="G13" s="9" t="s">
        <v>1639</v>
      </c>
      <c r="H13" s="49">
        <v>0.75</v>
      </c>
      <c r="I13" s="9" t="s">
        <v>1628</v>
      </c>
    </row>
    <row r="14" ht="12.75" customHeight="1">
      <c r="A14" s="42" t="s">
        <v>1111</v>
      </c>
      <c r="B14" s="21">
        <v>46103.0</v>
      </c>
      <c r="C14" s="9" t="s">
        <v>1516</v>
      </c>
      <c r="D14" s="9" t="s">
        <v>1517</v>
      </c>
      <c r="E14" s="9" t="s">
        <v>1509</v>
      </c>
      <c r="F14" s="9" t="s">
        <v>1518</v>
      </c>
      <c r="G14" s="9" t="s">
        <v>1640</v>
      </c>
      <c r="H14" s="49">
        <v>0.25</v>
      </c>
      <c r="I14" s="9" t="s">
        <v>1626</v>
      </c>
    </row>
    <row r="15" ht="12.75" customHeight="1">
      <c r="A15" s="42" t="s">
        <v>1119</v>
      </c>
      <c r="B15" s="21">
        <v>46110.0</v>
      </c>
      <c r="C15" s="9" t="s">
        <v>1516</v>
      </c>
      <c r="D15" s="9" t="s">
        <v>1517</v>
      </c>
      <c r="E15" s="9" t="s">
        <v>1509</v>
      </c>
      <c r="F15" s="9" t="s">
        <v>1518</v>
      </c>
      <c r="G15" s="9" t="s">
        <v>1641</v>
      </c>
      <c r="H15" s="49">
        <v>0.5</v>
      </c>
      <c r="I15" s="9" t="s">
        <v>1630</v>
      </c>
    </row>
    <row r="16" ht="12.75" customHeight="1">
      <c r="A16" s="42" t="s">
        <v>1127</v>
      </c>
      <c r="B16" s="21">
        <v>46117.0</v>
      </c>
      <c r="C16" s="9" t="s">
        <v>1516</v>
      </c>
      <c r="D16" s="9" t="s">
        <v>1517</v>
      </c>
      <c r="E16" s="9" t="s">
        <v>1509</v>
      </c>
      <c r="F16" s="9" t="s">
        <v>1518</v>
      </c>
      <c r="G16" s="9" t="s">
        <v>1642</v>
      </c>
      <c r="H16" s="49">
        <v>0.75</v>
      </c>
      <c r="I16" s="9" t="s">
        <v>1628</v>
      </c>
    </row>
    <row r="17" ht="12.75" customHeight="1">
      <c r="A17" s="42" t="s">
        <v>1135</v>
      </c>
      <c r="B17" s="21">
        <v>46124.0</v>
      </c>
      <c r="C17" s="9" t="s">
        <v>1516</v>
      </c>
      <c r="D17" s="9" t="s">
        <v>1517</v>
      </c>
      <c r="E17" s="9" t="s">
        <v>1509</v>
      </c>
      <c r="F17" s="9" t="s">
        <v>1518</v>
      </c>
      <c r="G17" s="9" t="s">
        <v>1642</v>
      </c>
      <c r="H17" s="49">
        <v>0.75</v>
      </c>
      <c r="I17" s="9" t="s">
        <v>1628</v>
      </c>
    </row>
    <row r="18" ht="12.75" customHeight="1">
      <c r="A18" s="42" t="s">
        <v>1143</v>
      </c>
      <c r="B18" s="21">
        <v>46131.0</v>
      </c>
      <c r="C18" s="9" t="s">
        <v>1516</v>
      </c>
      <c r="D18" s="9" t="s">
        <v>1517</v>
      </c>
      <c r="E18" s="9" t="s">
        <v>1509</v>
      </c>
      <c r="F18" s="9" t="s">
        <v>1518</v>
      </c>
      <c r="G18" s="9" t="s">
        <v>1642</v>
      </c>
      <c r="H18" s="49">
        <v>0.75</v>
      </c>
      <c r="I18" s="9" t="s">
        <v>1628</v>
      </c>
    </row>
    <row r="19" ht="12.75" customHeight="1">
      <c r="A19" s="42" t="s">
        <v>1151</v>
      </c>
      <c r="B19" s="21">
        <v>46138.0</v>
      </c>
      <c r="C19" s="9" t="s">
        <v>1516</v>
      </c>
      <c r="D19" s="9" t="s">
        <v>1517</v>
      </c>
      <c r="E19" s="9" t="s">
        <v>1509</v>
      </c>
      <c r="F19" s="9" t="s">
        <v>1518</v>
      </c>
      <c r="G19" s="9" t="s">
        <v>1642</v>
      </c>
      <c r="H19" s="49">
        <v>0.75</v>
      </c>
      <c r="I19" s="9" t="s">
        <v>1628</v>
      </c>
    </row>
    <row r="20" ht="12.75" customHeight="1">
      <c r="A20" s="42" t="s">
        <v>1159</v>
      </c>
      <c r="B20" s="21">
        <v>46145.0</v>
      </c>
      <c r="C20" s="9" t="s">
        <v>1516</v>
      </c>
      <c r="D20" s="9" t="s">
        <v>1517</v>
      </c>
      <c r="E20" s="9" t="s">
        <v>1509</v>
      </c>
      <c r="F20" s="9" t="s">
        <v>1518</v>
      </c>
      <c r="G20" s="9" t="s">
        <v>1642</v>
      </c>
      <c r="H20" s="49">
        <v>0.75</v>
      </c>
      <c r="I20" s="9" t="s">
        <v>1628</v>
      </c>
    </row>
    <row r="21" ht="12.75" customHeight="1">
      <c r="A21" s="42" t="s">
        <v>1167</v>
      </c>
      <c r="B21" s="21">
        <v>46152.0</v>
      </c>
      <c r="C21" s="9" t="s">
        <v>1516</v>
      </c>
      <c r="D21" s="9" t="s">
        <v>1517</v>
      </c>
      <c r="E21" s="9" t="s">
        <v>1509</v>
      </c>
      <c r="F21" s="9" t="s">
        <v>1518</v>
      </c>
      <c r="G21" s="9" t="s">
        <v>1642</v>
      </c>
      <c r="H21" s="49">
        <v>0.75</v>
      </c>
      <c r="I21" s="9" t="s">
        <v>1628</v>
      </c>
    </row>
    <row r="22" ht="12.75" customHeight="1">
      <c r="A22" s="42" t="s">
        <v>1103</v>
      </c>
      <c r="B22" s="21">
        <v>46096.0</v>
      </c>
      <c r="C22" s="9" t="s">
        <v>1519</v>
      </c>
      <c r="D22" s="9" t="s">
        <v>1520</v>
      </c>
      <c r="E22" s="9" t="s">
        <v>1509</v>
      </c>
      <c r="F22" s="9" t="s">
        <v>1521</v>
      </c>
      <c r="G22" s="9" t="s">
        <v>1643</v>
      </c>
      <c r="H22" s="49">
        <v>0.75</v>
      </c>
      <c r="I22" s="9" t="s">
        <v>1628</v>
      </c>
    </row>
    <row r="23" ht="12.75" customHeight="1">
      <c r="A23" s="42" t="s">
        <v>1111</v>
      </c>
      <c r="B23" s="21">
        <v>46103.0</v>
      </c>
      <c r="C23" s="9" t="s">
        <v>1519</v>
      </c>
      <c r="D23" s="9" t="s">
        <v>1520</v>
      </c>
      <c r="E23" s="9" t="s">
        <v>1509</v>
      </c>
      <c r="F23" s="9" t="s">
        <v>1521</v>
      </c>
      <c r="G23" s="9" t="s">
        <v>1644</v>
      </c>
      <c r="H23" s="49">
        <v>0.75</v>
      </c>
      <c r="I23" s="9" t="s">
        <v>1628</v>
      </c>
    </row>
    <row r="24" ht="12.75" customHeight="1">
      <c r="A24" s="42" t="s">
        <v>1119</v>
      </c>
      <c r="B24" s="21">
        <v>46110.0</v>
      </c>
      <c r="C24" s="9" t="s">
        <v>1519</v>
      </c>
      <c r="D24" s="9" t="s">
        <v>1520</v>
      </c>
      <c r="E24" s="9" t="s">
        <v>1509</v>
      </c>
      <c r="F24" s="9" t="s">
        <v>1521</v>
      </c>
      <c r="G24" s="9" t="s">
        <v>1645</v>
      </c>
      <c r="H24" s="49">
        <v>1.0</v>
      </c>
      <c r="I24" s="9" t="s">
        <v>1646</v>
      </c>
    </row>
    <row r="25" ht="12.75" customHeight="1">
      <c r="A25" s="42" t="s">
        <v>1087</v>
      </c>
      <c r="B25" s="21">
        <v>46082.0</v>
      </c>
      <c r="C25" s="9" t="s">
        <v>1522</v>
      </c>
      <c r="D25" s="45" t="s">
        <v>1523</v>
      </c>
      <c r="E25" s="9" t="s">
        <v>1509</v>
      </c>
      <c r="F25" s="9" t="s">
        <v>124</v>
      </c>
      <c r="G25" s="9" t="s">
        <v>1647</v>
      </c>
      <c r="H25" s="49">
        <v>0.25</v>
      </c>
      <c r="I25" s="9" t="s">
        <v>1626</v>
      </c>
    </row>
    <row r="26" ht="12.75" customHeight="1">
      <c r="A26" s="42" t="s">
        <v>1095</v>
      </c>
      <c r="B26" s="21">
        <v>46089.0</v>
      </c>
      <c r="C26" s="9" t="s">
        <v>1522</v>
      </c>
      <c r="D26" s="45" t="s">
        <v>1523</v>
      </c>
      <c r="E26" s="9" t="s">
        <v>1509</v>
      </c>
      <c r="F26" s="9" t="s">
        <v>124</v>
      </c>
      <c r="G26" s="9" t="s">
        <v>1648</v>
      </c>
      <c r="H26" s="49">
        <v>0.5</v>
      </c>
      <c r="I26" s="9" t="s">
        <v>1630</v>
      </c>
    </row>
    <row r="27" ht="12.75" customHeight="1">
      <c r="A27" s="42" t="s">
        <v>1111</v>
      </c>
      <c r="B27" s="21">
        <v>46103.0</v>
      </c>
      <c r="C27" s="9" t="s">
        <v>1522</v>
      </c>
      <c r="D27" s="45" t="s">
        <v>1523</v>
      </c>
      <c r="E27" s="9" t="s">
        <v>1509</v>
      </c>
      <c r="F27" s="9" t="s">
        <v>124</v>
      </c>
      <c r="G27" s="9" t="s">
        <v>1649</v>
      </c>
      <c r="H27" s="49">
        <v>0.75</v>
      </c>
      <c r="I27" s="9" t="s">
        <v>1628</v>
      </c>
    </row>
    <row r="28" ht="12.75" customHeight="1">
      <c r="A28" s="42" t="s">
        <v>1151</v>
      </c>
      <c r="B28" s="21">
        <v>46138.0</v>
      </c>
      <c r="C28" s="9" t="s">
        <v>1522</v>
      </c>
      <c r="D28" s="45" t="s">
        <v>1523</v>
      </c>
      <c r="E28" s="9" t="s">
        <v>1509</v>
      </c>
      <c r="F28" s="9" t="s">
        <v>124</v>
      </c>
      <c r="G28" s="9" t="s">
        <v>1650</v>
      </c>
      <c r="H28" s="49">
        <v>0.25</v>
      </c>
      <c r="I28" s="9" t="s">
        <v>1626</v>
      </c>
    </row>
    <row r="29" ht="12.75" customHeight="1">
      <c r="A29" s="42" t="s">
        <v>1175</v>
      </c>
      <c r="B29" s="21">
        <v>46159.0</v>
      </c>
      <c r="C29" s="9" t="s">
        <v>1522</v>
      </c>
      <c r="D29" s="45" t="s">
        <v>1523</v>
      </c>
      <c r="E29" s="9" t="s">
        <v>1509</v>
      </c>
      <c r="F29" s="9" t="s">
        <v>124</v>
      </c>
      <c r="G29" s="9" t="s">
        <v>1651</v>
      </c>
      <c r="H29" s="49">
        <v>0.25</v>
      </c>
      <c r="I29" s="9" t="s">
        <v>1626</v>
      </c>
    </row>
    <row r="30" ht="12.75" customHeight="1">
      <c r="A30" s="42" t="s">
        <v>1215</v>
      </c>
      <c r="B30" s="21">
        <v>46194.0</v>
      </c>
      <c r="C30" s="9" t="s">
        <v>1522</v>
      </c>
      <c r="D30" s="45" t="s">
        <v>1523</v>
      </c>
      <c r="E30" s="9" t="s">
        <v>1509</v>
      </c>
      <c r="F30" s="9" t="s">
        <v>124</v>
      </c>
      <c r="G30" s="9" t="s">
        <v>1652</v>
      </c>
      <c r="H30" s="49">
        <v>0.75</v>
      </c>
      <c r="I30" s="9" t="s">
        <v>1628</v>
      </c>
    </row>
    <row r="31" ht="12.75" customHeight="1">
      <c r="A31" s="42" t="s">
        <v>1247</v>
      </c>
      <c r="B31" s="21">
        <v>46222.0</v>
      </c>
      <c r="C31" s="9" t="s">
        <v>1522</v>
      </c>
      <c r="D31" s="45" t="s">
        <v>1523</v>
      </c>
      <c r="E31" s="9" t="s">
        <v>1509</v>
      </c>
      <c r="F31" s="9" t="s">
        <v>124</v>
      </c>
      <c r="G31" s="9" t="s">
        <v>1653</v>
      </c>
      <c r="H31" s="49">
        <v>0.0</v>
      </c>
      <c r="I31" s="9" t="s">
        <v>1654</v>
      </c>
    </row>
    <row r="32" ht="12.75" customHeight="1">
      <c r="A32" s="42" t="s">
        <v>1287</v>
      </c>
      <c r="B32" s="21">
        <v>46257.0</v>
      </c>
      <c r="C32" s="9" t="s">
        <v>1522</v>
      </c>
      <c r="D32" s="45" t="s">
        <v>1523</v>
      </c>
      <c r="E32" s="9" t="s">
        <v>1509</v>
      </c>
      <c r="F32" s="9" t="s">
        <v>124</v>
      </c>
      <c r="G32" s="9" t="s">
        <v>1653</v>
      </c>
      <c r="H32" s="49">
        <v>0.0</v>
      </c>
      <c r="I32" s="9" t="s">
        <v>1654</v>
      </c>
    </row>
    <row r="33" ht="12.75" customHeight="1">
      <c r="A33" s="42" t="s">
        <v>1327</v>
      </c>
      <c r="B33" s="21">
        <v>46292.0</v>
      </c>
      <c r="C33" s="9" t="s">
        <v>1522</v>
      </c>
      <c r="D33" s="45" t="s">
        <v>1523</v>
      </c>
      <c r="E33" s="9" t="s">
        <v>1509</v>
      </c>
      <c r="F33" s="9" t="s">
        <v>124</v>
      </c>
      <c r="G33" s="9" t="s">
        <v>1653</v>
      </c>
      <c r="H33" s="49">
        <v>0.0</v>
      </c>
      <c r="I33" s="9" t="s">
        <v>1654</v>
      </c>
    </row>
    <row r="34" ht="12.75" customHeight="1">
      <c r="A34" s="42" t="s">
        <v>1359</v>
      </c>
      <c r="B34" s="21">
        <v>46320.0</v>
      </c>
      <c r="C34" s="9" t="s">
        <v>1522</v>
      </c>
      <c r="D34" s="45" t="s">
        <v>1523</v>
      </c>
      <c r="E34" s="9" t="s">
        <v>1509</v>
      </c>
      <c r="F34" s="9" t="s">
        <v>124</v>
      </c>
      <c r="G34" s="9" t="s">
        <v>1653</v>
      </c>
      <c r="H34" s="49">
        <v>0.0</v>
      </c>
      <c r="I34" s="9" t="s">
        <v>1654</v>
      </c>
    </row>
    <row r="35" ht="12.75" customHeight="1">
      <c r="A35" s="42" t="s">
        <v>1399</v>
      </c>
      <c r="B35" s="21">
        <v>46355.0</v>
      </c>
      <c r="C35" s="9" t="s">
        <v>1522</v>
      </c>
      <c r="D35" s="45" t="s">
        <v>1523</v>
      </c>
      <c r="E35" s="9" t="s">
        <v>1509</v>
      </c>
      <c r="F35" s="9" t="s">
        <v>124</v>
      </c>
      <c r="G35" s="9" t="s">
        <v>1653</v>
      </c>
      <c r="H35" s="49">
        <v>0.0</v>
      </c>
      <c r="I35" s="9" t="s">
        <v>1654</v>
      </c>
    </row>
    <row r="36" ht="12.75" customHeight="1">
      <c r="A36" s="42" t="s">
        <v>1095</v>
      </c>
      <c r="B36" s="21">
        <v>46089.0</v>
      </c>
      <c r="C36" s="9" t="s">
        <v>1524</v>
      </c>
      <c r="D36" s="9" t="s">
        <v>1525</v>
      </c>
      <c r="E36" s="9" t="s">
        <v>1509</v>
      </c>
      <c r="F36" s="9" t="s">
        <v>1521</v>
      </c>
      <c r="G36" s="9" t="s">
        <v>1634</v>
      </c>
      <c r="H36" s="49">
        <v>0.75</v>
      </c>
      <c r="I36" s="9" t="s">
        <v>1628</v>
      </c>
    </row>
    <row r="37" ht="12.75" customHeight="1">
      <c r="A37" s="42" t="s">
        <v>1159</v>
      </c>
      <c r="B37" s="21">
        <v>46145.0</v>
      </c>
      <c r="C37" s="9" t="s">
        <v>1524</v>
      </c>
      <c r="D37" s="9" t="s">
        <v>1525</v>
      </c>
      <c r="E37" s="9" t="s">
        <v>1509</v>
      </c>
      <c r="F37" s="9" t="s">
        <v>1521</v>
      </c>
      <c r="G37" s="9" t="s">
        <v>1655</v>
      </c>
      <c r="H37" s="49">
        <v>0.5</v>
      </c>
      <c r="I37" s="9" t="s">
        <v>1630</v>
      </c>
    </row>
    <row r="38" ht="12.75" customHeight="1">
      <c r="A38" s="42" t="s">
        <v>1119</v>
      </c>
      <c r="B38" s="21">
        <v>46110.0</v>
      </c>
      <c r="C38" s="9" t="s">
        <v>1526</v>
      </c>
      <c r="D38" s="9" t="s">
        <v>1527</v>
      </c>
      <c r="E38" s="9" t="s">
        <v>1509</v>
      </c>
      <c r="F38" s="9" t="s">
        <v>144</v>
      </c>
      <c r="G38" s="9" t="s">
        <v>1656</v>
      </c>
      <c r="H38" s="49">
        <v>0.75</v>
      </c>
      <c r="I38" s="9" t="s">
        <v>1628</v>
      </c>
    </row>
    <row r="39" ht="12.75" customHeight="1">
      <c r="A39" s="42" t="s">
        <v>1159</v>
      </c>
      <c r="B39" s="21">
        <v>46145.0</v>
      </c>
      <c r="C39" s="9" t="s">
        <v>1526</v>
      </c>
      <c r="D39" s="9" t="s">
        <v>1527</v>
      </c>
      <c r="E39" s="9" t="s">
        <v>1509</v>
      </c>
      <c r="F39" s="9" t="s">
        <v>144</v>
      </c>
      <c r="G39" s="9" t="s">
        <v>1657</v>
      </c>
      <c r="H39" s="49">
        <v>0.25</v>
      </c>
      <c r="I39" s="9" t="s">
        <v>1626</v>
      </c>
    </row>
    <row r="40" ht="12.75" customHeight="1">
      <c r="A40" s="42" t="s">
        <v>1193</v>
      </c>
      <c r="B40" s="21">
        <v>46174.0</v>
      </c>
      <c r="C40" s="9" t="s">
        <v>1526</v>
      </c>
      <c r="D40" s="9" t="s">
        <v>1527</v>
      </c>
      <c r="E40" s="9" t="s">
        <v>1509</v>
      </c>
      <c r="F40" s="9" t="s">
        <v>144</v>
      </c>
      <c r="G40" s="9" t="s">
        <v>1653</v>
      </c>
      <c r="H40" s="49">
        <v>0.0</v>
      </c>
      <c r="I40" s="9" t="s">
        <v>1654</v>
      </c>
    </row>
    <row r="41" ht="12.75" customHeight="1">
      <c r="A41" s="42" t="s">
        <v>1239</v>
      </c>
      <c r="B41" s="21">
        <v>46215.0</v>
      </c>
      <c r="C41" s="9" t="s">
        <v>1526</v>
      </c>
      <c r="D41" s="9" t="s">
        <v>1527</v>
      </c>
      <c r="E41" s="9" t="s">
        <v>1509</v>
      </c>
      <c r="F41" s="9" t="s">
        <v>144</v>
      </c>
      <c r="G41" s="9" t="s">
        <v>1653</v>
      </c>
      <c r="H41" s="49">
        <v>0.0</v>
      </c>
      <c r="I41" s="9" t="s">
        <v>1654</v>
      </c>
    </row>
    <row r="42" ht="12.75" customHeight="1">
      <c r="A42" s="42" t="s">
        <v>1279</v>
      </c>
      <c r="B42" s="21">
        <v>46250.0</v>
      </c>
      <c r="C42" s="9" t="s">
        <v>1526</v>
      </c>
      <c r="D42" s="9" t="s">
        <v>1527</v>
      </c>
      <c r="E42" s="9" t="s">
        <v>1509</v>
      </c>
      <c r="F42" s="9" t="s">
        <v>144</v>
      </c>
      <c r="G42" s="9" t="s">
        <v>1658</v>
      </c>
      <c r="H42" s="49">
        <v>0.25</v>
      </c>
      <c r="I42" s="9" t="s">
        <v>1626</v>
      </c>
    </row>
    <row r="43" ht="12.75" customHeight="1">
      <c r="A43" s="42" t="s">
        <v>1087</v>
      </c>
      <c r="B43" s="21">
        <v>46082.0</v>
      </c>
      <c r="C43" s="9" t="s">
        <v>1528</v>
      </c>
      <c r="D43" s="9" t="s">
        <v>1529</v>
      </c>
      <c r="E43" s="9" t="s">
        <v>1509</v>
      </c>
      <c r="F43" s="9" t="s">
        <v>1511</v>
      </c>
      <c r="G43" s="9" t="s">
        <v>1659</v>
      </c>
      <c r="H43" s="49">
        <v>0.25</v>
      </c>
      <c r="I43" s="9" t="s">
        <v>1626</v>
      </c>
    </row>
    <row r="44" ht="12.75" customHeight="1">
      <c r="A44" s="42" t="s">
        <v>1119</v>
      </c>
      <c r="B44" s="21">
        <v>46110.0</v>
      </c>
      <c r="C44" s="9" t="s">
        <v>1528</v>
      </c>
      <c r="D44" s="9" t="s">
        <v>1529</v>
      </c>
      <c r="E44" s="9" t="s">
        <v>1509</v>
      </c>
      <c r="F44" s="9" t="s">
        <v>1511</v>
      </c>
      <c r="G44" s="9" t="s">
        <v>1659</v>
      </c>
      <c r="H44" s="49">
        <v>0.25</v>
      </c>
      <c r="I44" s="9" t="s">
        <v>1626</v>
      </c>
    </row>
    <row r="45" ht="12.75" customHeight="1">
      <c r="A45" s="42" t="s">
        <v>1175</v>
      </c>
      <c r="B45" s="21">
        <v>46159.0</v>
      </c>
      <c r="C45" s="9" t="s">
        <v>1528</v>
      </c>
      <c r="D45" s="9" t="s">
        <v>1529</v>
      </c>
      <c r="E45" s="9" t="s">
        <v>1509</v>
      </c>
      <c r="F45" s="9" t="s">
        <v>1511</v>
      </c>
      <c r="G45" s="9" t="s">
        <v>1660</v>
      </c>
      <c r="H45" s="49">
        <v>0.25</v>
      </c>
      <c r="I45" s="9" t="s">
        <v>1626</v>
      </c>
    </row>
    <row r="46" ht="12.75" customHeight="1">
      <c r="A46" s="42" t="s">
        <v>1183</v>
      </c>
      <c r="B46" s="21">
        <v>46166.0</v>
      </c>
      <c r="C46" s="9" t="s">
        <v>1528</v>
      </c>
      <c r="D46" s="9" t="s">
        <v>1529</v>
      </c>
      <c r="E46" s="9" t="s">
        <v>1509</v>
      </c>
      <c r="F46" s="9" t="s">
        <v>1511</v>
      </c>
      <c r="G46" s="9" t="s">
        <v>1661</v>
      </c>
      <c r="H46" s="49">
        <v>0.5</v>
      </c>
      <c r="I46" s="9" t="s">
        <v>1630</v>
      </c>
    </row>
    <row r="47" ht="12.75" customHeight="1">
      <c r="A47" s="42" t="s">
        <v>1193</v>
      </c>
      <c r="B47" s="21">
        <v>46174.0</v>
      </c>
      <c r="C47" s="9" t="s">
        <v>1528</v>
      </c>
      <c r="D47" s="9" t="s">
        <v>1529</v>
      </c>
      <c r="E47" s="9" t="s">
        <v>1509</v>
      </c>
      <c r="F47" s="9" t="s">
        <v>1511</v>
      </c>
      <c r="G47" s="9" t="s">
        <v>1662</v>
      </c>
      <c r="H47" s="49">
        <v>0.75</v>
      </c>
      <c r="I47" s="9" t="s">
        <v>1628</v>
      </c>
    </row>
    <row r="48" ht="12.75" customHeight="1">
      <c r="A48" s="42" t="s">
        <v>1223</v>
      </c>
      <c r="B48" s="21">
        <v>46201.0</v>
      </c>
      <c r="C48" s="9" t="s">
        <v>1528</v>
      </c>
      <c r="D48" s="9" t="s">
        <v>1529</v>
      </c>
      <c r="E48" s="9" t="s">
        <v>1509</v>
      </c>
      <c r="F48" s="9" t="s">
        <v>1511</v>
      </c>
      <c r="G48" s="9" t="s">
        <v>1663</v>
      </c>
      <c r="H48" s="49">
        <v>0.75</v>
      </c>
      <c r="I48" s="9" t="s">
        <v>1628</v>
      </c>
    </row>
    <row r="49" ht="12.75" customHeight="1">
      <c r="A49" s="42" t="s">
        <v>1231</v>
      </c>
      <c r="B49" s="21">
        <v>46208.0</v>
      </c>
      <c r="C49" s="9" t="s">
        <v>1528</v>
      </c>
      <c r="D49" s="9" t="s">
        <v>1529</v>
      </c>
      <c r="E49" s="9" t="s">
        <v>1509</v>
      </c>
      <c r="F49" s="9" t="s">
        <v>1511</v>
      </c>
      <c r="G49" s="9" t="s">
        <v>1664</v>
      </c>
      <c r="H49" s="49">
        <v>0.75</v>
      </c>
      <c r="I49" s="9" t="s">
        <v>1628</v>
      </c>
    </row>
    <row r="50" ht="12.75" customHeight="1">
      <c r="A50" s="42" t="s">
        <v>1255</v>
      </c>
      <c r="B50" s="21">
        <v>46229.0</v>
      </c>
      <c r="C50" s="9" t="s">
        <v>1528</v>
      </c>
      <c r="D50" s="9" t="s">
        <v>1529</v>
      </c>
      <c r="E50" s="9" t="s">
        <v>1509</v>
      </c>
      <c r="F50" s="9" t="s">
        <v>1511</v>
      </c>
      <c r="G50" s="9" t="s">
        <v>1665</v>
      </c>
      <c r="H50" s="49">
        <v>0.75</v>
      </c>
      <c r="I50" s="9" t="s">
        <v>1628</v>
      </c>
    </row>
    <row r="51" ht="12.75" customHeight="1">
      <c r="A51" s="42" t="s">
        <v>1303</v>
      </c>
      <c r="B51" s="21">
        <v>46271.0</v>
      </c>
      <c r="C51" s="9" t="s">
        <v>1528</v>
      </c>
      <c r="D51" s="9" t="s">
        <v>1529</v>
      </c>
      <c r="E51" s="9" t="s">
        <v>1509</v>
      </c>
      <c r="F51" s="9" t="s">
        <v>1511</v>
      </c>
      <c r="G51" s="9" t="s">
        <v>1666</v>
      </c>
      <c r="H51" s="49">
        <v>0.25</v>
      </c>
      <c r="I51" s="9" t="s">
        <v>1626</v>
      </c>
    </row>
    <row r="52" ht="12.75" customHeight="1">
      <c r="A52" s="42" t="s">
        <v>1087</v>
      </c>
      <c r="B52" s="21">
        <v>46082.0</v>
      </c>
      <c r="C52" s="9" t="s">
        <v>1532</v>
      </c>
      <c r="D52" s="9" t="s">
        <v>1513</v>
      </c>
      <c r="E52" s="9" t="s">
        <v>1531</v>
      </c>
      <c r="F52" s="9" t="s">
        <v>1496</v>
      </c>
      <c r="G52" s="9" t="s">
        <v>1625</v>
      </c>
      <c r="H52" s="49">
        <v>0.25</v>
      </c>
      <c r="I52" s="9" t="s">
        <v>1626</v>
      </c>
    </row>
    <row r="53" ht="12.75" customHeight="1">
      <c r="A53" s="42" t="s">
        <v>1111</v>
      </c>
      <c r="B53" s="21">
        <v>46103.0</v>
      </c>
      <c r="C53" s="9" t="s">
        <v>1532</v>
      </c>
      <c r="D53" s="9" t="s">
        <v>1513</v>
      </c>
      <c r="E53" s="9" t="s">
        <v>1531</v>
      </c>
      <c r="F53" s="9" t="s">
        <v>1496</v>
      </c>
      <c r="G53" s="9" t="s">
        <v>1667</v>
      </c>
      <c r="H53" s="49">
        <v>0.5</v>
      </c>
      <c r="I53" s="9" t="s">
        <v>1630</v>
      </c>
    </row>
    <row r="54" ht="12.75" customHeight="1">
      <c r="A54" s="42" t="s">
        <v>1119</v>
      </c>
      <c r="B54" s="21">
        <v>46110.0</v>
      </c>
      <c r="C54" s="9" t="s">
        <v>1532</v>
      </c>
      <c r="D54" s="9" t="s">
        <v>1513</v>
      </c>
      <c r="E54" s="9" t="s">
        <v>1531</v>
      </c>
      <c r="F54" s="9" t="s">
        <v>1496</v>
      </c>
      <c r="G54" s="9" t="s">
        <v>1668</v>
      </c>
      <c r="H54" s="49">
        <v>0.25</v>
      </c>
      <c r="I54" s="9" t="s">
        <v>1626</v>
      </c>
    </row>
    <row r="55" ht="12.75" customHeight="1">
      <c r="A55" s="42" t="s">
        <v>1151</v>
      </c>
      <c r="B55" s="21">
        <v>46138.0</v>
      </c>
      <c r="C55" s="9" t="s">
        <v>1532</v>
      </c>
      <c r="D55" s="9" t="s">
        <v>1513</v>
      </c>
      <c r="E55" s="9" t="s">
        <v>1531</v>
      </c>
      <c r="F55" s="9" t="s">
        <v>1496</v>
      </c>
      <c r="G55" s="9" t="s">
        <v>1669</v>
      </c>
      <c r="H55" s="49">
        <v>0.75</v>
      </c>
      <c r="I55" s="9" t="s">
        <v>1628</v>
      </c>
    </row>
    <row r="56" ht="12.75" customHeight="1">
      <c r="A56" s="42" t="s">
        <v>1111</v>
      </c>
      <c r="B56" s="21">
        <v>46103.0</v>
      </c>
      <c r="C56" s="9" t="s">
        <v>1533</v>
      </c>
      <c r="D56" s="9" t="s">
        <v>1534</v>
      </c>
      <c r="E56" s="9" t="s">
        <v>1531</v>
      </c>
      <c r="F56" s="9" t="s">
        <v>1496</v>
      </c>
      <c r="G56" s="9" t="s">
        <v>1670</v>
      </c>
      <c r="H56" s="49">
        <v>0.5</v>
      </c>
      <c r="I56" s="9" t="s">
        <v>1630</v>
      </c>
    </row>
    <row r="57" ht="12.75" customHeight="1">
      <c r="A57" s="42" t="s">
        <v>1095</v>
      </c>
      <c r="B57" s="21">
        <v>46089.0</v>
      </c>
      <c r="C57" s="9" t="s">
        <v>1535</v>
      </c>
      <c r="D57" s="45" t="s">
        <v>1536</v>
      </c>
      <c r="E57" s="9" t="s">
        <v>1531</v>
      </c>
      <c r="F57" s="9" t="s">
        <v>1496</v>
      </c>
      <c r="G57" s="9" t="s">
        <v>1671</v>
      </c>
      <c r="H57" s="49">
        <v>0.5</v>
      </c>
      <c r="I57" s="9" t="s">
        <v>1630</v>
      </c>
    </row>
    <row r="58" ht="12.75" customHeight="1">
      <c r="A58" s="42" t="s">
        <v>1135</v>
      </c>
      <c r="B58" s="21">
        <v>46124.0</v>
      </c>
      <c r="C58" s="9" t="s">
        <v>1535</v>
      </c>
      <c r="D58" s="45" t="s">
        <v>1536</v>
      </c>
      <c r="E58" s="9" t="s">
        <v>1531</v>
      </c>
      <c r="F58" s="9" t="s">
        <v>1496</v>
      </c>
      <c r="G58" s="9" t="s">
        <v>1672</v>
      </c>
      <c r="H58" s="49">
        <v>1.0</v>
      </c>
      <c r="I58" s="9" t="s">
        <v>1646</v>
      </c>
    </row>
    <row r="59" ht="12.75" customHeight="1">
      <c r="A59" s="42" t="s">
        <v>1167</v>
      </c>
      <c r="B59" s="21">
        <v>46152.0</v>
      </c>
      <c r="C59" s="9" t="s">
        <v>1535</v>
      </c>
      <c r="D59" s="45" t="s">
        <v>1536</v>
      </c>
      <c r="E59" s="9" t="s">
        <v>1531</v>
      </c>
      <c r="F59" s="9" t="s">
        <v>1496</v>
      </c>
      <c r="G59" s="9" t="s">
        <v>1673</v>
      </c>
      <c r="H59" s="49">
        <v>1.0</v>
      </c>
      <c r="I59" s="9" t="s">
        <v>1646</v>
      </c>
    </row>
    <row r="60" ht="12.75" customHeight="1">
      <c r="A60" s="42" t="s">
        <v>1215</v>
      </c>
      <c r="B60" s="21">
        <v>46194.0</v>
      </c>
      <c r="C60" s="9" t="s">
        <v>1535</v>
      </c>
      <c r="D60" s="45" t="s">
        <v>1536</v>
      </c>
      <c r="E60" s="9" t="s">
        <v>1531</v>
      </c>
      <c r="F60" s="9" t="s">
        <v>1496</v>
      </c>
      <c r="G60" s="9" t="s">
        <v>1653</v>
      </c>
      <c r="H60" s="49">
        <v>0.0</v>
      </c>
      <c r="I60" s="9" t="s">
        <v>1654</v>
      </c>
    </row>
    <row r="61" ht="12.75" customHeight="1">
      <c r="A61" s="42" t="s">
        <v>1247</v>
      </c>
      <c r="B61" s="21">
        <v>46222.0</v>
      </c>
      <c r="C61" s="9" t="s">
        <v>1535</v>
      </c>
      <c r="D61" s="45" t="s">
        <v>1536</v>
      </c>
      <c r="E61" s="9" t="s">
        <v>1531</v>
      </c>
      <c r="F61" s="9" t="s">
        <v>1496</v>
      </c>
      <c r="G61" s="9" t="s">
        <v>1653</v>
      </c>
      <c r="H61" s="49">
        <v>0.0</v>
      </c>
      <c r="I61" s="9" t="s">
        <v>1654</v>
      </c>
    </row>
    <row r="62" ht="12.75" customHeight="1">
      <c r="A62" s="42" t="s">
        <v>1287</v>
      </c>
      <c r="B62" s="21">
        <v>46257.0</v>
      </c>
      <c r="C62" s="9" t="s">
        <v>1535</v>
      </c>
      <c r="D62" s="45" t="s">
        <v>1536</v>
      </c>
      <c r="E62" s="9" t="s">
        <v>1531</v>
      </c>
      <c r="F62" s="9" t="s">
        <v>1496</v>
      </c>
      <c r="G62" s="9" t="s">
        <v>1653</v>
      </c>
      <c r="H62" s="49">
        <v>0.0</v>
      </c>
      <c r="I62" s="9" t="s">
        <v>1654</v>
      </c>
    </row>
    <row r="63" ht="12.75" customHeight="1">
      <c r="A63" s="42" t="s">
        <v>1095</v>
      </c>
      <c r="B63" s="21">
        <v>46089.0</v>
      </c>
      <c r="C63" s="9" t="s">
        <v>1537</v>
      </c>
      <c r="D63" s="9" t="s">
        <v>1525</v>
      </c>
      <c r="E63" s="9" t="s">
        <v>1531</v>
      </c>
      <c r="F63" s="9" t="s">
        <v>1538</v>
      </c>
      <c r="G63" s="9" t="s">
        <v>1634</v>
      </c>
      <c r="H63" s="49">
        <v>0.75</v>
      </c>
      <c r="I63" s="9" t="s">
        <v>1628</v>
      </c>
    </row>
    <row r="64" ht="12.75" customHeight="1">
      <c r="A64" s="42" t="s">
        <v>1135</v>
      </c>
      <c r="B64" s="21">
        <v>46124.0</v>
      </c>
      <c r="C64" s="9" t="s">
        <v>1537</v>
      </c>
      <c r="D64" s="9" t="s">
        <v>1525</v>
      </c>
      <c r="E64" s="9" t="s">
        <v>1531</v>
      </c>
      <c r="F64" s="9" t="s">
        <v>1538</v>
      </c>
      <c r="G64" s="9" t="s">
        <v>1674</v>
      </c>
      <c r="H64" s="49">
        <v>0.75</v>
      </c>
      <c r="I64" s="9" t="s">
        <v>1628</v>
      </c>
    </row>
    <row r="65" ht="12.75" customHeight="1">
      <c r="A65" s="42" t="s">
        <v>1159</v>
      </c>
      <c r="B65" s="21">
        <v>46145.0</v>
      </c>
      <c r="C65" s="9" t="s">
        <v>1537</v>
      </c>
      <c r="D65" s="9" t="s">
        <v>1525</v>
      </c>
      <c r="E65" s="9" t="s">
        <v>1531</v>
      </c>
      <c r="F65" s="9" t="s">
        <v>1538</v>
      </c>
      <c r="G65" s="9" t="s">
        <v>1655</v>
      </c>
      <c r="H65" s="49">
        <v>0.5</v>
      </c>
      <c r="I65" s="9" t="s">
        <v>1630</v>
      </c>
    </row>
    <row r="66" ht="12.75" customHeight="1">
      <c r="A66" s="42" t="s">
        <v>1111</v>
      </c>
      <c r="B66" s="21">
        <v>46103.0</v>
      </c>
      <c r="C66" s="9" t="s">
        <v>1539</v>
      </c>
      <c r="D66" s="9" t="s">
        <v>1540</v>
      </c>
      <c r="E66" s="9" t="s">
        <v>1531</v>
      </c>
      <c r="F66" s="9" t="s">
        <v>1538</v>
      </c>
      <c r="G66" s="9" t="s">
        <v>1645</v>
      </c>
      <c r="H66" s="49">
        <v>1.0</v>
      </c>
      <c r="I66" s="9" t="s">
        <v>1646</v>
      </c>
    </row>
    <row r="67" ht="12.75" customHeight="1">
      <c r="A67" s="42" t="s">
        <v>1151</v>
      </c>
      <c r="B67" s="21">
        <v>46138.0</v>
      </c>
      <c r="C67" s="9" t="s">
        <v>1544</v>
      </c>
      <c r="D67" s="9" t="s">
        <v>1545</v>
      </c>
      <c r="E67" s="9" t="s">
        <v>1531</v>
      </c>
      <c r="F67" s="9" t="s">
        <v>1543</v>
      </c>
      <c r="G67" s="9" t="s">
        <v>1675</v>
      </c>
      <c r="H67" s="49">
        <v>0.5</v>
      </c>
      <c r="I67" s="9" t="s">
        <v>1630</v>
      </c>
    </row>
    <row r="68" ht="12.75" customHeight="1">
      <c r="A68" s="42" t="s">
        <v>1087</v>
      </c>
      <c r="B68" s="21">
        <v>46082.0</v>
      </c>
      <c r="C68" s="9" t="s">
        <v>1548</v>
      </c>
      <c r="D68" s="9" t="s">
        <v>1549</v>
      </c>
      <c r="E68" s="9" t="s">
        <v>1531</v>
      </c>
      <c r="F68" s="9" t="s">
        <v>1550</v>
      </c>
      <c r="G68" s="9" t="s">
        <v>1676</v>
      </c>
      <c r="H68" s="49">
        <v>0.25</v>
      </c>
      <c r="I68" s="9" t="s">
        <v>1626</v>
      </c>
    </row>
    <row r="69" ht="12.75" customHeight="1">
      <c r="A69" s="42" t="s">
        <v>1127</v>
      </c>
      <c r="B69" s="21">
        <v>46117.0</v>
      </c>
      <c r="C69" s="9" t="s">
        <v>1548</v>
      </c>
      <c r="D69" s="9" t="s">
        <v>1549</v>
      </c>
      <c r="E69" s="9" t="s">
        <v>1531</v>
      </c>
      <c r="F69" s="9" t="s">
        <v>1550</v>
      </c>
      <c r="G69" s="9" t="s">
        <v>1677</v>
      </c>
      <c r="H69" s="49">
        <v>0.25</v>
      </c>
      <c r="I69" s="9" t="s">
        <v>1626</v>
      </c>
    </row>
    <row r="70" ht="12.75" customHeight="1">
      <c r="A70" s="42" t="s">
        <v>1095</v>
      </c>
      <c r="B70" s="21">
        <v>46089.0</v>
      </c>
      <c r="C70" s="9" t="s">
        <v>1551</v>
      </c>
      <c r="D70" s="9" t="s">
        <v>1552</v>
      </c>
      <c r="E70" s="9" t="s">
        <v>1531</v>
      </c>
      <c r="F70" s="9" t="s">
        <v>1553</v>
      </c>
      <c r="G70" s="9" t="s">
        <v>1678</v>
      </c>
      <c r="H70" s="49">
        <v>0.5</v>
      </c>
      <c r="I70" s="9" t="s">
        <v>1630</v>
      </c>
    </row>
    <row r="71" ht="12.75" customHeight="1">
      <c r="A71" s="42" t="s">
        <v>1111</v>
      </c>
      <c r="B71" s="21">
        <v>46103.0</v>
      </c>
      <c r="C71" s="9" t="s">
        <v>1551</v>
      </c>
      <c r="D71" s="9" t="s">
        <v>1552</v>
      </c>
      <c r="E71" s="9" t="s">
        <v>1531</v>
      </c>
      <c r="F71" s="9" t="s">
        <v>1553</v>
      </c>
      <c r="G71" s="9" t="s">
        <v>1679</v>
      </c>
      <c r="H71" s="49">
        <v>0.5</v>
      </c>
      <c r="I71" s="9" t="s">
        <v>1630</v>
      </c>
    </row>
    <row r="72" ht="12.75" customHeight="1">
      <c r="A72" s="42" t="s">
        <v>1127</v>
      </c>
      <c r="B72" s="21">
        <v>46117.0</v>
      </c>
      <c r="C72" s="9" t="s">
        <v>1551</v>
      </c>
      <c r="D72" s="9" t="s">
        <v>1552</v>
      </c>
      <c r="E72" s="9" t="s">
        <v>1531</v>
      </c>
      <c r="F72" s="9" t="s">
        <v>1553</v>
      </c>
      <c r="G72" s="9" t="s">
        <v>1680</v>
      </c>
      <c r="H72" s="49">
        <v>0.5</v>
      </c>
      <c r="I72" s="9" t="s">
        <v>1630</v>
      </c>
    </row>
    <row r="73" ht="12.75" customHeight="1">
      <c r="A73" s="42" t="s">
        <v>1193</v>
      </c>
      <c r="B73" s="21">
        <v>46174.0</v>
      </c>
      <c r="C73" s="9" t="s">
        <v>1551</v>
      </c>
      <c r="D73" s="9" t="s">
        <v>1552</v>
      </c>
      <c r="E73" s="9" t="s">
        <v>1531</v>
      </c>
      <c r="F73" s="9" t="s">
        <v>1553</v>
      </c>
      <c r="G73" s="9" t="s">
        <v>1681</v>
      </c>
      <c r="H73" s="49">
        <v>1.0</v>
      </c>
      <c r="I73" s="9" t="s">
        <v>1646</v>
      </c>
    </row>
    <row r="74" ht="12.75" customHeight="1">
      <c r="A74" s="42" t="s">
        <v>1119</v>
      </c>
      <c r="B74" s="21">
        <v>46110.0</v>
      </c>
      <c r="C74" s="9" t="s">
        <v>1554</v>
      </c>
      <c r="D74" s="9" t="s">
        <v>1555</v>
      </c>
      <c r="E74" s="9" t="s">
        <v>1531</v>
      </c>
      <c r="F74" s="9" t="s">
        <v>1556</v>
      </c>
      <c r="G74" s="9" t="s">
        <v>1682</v>
      </c>
      <c r="H74" s="49">
        <v>0.25</v>
      </c>
      <c r="I74" s="9" t="s">
        <v>1626</v>
      </c>
    </row>
    <row r="75" ht="12.75" customHeight="1">
      <c r="A75" s="42" t="s">
        <v>1159</v>
      </c>
      <c r="B75" s="21">
        <v>46145.0</v>
      </c>
      <c r="C75" s="9" t="s">
        <v>1554</v>
      </c>
      <c r="D75" s="9" t="s">
        <v>1555</v>
      </c>
      <c r="E75" s="9" t="s">
        <v>1531</v>
      </c>
      <c r="F75" s="9" t="s">
        <v>1556</v>
      </c>
      <c r="G75" s="9" t="s">
        <v>1683</v>
      </c>
      <c r="H75" s="49">
        <v>1.0</v>
      </c>
      <c r="I75" s="9" t="s">
        <v>1646</v>
      </c>
    </row>
    <row r="76" ht="12.75" customHeight="1">
      <c r="A76" s="42" t="s">
        <v>1087</v>
      </c>
      <c r="B76" s="21">
        <v>46082.0</v>
      </c>
      <c r="C76" s="9" t="s">
        <v>1557</v>
      </c>
      <c r="D76" s="9" t="s">
        <v>1558</v>
      </c>
      <c r="E76" s="9" t="s">
        <v>1531</v>
      </c>
      <c r="F76" s="9" t="s">
        <v>1559</v>
      </c>
      <c r="G76" s="9" t="s">
        <v>1684</v>
      </c>
      <c r="H76" s="49">
        <v>0.25</v>
      </c>
      <c r="I76" s="9" t="s">
        <v>1626</v>
      </c>
    </row>
    <row r="77" ht="12.75" customHeight="1">
      <c r="A77" s="42" t="s">
        <v>1151</v>
      </c>
      <c r="B77" s="21">
        <v>46138.0</v>
      </c>
      <c r="C77" s="9" t="s">
        <v>1557</v>
      </c>
      <c r="D77" s="9" t="s">
        <v>1558</v>
      </c>
      <c r="E77" s="9" t="s">
        <v>1531</v>
      </c>
      <c r="F77" s="9" t="s">
        <v>1559</v>
      </c>
      <c r="G77" s="9" t="s">
        <v>1685</v>
      </c>
      <c r="H77" s="49">
        <v>0.75</v>
      </c>
      <c r="I77" s="9" t="s">
        <v>1628</v>
      </c>
    </row>
    <row r="78" ht="12.75" customHeight="1">
      <c r="A78" s="42" t="s">
        <v>1167</v>
      </c>
      <c r="B78" s="21">
        <v>46152.0</v>
      </c>
      <c r="C78" s="9" t="s">
        <v>1557</v>
      </c>
      <c r="D78" s="9" t="s">
        <v>1558</v>
      </c>
      <c r="E78" s="9" t="s">
        <v>1531</v>
      </c>
      <c r="F78" s="9" t="s">
        <v>1559</v>
      </c>
      <c r="G78" s="9" t="s">
        <v>1685</v>
      </c>
      <c r="H78" s="49">
        <v>0.75</v>
      </c>
      <c r="I78" s="9" t="s">
        <v>1628</v>
      </c>
    </row>
    <row r="79" ht="12.75" customHeight="1">
      <c r="A79" s="42" t="s">
        <v>1193</v>
      </c>
      <c r="B79" s="21">
        <v>46174.0</v>
      </c>
      <c r="C79" s="9" t="s">
        <v>1557</v>
      </c>
      <c r="D79" s="9" t="s">
        <v>1558</v>
      </c>
      <c r="E79" s="9" t="s">
        <v>1531</v>
      </c>
      <c r="F79" s="9" t="s">
        <v>1559</v>
      </c>
      <c r="G79" s="9" t="s">
        <v>1685</v>
      </c>
      <c r="H79" s="49">
        <v>0.75</v>
      </c>
      <c r="I79" s="9" t="s">
        <v>1628</v>
      </c>
    </row>
    <row r="80" ht="12.75" customHeight="1">
      <c r="A80" s="42" t="s">
        <v>1207</v>
      </c>
      <c r="B80" s="21">
        <v>46187.0</v>
      </c>
      <c r="C80" s="9" t="s">
        <v>1557</v>
      </c>
      <c r="D80" s="9" t="s">
        <v>1558</v>
      </c>
      <c r="E80" s="9" t="s">
        <v>1531</v>
      </c>
      <c r="F80" s="9" t="s">
        <v>1559</v>
      </c>
      <c r="G80" s="9" t="s">
        <v>1685</v>
      </c>
      <c r="H80" s="49">
        <v>0.75</v>
      </c>
      <c r="I80" s="9" t="s">
        <v>1628</v>
      </c>
    </row>
    <row r="81" ht="12.75" customHeight="1">
      <c r="A81" s="42" t="s">
        <v>1231</v>
      </c>
      <c r="B81" s="21">
        <v>46208.0</v>
      </c>
      <c r="C81" s="9" t="s">
        <v>1557</v>
      </c>
      <c r="D81" s="9" t="s">
        <v>1558</v>
      </c>
      <c r="E81" s="9" t="s">
        <v>1531</v>
      </c>
      <c r="F81" s="9" t="s">
        <v>1559</v>
      </c>
      <c r="G81" s="9" t="s">
        <v>1685</v>
      </c>
      <c r="H81" s="49">
        <v>0.75</v>
      </c>
      <c r="I81" s="9" t="s">
        <v>1628</v>
      </c>
    </row>
    <row r="82" ht="12.75" customHeight="1">
      <c r="A82" s="42" t="s">
        <v>1263</v>
      </c>
      <c r="B82" s="21">
        <v>46236.0</v>
      </c>
      <c r="C82" s="9" t="s">
        <v>1557</v>
      </c>
      <c r="D82" s="9" t="s">
        <v>1558</v>
      </c>
      <c r="E82" s="9" t="s">
        <v>1531</v>
      </c>
      <c r="F82" s="9" t="s">
        <v>1559</v>
      </c>
      <c r="G82" s="9" t="s">
        <v>1685</v>
      </c>
      <c r="H82" s="49">
        <v>0.75</v>
      </c>
      <c r="I82" s="9" t="s">
        <v>1628</v>
      </c>
    </row>
    <row r="83" ht="12.75" customHeight="1">
      <c r="A83" s="42" t="s">
        <v>1295</v>
      </c>
      <c r="B83" s="21">
        <v>46264.0</v>
      </c>
      <c r="C83" s="9" t="s">
        <v>1557</v>
      </c>
      <c r="D83" s="9" t="s">
        <v>1558</v>
      </c>
      <c r="E83" s="9" t="s">
        <v>1531</v>
      </c>
      <c r="F83" s="9" t="s">
        <v>1559</v>
      </c>
      <c r="G83" s="9" t="s">
        <v>1686</v>
      </c>
      <c r="H83" s="49">
        <v>1.0</v>
      </c>
      <c r="I83" s="9" t="s">
        <v>1646</v>
      </c>
    </row>
    <row r="84" ht="12.75" customHeight="1">
      <c r="A84" s="42" t="s">
        <v>1319</v>
      </c>
      <c r="B84" s="21">
        <v>46285.0</v>
      </c>
      <c r="C84" s="9" t="s">
        <v>1557</v>
      </c>
      <c r="D84" s="9" t="s">
        <v>1558</v>
      </c>
      <c r="E84" s="9" t="s">
        <v>1531</v>
      </c>
      <c r="F84" s="9" t="s">
        <v>1559</v>
      </c>
      <c r="G84" s="9" t="s">
        <v>1685</v>
      </c>
      <c r="H84" s="49">
        <v>0.75</v>
      </c>
      <c r="I84" s="9" t="s">
        <v>1628</v>
      </c>
    </row>
    <row r="85" ht="12.75" customHeight="1">
      <c r="A85" s="42" t="s">
        <v>1351</v>
      </c>
      <c r="B85" s="21">
        <v>46313.0</v>
      </c>
      <c r="C85" s="9" t="s">
        <v>1557</v>
      </c>
      <c r="D85" s="9" t="s">
        <v>1558</v>
      </c>
      <c r="E85" s="9" t="s">
        <v>1531</v>
      </c>
      <c r="F85" s="9" t="s">
        <v>1559</v>
      </c>
      <c r="G85" s="9" t="s">
        <v>1685</v>
      </c>
      <c r="H85" s="49">
        <v>0.75</v>
      </c>
      <c r="I85" s="9" t="s">
        <v>1628</v>
      </c>
    </row>
    <row r="86" ht="12.75" customHeight="1">
      <c r="A86" s="42" t="s">
        <v>1383</v>
      </c>
      <c r="B86" s="21">
        <v>46341.0</v>
      </c>
      <c r="C86" s="9" t="s">
        <v>1557</v>
      </c>
      <c r="D86" s="9" t="s">
        <v>1558</v>
      </c>
      <c r="E86" s="9" t="s">
        <v>1531</v>
      </c>
      <c r="F86" s="9" t="s">
        <v>1559</v>
      </c>
      <c r="G86" s="9" t="s">
        <v>1685</v>
      </c>
      <c r="H86" s="49">
        <v>0.75</v>
      </c>
      <c r="I86" s="9" t="s">
        <v>1628</v>
      </c>
    </row>
    <row r="87" ht="12.75" customHeight="1">
      <c r="A87" s="42" t="s">
        <v>1415</v>
      </c>
      <c r="B87" s="21">
        <v>46369.0</v>
      </c>
      <c r="C87" s="9" t="s">
        <v>1557</v>
      </c>
      <c r="D87" s="9" t="s">
        <v>1558</v>
      </c>
      <c r="E87" s="9" t="s">
        <v>1531</v>
      </c>
      <c r="F87" s="9" t="s">
        <v>1559</v>
      </c>
      <c r="G87" s="9" t="s">
        <v>1685</v>
      </c>
      <c r="H87" s="49">
        <v>0.75</v>
      </c>
      <c r="I87" s="9" t="s">
        <v>1628</v>
      </c>
    </row>
    <row r="88" ht="12.75" customHeight="1">
      <c r="A88" s="42" t="s">
        <v>1159</v>
      </c>
      <c r="B88" s="21">
        <v>46145.0</v>
      </c>
      <c r="C88" s="9" t="s">
        <v>1560</v>
      </c>
      <c r="D88" s="9" t="s">
        <v>1561</v>
      </c>
      <c r="E88" s="9" t="s">
        <v>1531</v>
      </c>
      <c r="F88" s="9" t="s">
        <v>144</v>
      </c>
      <c r="G88" s="9" t="s">
        <v>1687</v>
      </c>
      <c r="H88" s="49">
        <v>0.25</v>
      </c>
      <c r="I88" s="9" t="s">
        <v>1626</v>
      </c>
    </row>
    <row r="89" ht="12.75" customHeight="1">
      <c r="A89" s="42" t="s">
        <v>1279</v>
      </c>
      <c r="B89" s="21">
        <v>46250.0</v>
      </c>
      <c r="C89" s="9" t="s">
        <v>1560</v>
      </c>
      <c r="D89" s="9" t="s">
        <v>1561</v>
      </c>
      <c r="E89" s="9" t="s">
        <v>1531</v>
      </c>
      <c r="F89" s="9" t="s">
        <v>144</v>
      </c>
      <c r="G89" s="9" t="s">
        <v>1658</v>
      </c>
      <c r="H89" s="49">
        <v>0.25</v>
      </c>
      <c r="I89" s="9" t="s">
        <v>1626</v>
      </c>
    </row>
    <row r="90" ht="12.75" customHeight="1">
      <c r="A90" s="42" t="s">
        <v>1119</v>
      </c>
      <c r="B90" s="21">
        <v>46110.0</v>
      </c>
      <c r="C90" s="9" t="s">
        <v>1562</v>
      </c>
      <c r="D90" s="9" t="s">
        <v>1563</v>
      </c>
      <c r="E90" s="9" t="s">
        <v>1531</v>
      </c>
      <c r="F90" s="9" t="s">
        <v>144</v>
      </c>
      <c r="G90" s="9" t="s">
        <v>1656</v>
      </c>
      <c r="H90" s="49">
        <v>0.75</v>
      </c>
      <c r="I90" s="9" t="s">
        <v>1628</v>
      </c>
    </row>
    <row r="91" ht="12.75" customHeight="1">
      <c r="A91" s="42" t="s">
        <v>1183</v>
      </c>
      <c r="B91" s="21">
        <v>46166.0</v>
      </c>
      <c r="C91" s="9" t="s">
        <v>1562</v>
      </c>
      <c r="D91" s="9" t="s">
        <v>1563</v>
      </c>
      <c r="E91" s="9" t="s">
        <v>1531</v>
      </c>
      <c r="F91" s="9" t="s">
        <v>144</v>
      </c>
      <c r="G91" s="9" t="s">
        <v>1688</v>
      </c>
      <c r="H91" s="49">
        <v>0.25</v>
      </c>
      <c r="I91" s="9" t="s">
        <v>1626</v>
      </c>
    </row>
    <row r="92" ht="12.75" customHeight="1">
      <c r="A92" s="42" t="s">
        <v>1087</v>
      </c>
      <c r="B92" s="21">
        <v>46082.0</v>
      </c>
      <c r="C92" s="9" t="s">
        <v>1564</v>
      </c>
      <c r="D92" s="9" t="s">
        <v>1565</v>
      </c>
      <c r="E92" s="9" t="s">
        <v>1531</v>
      </c>
      <c r="F92" s="9" t="s">
        <v>1511</v>
      </c>
      <c r="G92" s="9" t="s">
        <v>1659</v>
      </c>
      <c r="H92" s="49">
        <v>0.25</v>
      </c>
      <c r="I92" s="9" t="s">
        <v>1626</v>
      </c>
    </row>
    <row r="93" ht="12.75" customHeight="1">
      <c r="A93" s="42" t="s">
        <v>1119</v>
      </c>
      <c r="B93" s="21">
        <v>46110.0</v>
      </c>
      <c r="C93" s="9" t="s">
        <v>1564</v>
      </c>
      <c r="D93" s="9" t="s">
        <v>1565</v>
      </c>
      <c r="E93" s="9" t="s">
        <v>1531</v>
      </c>
      <c r="F93" s="9" t="s">
        <v>1511</v>
      </c>
      <c r="G93" s="9" t="s">
        <v>1659</v>
      </c>
      <c r="H93" s="49">
        <v>0.25</v>
      </c>
      <c r="I93" s="9" t="s">
        <v>1626</v>
      </c>
    </row>
    <row r="94" ht="12.75" customHeight="1">
      <c r="A94" s="42" t="s">
        <v>1175</v>
      </c>
      <c r="B94" s="21">
        <v>46159.0</v>
      </c>
      <c r="C94" s="9" t="s">
        <v>1564</v>
      </c>
      <c r="D94" s="9" t="s">
        <v>1565</v>
      </c>
      <c r="E94" s="9" t="s">
        <v>1531</v>
      </c>
      <c r="F94" s="9" t="s">
        <v>1511</v>
      </c>
      <c r="G94" s="9" t="s">
        <v>1660</v>
      </c>
      <c r="H94" s="49">
        <v>0.25</v>
      </c>
      <c r="I94" s="9" t="s">
        <v>1626</v>
      </c>
    </row>
    <row r="95" ht="12.75" customHeight="1">
      <c r="A95" s="42" t="s">
        <v>1193</v>
      </c>
      <c r="B95" s="21">
        <v>46174.0</v>
      </c>
      <c r="C95" s="9" t="s">
        <v>1564</v>
      </c>
      <c r="D95" s="9" t="s">
        <v>1565</v>
      </c>
      <c r="E95" s="9" t="s">
        <v>1531</v>
      </c>
      <c r="F95" s="9" t="s">
        <v>1511</v>
      </c>
      <c r="G95" s="9" t="s">
        <v>1662</v>
      </c>
      <c r="H95" s="49">
        <v>0.75</v>
      </c>
      <c r="I95" s="9" t="s">
        <v>1628</v>
      </c>
    </row>
    <row r="96" ht="12.75" customHeight="1">
      <c r="A96" s="42" t="s">
        <v>1223</v>
      </c>
      <c r="B96" s="21">
        <v>46201.0</v>
      </c>
      <c r="C96" s="9" t="s">
        <v>1564</v>
      </c>
      <c r="D96" s="9" t="s">
        <v>1565</v>
      </c>
      <c r="E96" s="9" t="s">
        <v>1531</v>
      </c>
      <c r="F96" s="9" t="s">
        <v>1511</v>
      </c>
      <c r="G96" s="9" t="s">
        <v>1663</v>
      </c>
      <c r="H96" s="49">
        <v>0.75</v>
      </c>
      <c r="I96" s="9" t="s">
        <v>1628</v>
      </c>
    </row>
    <row r="97" ht="12.75" customHeight="1">
      <c r="A97" s="42" t="s">
        <v>1231</v>
      </c>
      <c r="B97" s="21">
        <v>46208.0</v>
      </c>
      <c r="C97" s="9" t="s">
        <v>1564</v>
      </c>
      <c r="D97" s="9" t="s">
        <v>1565</v>
      </c>
      <c r="E97" s="9" t="s">
        <v>1531</v>
      </c>
      <c r="F97" s="9" t="s">
        <v>1511</v>
      </c>
      <c r="G97" s="9" t="s">
        <v>1664</v>
      </c>
      <c r="H97" s="49">
        <v>0.75</v>
      </c>
      <c r="I97" s="9" t="s">
        <v>1628</v>
      </c>
    </row>
    <row r="98" ht="12.75" customHeight="1">
      <c r="A98" s="42" t="s">
        <v>1255</v>
      </c>
      <c r="B98" s="21">
        <v>46229.0</v>
      </c>
      <c r="C98" s="9" t="s">
        <v>1564</v>
      </c>
      <c r="D98" s="9" t="s">
        <v>1565</v>
      </c>
      <c r="E98" s="9" t="s">
        <v>1531</v>
      </c>
      <c r="F98" s="9" t="s">
        <v>1511</v>
      </c>
      <c r="G98" s="9" t="s">
        <v>1665</v>
      </c>
      <c r="H98" s="49">
        <v>0.75</v>
      </c>
      <c r="I98" s="9" t="s">
        <v>1628</v>
      </c>
    </row>
    <row r="99" ht="12.75" customHeight="1">
      <c r="A99" s="42" t="s">
        <v>1303</v>
      </c>
      <c r="B99" s="21">
        <v>46271.0</v>
      </c>
      <c r="C99" s="9" t="s">
        <v>1564</v>
      </c>
      <c r="D99" s="9" t="s">
        <v>1565</v>
      </c>
      <c r="E99" s="9" t="s">
        <v>1531</v>
      </c>
      <c r="F99" s="9" t="s">
        <v>1511</v>
      </c>
      <c r="G99" s="9" t="s">
        <v>1666</v>
      </c>
      <c r="H99" s="49">
        <v>0.25</v>
      </c>
      <c r="I99" s="9" t="s">
        <v>1626</v>
      </c>
    </row>
    <row r="100" ht="12.75" customHeight="1">
      <c r="A100" s="42" t="s">
        <v>1319</v>
      </c>
      <c r="B100" s="21">
        <v>46285.0</v>
      </c>
      <c r="C100" s="9" t="s">
        <v>1566</v>
      </c>
      <c r="D100" s="9" t="s">
        <v>1567</v>
      </c>
      <c r="E100" s="9" t="s">
        <v>1531</v>
      </c>
      <c r="F100" s="9" t="s">
        <v>1511</v>
      </c>
      <c r="G100" s="9" t="s">
        <v>1689</v>
      </c>
      <c r="H100" s="49">
        <v>1.0</v>
      </c>
      <c r="I100" s="9" t="s">
        <v>1646</v>
      </c>
    </row>
    <row r="101" ht="12.75" customHeight="1">
      <c r="A101" s="42" t="s">
        <v>1295</v>
      </c>
      <c r="B101" s="21">
        <v>46264.0</v>
      </c>
      <c r="C101" s="9" t="s">
        <v>1568</v>
      </c>
      <c r="D101" s="9" t="s">
        <v>1569</v>
      </c>
      <c r="E101" s="9" t="s">
        <v>1531</v>
      </c>
      <c r="F101" s="9" t="s">
        <v>144</v>
      </c>
      <c r="G101" s="9" t="s">
        <v>1690</v>
      </c>
      <c r="H101" s="49">
        <v>1.0</v>
      </c>
      <c r="I101" s="9" t="s">
        <v>1646</v>
      </c>
    </row>
    <row r="102" ht="12.75" customHeight="1">
      <c r="A102" s="42" t="s">
        <v>1143</v>
      </c>
      <c r="B102" s="21">
        <v>46131.0</v>
      </c>
      <c r="C102" s="9" t="s">
        <v>1570</v>
      </c>
      <c r="D102" s="9" t="s">
        <v>1571</v>
      </c>
      <c r="E102" s="9" t="s">
        <v>1531</v>
      </c>
      <c r="F102" s="9" t="s">
        <v>144</v>
      </c>
      <c r="G102" s="9" t="s">
        <v>1691</v>
      </c>
      <c r="H102" s="49">
        <v>0.25</v>
      </c>
      <c r="I102" s="9" t="s">
        <v>1626</v>
      </c>
    </row>
    <row r="103" ht="12.75" customHeight="1">
      <c r="A103" s="42" t="s">
        <v>1311</v>
      </c>
      <c r="B103" s="21">
        <v>46278.0</v>
      </c>
      <c r="C103" s="9" t="s">
        <v>1570</v>
      </c>
      <c r="D103" s="9" t="s">
        <v>1571</v>
      </c>
      <c r="E103" s="9" t="s">
        <v>1531</v>
      </c>
      <c r="F103" s="9" t="s">
        <v>144</v>
      </c>
      <c r="G103" s="9" t="s">
        <v>1691</v>
      </c>
      <c r="H103" s="49">
        <v>0.25</v>
      </c>
      <c r="I103" s="9" t="s">
        <v>1626</v>
      </c>
    </row>
    <row r="104" ht="12.75" customHeight="1">
      <c r="A104" s="42" t="s">
        <v>1087</v>
      </c>
      <c r="B104" s="21">
        <v>46082.0</v>
      </c>
      <c r="C104" s="9" t="s">
        <v>1589</v>
      </c>
      <c r="D104" s="9" t="s">
        <v>1590</v>
      </c>
      <c r="E104" s="9" t="s">
        <v>1573</v>
      </c>
      <c r="F104" s="9" t="s">
        <v>1575</v>
      </c>
      <c r="G104" s="9" t="s">
        <v>1692</v>
      </c>
      <c r="H104" s="49">
        <v>1.0</v>
      </c>
      <c r="I104" s="9" t="s">
        <v>1646</v>
      </c>
    </row>
    <row r="105" ht="12.75" customHeight="1">
      <c r="A105" s="42" t="s">
        <v>1127</v>
      </c>
      <c r="B105" s="21">
        <v>46117.0</v>
      </c>
      <c r="C105" s="9" t="s">
        <v>1589</v>
      </c>
      <c r="D105" s="9" t="s">
        <v>1590</v>
      </c>
      <c r="E105" s="9" t="s">
        <v>1573</v>
      </c>
      <c r="F105" s="9" t="s">
        <v>1575</v>
      </c>
      <c r="G105" s="9" t="s">
        <v>1693</v>
      </c>
      <c r="H105" s="49">
        <v>0.25</v>
      </c>
      <c r="I105" s="9" t="s">
        <v>1626</v>
      </c>
    </row>
    <row r="106" ht="12.75" customHeight="1">
      <c r="A106" s="42" t="s">
        <v>1159</v>
      </c>
      <c r="B106" s="21">
        <v>46145.0</v>
      </c>
      <c r="C106" s="9" t="s">
        <v>1589</v>
      </c>
      <c r="D106" s="9" t="s">
        <v>1590</v>
      </c>
      <c r="E106" s="9" t="s">
        <v>1573</v>
      </c>
      <c r="F106" s="9" t="s">
        <v>1575</v>
      </c>
      <c r="G106" s="9" t="s">
        <v>1694</v>
      </c>
      <c r="H106" s="49">
        <v>0.25</v>
      </c>
      <c r="I106" s="9" t="s">
        <v>1626</v>
      </c>
    </row>
    <row r="107" ht="12.75" customHeight="1">
      <c r="A107" s="42" t="s">
        <v>1193</v>
      </c>
      <c r="B107" s="21">
        <v>46174.0</v>
      </c>
      <c r="C107" s="9" t="s">
        <v>1589</v>
      </c>
      <c r="D107" s="9" t="s">
        <v>1590</v>
      </c>
      <c r="E107" s="9" t="s">
        <v>1573</v>
      </c>
      <c r="F107" s="9" t="s">
        <v>1575</v>
      </c>
      <c r="G107" s="9" t="s">
        <v>1695</v>
      </c>
      <c r="H107" s="49">
        <v>1.0</v>
      </c>
      <c r="I107" s="9" t="s">
        <v>1646</v>
      </c>
    </row>
    <row r="108" ht="12.75" customHeight="1">
      <c r="A108" s="42" t="s">
        <v>1295</v>
      </c>
      <c r="B108" s="21">
        <v>46264.0</v>
      </c>
      <c r="C108" s="9" t="s">
        <v>1589</v>
      </c>
      <c r="D108" s="9" t="s">
        <v>1590</v>
      </c>
      <c r="E108" s="9" t="s">
        <v>1573</v>
      </c>
      <c r="F108" s="9" t="s">
        <v>1575</v>
      </c>
      <c r="G108" s="9" t="s">
        <v>1696</v>
      </c>
      <c r="H108" s="49">
        <v>0.5</v>
      </c>
      <c r="I108" s="9" t="s">
        <v>1630</v>
      </c>
    </row>
    <row r="109" ht="12.75" customHeight="1">
      <c r="A109" s="42" t="s">
        <v>1335</v>
      </c>
      <c r="B109" s="21">
        <v>46299.0</v>
      </c>
      <c r="C109" s="9" t="s">
        <v>1589</v>
      </c>
      <c r="D109" s="9" t="s">
        <v>1590</v>
      </c>
      <c r="E109" s="9" t="s">
        <v>1573</v>
      </c>
      <c r="F109" s="9" t="s">
        <v>1575</v>
      </c>
      <c r="G109" s="9" t="s">
        <v>1697</v>
      </c>
      <c r="H109" s="49">
        <v>0.25</v>
      </c>
      <c r="I109" s="9" t="s">
        <v>1626</v>
      </c>
    </row>
    <row r="110" ht="12.75" customHeight="1">
      <c r="A110" s="42" t="s">
        <v>1367</v>
      </c>
      <c r="B110" s="21">
        <v>46327.0</v>
      </c>
      <c r="C110" s="9" t="s">
        <v>1589</v>
      </c>
      <c r="D110" s="9" t="s">
        <v>1590</v>
      </c>
      <c r="E110" s="9" t="s">
        <v>1573</v>
      </c>
      <c r="F110" s="9" t="s">
        <v>1575</v>
      </c>
      <c r="G110" s="9" t="s">
        <v>1698</v>
      </c>
      <c r="H110" s="49">
        <v>0.5</v>
      </c>
      <c r="I110" s="9" t="s">
        <v>1630</v>
      </c>
    </row>
    <row r="111" ht="12.75" customHeight="1">
      <c r="A111" s="42" t="s">
        <v>1407</v>
      </c>
      <c r="B111" s="21">
        <v>46362.0</v>
      </c>
      <c r="C111" s="9" t="s">
        <v>1589</v>
      </c>
      <c r="D111" s="9" t="s">
        <v>1590</v>
      </c>
      <c r="E111" s="9" t="s">
        <v>1573</v>
      </c>
      <c r="F111" s="9" t="s">
        <v>1575</v>
      </c>
      <c r="G111" s="9" t="s">
        <v>1699</v>
      </c>
      <c r="H111" s="49">
        <v>1.0</v>
      </c>
      <c r="I111" s="9" t="s">
        <v>1646</v>
      </c>
    </row>
    <row r="112" ht="12.75" customHeight="1">
      <c r="A112" s="20"/>
      <c r="B112" s="21"/>
      <c r="H112" s="49"/>
    </row>
    <row r="113" ht="12.75" customHeight="1">
      <c r="A113" s="20"/>
      <c r="B113" s="21"/>
      <c r="H113" s="49"/>
    </row>
    <row r="114" ht="12.75" customHeight="1">
      <c r="A114" s="20"/>
      <c r="B114" s="21"/>
      <c r="H114" s="49"/>
    </row>
    <row r="115" ht="12.75" customHeight="1">
      <c r="A115" s="20"/>
      <c r="B115" s="21"/>
      <c r="H115" s="49"/>
    </row>
    <row r="116" ht="12.75" customHeight="1">
      <c r="A116" s="20"/>
      <c r="B116" s="21"/>
      <c r="H116" s="49"/>
    </row>
    <row r="117" ht="12.75" customHeight="1">
      <c r="A117" s="20"/>
      <c r="B117" s="21"/>
      <c r="H117" s="49"/>
    </row>
    <row r="118" ht="12.75" customHeight="1">
      <c r="A118" s="20"/>
      <c r="B118" s="21"/>
      <c r="H118" s="49"/>
    </row>
    <row r="119" ht="12.75" customHeight="1">
      <c r="A119" s="20"/>
      <c r="B119" s="21"/>
      <c r="H119" s="49"/>
    </row>
    <row r="120" ht="12.75" customHeight="1">
      <c r="A120" s="20"/>
      <c r="B120" s="21"/>
      <c r="H120" s="49"/>
    </row>
    <row r="121" ht="12.75" customHeight="1">
      <c r="A121" s="20"/>
      <c r="B121" s="21"/>
      <c r="H121" s="49"/>
    </row>
    <row r="122" ht="12.75" customHeight="1">
      <c r="A122" s="20"/>
      <c r="B122" s="21"/>
      <c r="H122" s="49"/>
    </row>
    <row r="123" ht="12.75" customHeight="1">
      <c r="A123" s="20"/>
      <c r="B123" s="21"/>
      <c r="H123" s="49"/>
    </row>
    <row r="124" ht="12.75" customHeight="1">
      <c r="A124" s="20"/>
      <c r="B124" s="21"/>
      <c r="H124" s="49"/>
    </row>
    <row r="125" ht="12.75" customHeight="1">
      <c r="A125" s="20"/>
      <c r="B125" s="21"/>
      <c r="H125" s="49"/>
    </row>
    <row r="126" ht="12.75" customHeight="1">
      <c r="A126" s="20"/>
      <c r="B126" s="21"/>
      <c r="H126" s="49"/>
    </row>
    <row r="127" ht="12.75" customHeight="1">
      <c r="A127" s="20"/>
      <c r="B127" s="21"/>
      <c r="H127" s="49"/>
    </row>
    <row r="128" ht="12.75" customHeight="1">
      <c r="A128" s="20"/>
      <c r="B128" s="21"/>
      <c r="H128" s="49"/>
    </row>
    <row r="129" ht="12.75" customHeight="1">
      <c r="A129" s="20"/>
      <c r="B129" s="21"/>
      <c r="H129" s="49"/>
    </row>
    <row r="130" ht="12.75" customHeight="1">
      <c r="A130" s="20"/>
      <c r="B130" s="21"/>
      <c r="H130" s="49"/>
    </row>
    <row r="131" ht="12.75" customHeight="1">
      <c r="A131" s="20"/>
      <c r="B131" s="21"/>
      <c r="H131" s="49"/>
    </row>
    <row r="132" ht="12.75" customHeight="1">
      <c r="A132" s="20"/>
      <c r="B132" s="21"/>
      <c r="H132" s="49"/>
    </row>
    <row r="133" ht="12.75" customHeight="1">
      <c r="A133" s="20"/>
      <c r="B133" s="21"/>
      <c r="H133" s="49"/>
    </row>
    <row r="134" ht="12.75" customHeight="1">
      <c r="A134" s="20"/>
      <c r="B134" s="21"/>
      <c r="H134" s="49"/>
    </row>
    <row r="135" ht="12.75" customHeight="1">
      <c r="A135" s="20"/>
      <c r="B135" s="21"/>
      <c r="H135" s="49"/>
    </row>
    <row r="136" ht="12.75" customHeight="1">
      <c r="A136" s="20"/>
      <c r="B136" s="21"/>
      <c r="H136" s="49"/>
    </row>
    <row r="137" ht="12.75" customHeight="1">
      <c r="A137" s="20"/>
      <c r="B137" s="21"/>
      <c r="H137" s="49"/>
    </row>
    <row r="138" ht="12.75" customHeight="1">
      <c r="A138" s="20"/>
      <c r="B138" s="21"/>
      <c r="H138" s="49"/>
    </row>
    <row r="139" ht="12.75" customHeight="1">
      <c r="A139" s="20"/>
      <c r="B139" s="21"/>
      <c r="H139" s="49"/>
    </row>
    <row r="140" ht="12.75" customHeight="1">
      <c r="A140" s="20"/>
      <c r="B140" s="21"/>
      <c r="H140" s="49"/>
    </row>
    <row r="141" ht="12.75" customHeight="1">
      <c r="A141" s="20"/>
      <c r="B141" s="21"/>
      <c r="H141" s="49"/>
    </row>
    <row r="142" ht="12.75" customHeight="1">
      <c r="A142" s="20"/>
      <c r="B142" s="21"/>
      <c r="H142" s="49"/>
    </row>
    <row r="143" ht="12.75" customHeight="1">
      <c r="A143" s="20"/>
      <c r="B143" s="21"/>
      <c r="H143" s="49"/>
    </row>
    <row r="144" ht="12.75" customHeight="1">
      <c r="A144" s="20"/>
      <c r="B144" s="21"/>
      <c r="H144" s="49"/>
    </row>
    <row r="145" ht="12.75" customHeight="1">
      <c r="A145" s="20"/>
      <c r="B145" s="21"/>
      <c r="H145" s="49"/>
    </row>
    <row r="146" ht="12.75" customHeight="1">
      <c r="A146" s="20"/>
      <c r="B146" s="21"/>
      <c r="H146" s="49"/>
    </row>
    <row r="147" ht="12.75" customHeight="1">
      <c r="A147" s="20"/>
      <c r="B147" s="21"/>
      <c r="H147" s="49"/>
    </row>
    <row r="148" ht="12.75" customHeight="1">
      <c r="A148" s="20"/>
      <c r="B148" s="21"/>
      <c r="H148" s="49"/>
    </row>
    <row r="149" ht="12.75" customHeight="1">
      <c r="A149" s="20"/>
      <c r="B149" s="21"/>
      <c r="H149" s="49"/>
    </row>
    <row r="150" ht="12.75" customHeight="1">
      <c r="A150" s="20"/>
      <c r="B150" s="21"/>
      <c r="H150" s="49"/>
    </row>
    <row r="151" ht="12.75" customHeight="1">
      <c r="A151" s="20"/>
      <c r="B151" s="21"/>
      <c r="H151" s="49"/>
    </row>
    <row r="152" ht="12.75" customHeight="1">
      <c r="A152" s="20"/>
      <c r="B152" s="21"/>
      <c r="H152" s="49"/>
    </row>
    <row r="153" ht="12.75" customHeight="1">
      <c r="A153" s="20"/>
      <c r="B153" s="21"/>
      <c r="H153" s="49"/>
    </row>
    <row r="154" ht="12.75" customHeight="1">
      <c r="A154" s="20"/>
      <c r="B154" s="21"/>
      <c r="H154" s="49"/>
    </row>
    <row r="155" ht="12.75" customHeight="1">
      <c r="A155" s="20"/>
      <c r="B155" s="21"/>
      <c r="H155" s="49"/>
    </row>
    <row r="156" ht="12.75" customHeight="1">
      <c r="A156" s="20"/>
      <c r="B156" s="21"/>
      <c r="H156" s="49"/>
    </row>
    <row r="157" ht="12.75" customHeight="1">
      <c r="A157" s="20"/>
      <c r="B157" s="21"/>
      <c r="H157" s="49"/>
    </row>
    <row r="158" ht="12.75" customHeight="1">
      <c r="A158" s="20"/>
      <c r="B158" s="21"/>
      <c r="H158" s="49"/>
    </row>
    <row r="159" ht="12.75" customHeight="1">
      <c r="A159" s="20"/>
      <c r="B159" s="21"/>
      <c r="H159" s="49"/>
    </row>
    <row r="160" ht="12.75" customHeight="1">
      <c r="A160" s="20"/>
      <c r="B160" s="21"/>
      <c r="H160" s="49"/>
    </row>
    <row r="161" ht="12.75" customHeight="1">
      <c r="A161" s="20"/>
      <c r="B161" s="21"/>
      <c r="H161" s="49"/>
    </row>
    <row r="162" ht="12.75" customHeight="1">
      <c r="A162" s="20"/>
      <c r="B162" s="21"/>
      <c r="H162" s="49"/>
    </row>
    <row r="163" ht="12.75" customHeight="1">
      <c r="A163" s="20"/>
      <c r="B163" s="21"/>
      <c r="H163" s="49"/>
    </row>
    <row r="164" ht="12.75" customHeight="1">
      <c r="A164" s="20"/>
      <c r="B164" s="21"/>
      <c r="H164" s="49"/>
    </row>
    <row r="165" ht="12.75" customHeight="1">
      <c r="A165" s="20"/>
      <c r="B165" s="21"/>
      <c r="H165" s="49"/>
    </row>
    <row r="166" ht="12.75" customHeight="1">
      <c r="A166" s="20"/>
      <c r="B166" s="21"/>
      <c r="H166" s="49"/>
    </row>
    <row r="167" ht="12.75" customHeight="1">
      <c r="A167" s="20"/>
      <c r="B167" s="21"/>
      <c r="H167" s="49"/>
    </row>
    <row r="168" ht="12.75" customHeight="1">
      <c r="A168" s="20"/>
      <c r="B168" s="21"/>
      <c r="H168" s="49"/>
    </row>
    <row r="169" ht="12.75" customHeight="1">
      <c r="A169" s="20"/>
      <c r="B169" s="21"/>
      <c r="H169" s="49"/>
    </row>
    <row r="170" ht="12.75" customHeight="1">
      <c r="A170" s="20"/>
      <c r="B170" s="21"/>
      <c r="H170" s="49"/>
    </row>
    <row r="171" ht="12.75" customHeight="1">
      <c r="A171" s="20"/>
      <c r="B171" s="21"/>
      <c r="H171" s="49"/>
    </row>
    <row r="172" ht="12.75" customHeight="1">
      <c r="A172" s="20"/>
      <c r="B172" s="21"/>
      <c r="H172" s="49"/>
    </row>
    <row r="173" ht="12.75" customHeight="1">
      <c r="A173" s="20"/>
      <c r="B173" s="21"/>
      <c r="H173" s="49"/>
    </row>
    <row r="174" ht="12.75" customHeight="1">
      <c r="A174" s="20"/>
      <c r="B174" s="21"/>
      <c r="H174" s="49"/>
    </row>
    <row r="175" ht="12.75" customHeight="1">
      <c r="A175" s="20"/>
      <c r="B175" s="21"/>
      <c r="H175" s="49"/>
    </row>
    <row r="176" ht="12.75" customHeight="1">
      <c r="A176" s="20"/>
      <c r="B176" s="21"/>
      <c r="H176" s="49"/>
    </row>
    <row r="177" ht="12.75" customHeight="1">
      <c r="A177" s="20"/>
      <c r="B177" s="21"/>
      <c r="H177" s="49"/>
    </row>
    <row r="178" ht="12.75" customHeight="1">
      <c r="A178" s="20"/>
      <c r="B178" s="21"/>
      <c r="H178" s="49"/>
    </row>
    <row r="179" ht="12.75" customHeight="1">
      <c r="A179" s="20"/>
      <c r="B179" s="21"/>
      <c r="H179" s="49"/>
    </row>
    <row r="180" ht="12.75" customHeight="1">
      <c r="A180" s="20"/>
      <c r="B180" s="21"/>
      <c r="H180" s="49"/>
    </row>
    <row r="181" ht="12.75" customHeight="1">
      <c r="A181" s="20"/>
      <c r="B181" s="21"/>
      <c r="H181" s="49"/>
    </row>
    <row r="182" ht="12.75" customHeight="1">
      <c r="A182" s="20"/>
      <c r="B182" s="21"/>
      <c r="H182" s="49"/>
    </row>
    <row r="183" ht="12.75" customHeight="1">
      <c r="A183" s="20"/>
      <c r="B183" s="21"/>
      <c r="H183" s="49"/>
    </row>
    <row r="184" ht="12.75" customHeight="1">
      <c r="A184" s="20"/>
      <c r="B184" s="21"/>
      <c r="H184" s="49"/>
    </row>
    <row r="185" ht="12.75" customHeight="1">
      <c r="A185" s="20"/>
      <c r="B185" s="21"/>
      <c r="H185" s="49"/>
    </row>
    <row r="186" ht="12.75" customHeight="1">
      <c r="A186" s="20"/>
      <c r="B186" s="21"/>
      <c r="H186" s="49"/>
    </row>
    <row r="187" ht="12.75" customHeight="1">
      <c r="A187" s="20"/>
      <c r="B187" s="21"/>
      <c r="H187" s="49"/>
    </row>
    <row r="188" ht="12.75" customHeight="1">
      <c r="A188" s="20"/>
      <c r="B188" s="21"/>
      <c r="H188" s="49"/>
    </row>
    <row r="189" ht="12.75" customHeight="1">
      <c r="A189" s="20"/>
      <c r="B189" s="21"/>
      <c r="H189" s="49"/>
    </row>
    <row r="190" ht="12.75" customHeight="1">
      <c r="A190" s="20"/>
      <c r="B190" s="21"/>
      <c r="H190" s="49"/>
    </row>
    <row r="191" ht="12.75" customHeight="1">
      <c r="A191" s="20"/>
      <c r="B191" s="21"/>
      <c r="H191" s="49"/>
    </row>
    <row r="192" ht="12.75" customHeight="1">
      <c r="A192" s="20"/>
      <c r="B192" s="21"/>
      <c r="H192" s="49"/>
    </row>
    <row r="193" ht="12.75" customHeight="1">
      <c r="A193" s="20"/>
      <c r="B193" s="21"/>
      <c r="H193" s="49"/>
    </row>
    <row r="194" ht="12.75" customHeight="1">
      <c r="A194" s="20"/>
      <c r="B194" s="21"/>
      <c r="H194" s="49"/>
    </row>
    <row r="195" ht="12.75" customHeight="1">
      <c r="A195" s="20"/>
      <c r="B195" s="21"/>
      <c r="H195" s="49"/>
    </row>
    <row r="196" ht="12.75" customHeight="1">
      <c r="A196" s="20"/>
      <c r="B196" s="21"/>
      <c r="H196" s="49"/>
    </row>
    <row r="197" ht="12.75" customHeight="1">
      <c r="A197" s="20"/>
      <c r="B197" s="21"/>
      <c r="H197" s="49"/>
    </row>
    <row r="198" ht="12.75" customHeight="1">
      <c r="A198" s="20"/>
      <c r="B198" s="21"/>
      <c r="H198" s="49"/>
    </row>
    <row r="199" ht="12.75" customHeight="1">
      <c r="A199" s="20"/>
      <c r="B199" s="21"/>
      <c r="H199" s="49"/>
    </row>
    <row r="200" ht="12.75" customHeight="1">
      <c r="A200" s="20"/>
      <c r="B200" s="21"/>
      <c r="H200" s="49"/>
    </row>
    <row r="201" ht="12.75" customHeight="1">
      <c r="A201" s="20"/>
      <c r="B201" s="21"/>
      <c r="H201" s="49"/>
    </row>
    <row r="202" ht="12.75" customHeight="1">
      <c r="A202" s="20"/>
      <c r="B202" s="21"/>
      <c r="H202" s="49"/>
    </row>
    <row r="203" ht="12.75" customHeight="1">
      <c r="A203" s="20"/>
      <c r="B203" s="21"/>
      <c r="H203" s="49"/>
    </row>
    <row r="204" ht="12.75" customHeight="1">
      <c r="A204" s="20"/>
      <c r="B204" s="21"/>
      <c r="H204" s="49"/>
    </row>
    <row r="205" ht="12.75" customHeight="1">
      <c r="A205" s="20"/>
      <c r="B205" s="21"/>
      <c r="H205" s="49"/>
    </row>
    <row r="206" ht="12.75" customHeight="1">
      <c r="A206" s="20"/>
      <c r="B206" s="21"/>
      <c r="H206" s="49"/>
    </row>
    <row r="207" ht="12.75" customHeight="1">
      <c r="A207" s="20"/>
      <c r="B207" s="21"/>
      <c r="H207" s="49"/>
    </row>
    <row r="208" ht="12.75" customHeight="1">
      <c r="A208" s="20"/>
      <c r="B208" s="21"/>
      <c r="H208" s="49"/>
    </row>
    <row r="209" ht="12.75" customHeight="1">
      <c r="A209" s="20"/>
      <c r="B209" s="21"/>
      <c r="H209" s="49"/>
    </row>
    <row r="210" ht="12.75" customHeight="1">
      <c r="A210" s="20"/>
      <c r="B210" s="21"/>
      <c r="H210" s="49"/>
    </row>
    <row r="211" ht="12.75" customHeight="1">
      <c r="A211" s="20"/>
      <c r="B211" s="21"/>
      <c r="H211" s="49"/>
    </row>
    <row r="212" ht="12.75" customHeight="1">
      <c r="A212" s="20"/>
      <c r="B212" s="21"/>
      <c r="H212" s="49"/>
    </row>
    <row r="213" ht="12.75" customHeight="1">
      <c r="A213" s="20"/>
      <c r="B213" s="21"/>
      <c r="H213" s="49"/>
    </row>
    <row r="214" ht="12.75" customHeight="1">
      <c r="A214" s="20"/>
      <c r="B214" s="21"/>
      <c r="H214" s="49"/>
    </row>
    <row r="215" ht="12.75" customHeight="1">
      <c r="A215" s="20"/>
      <c r="B215" s="21"/>
      <c r="H215" s="49"/>
    </row>
    <row r="216" ht="12.75" customHeight="1">
      <c r="A216" s="20"/>
      <c r="B216" s="21"/>
      <c r="H216" s="49"/>
    </row>
    <row r="217" ht="12.75" customHeight="1">
      <c r="A217" s="20"/>
      <c r="B217" s="21"/>
      <c r="H217" s="49"/>
    </row>
    <row r="218" ht="12.75" customHeight="1">
      <c r="A218" s="20"/>
      <c r="B218" s="21"/>
      <c r="H218" s="49"/>
    </row>
    <row r="219" ht="12.75" customHeight="1">
      <c r="A219" s="20"/>
      <c r="B219" s="21"/>
      <c r="H219" s="49"/>
    </row>
    <row r="220" ht="12.75" customHeight="1">
      <c r="A220" s="20"/>
      <c r="B220" s="21"/>
      <c r="H220" s="49"/>
    </row>
    <row r="221" ht="12.75" customHeight="1">
      <c r="A221" s="20"/>
      <c r="B221" s="21"/>
      <c r="H221" s="49"/>
    </row>
    <row r="222" ht="12.75" customHeight="1">
      <c r="A222" s="20"/>
      <c r="B222" s="21"/>
      <c r="H222" s="49"/>
    </row>
    <row r="223" ht="12.75" customHeight="1">
      <c r="A223" s="20"/>
      <c r="B223" s="21"/>
      <c r="H223" s="49"/>
    </row>
    <row r="224" ht="12.75" customHeight="1">
      <c r="A224" s="20"/>
      <c r="B224" s="21"/>
      <c r="H224" s="49"/>
    </row>
    <row r="225" ht="12.75" customHeight="1">
      <c r="A225" s="20"/>
      <c r="B225" s="21"/>
      <c r="H225" s="49"/>
    </row>
    <row r="226" ht="12.75" customHeight="1">
      <c r="A226" s="20"/>
      <c r="B226" s="21"/>
      <c r="H226" s="49"/>
    </row>
    <row r="227" ht="12.75" customHeight="1">
      <c r="A227" s="20"/>
      <c r="B227" s="21"/>
      <c r="H227" s="49"/>
    </row>
    <row r="228" ht="12.75" customHeight="1">
      <c r="A228" s="20"/>
      <c r="B228" s="21"/>
      <c r="H228" s="49"/>
    </row>
    <row r="229" ht="12.75" customHeight="1">
      <c r="A229" s="20"/>
      <c r="B229" s="21"/>
      <c r="H229" s="49"/>
    </row>
    <row r="230" ht="12.75" customHeight="1">
      <c r="A230" s="20"/>
      <c r="B230" s="21"/>
      <c r="H230" s="49"/>
    </row>
    <row r="231" ht="12.75" customHeight="1">
      <c r="A231" s="20"/>
      <c r="B231" s="21"/>
      <c r="H231" s="49"/>
    </row>
    <row r="232" ht="12.75" customHeight="1">
      <c r="A232" s="20"/>
      <c r="B232" s="21"/>
      <c r="H232" s="49"/>
    </row>
    <row r="233" ht="12.75" customHeight="1">
      <c r="A233" s="20"/>
      <c r="B233" s="21"/>
      <c r="H233" s="49"/>
    </row>
    <row r="234" ht="12.75" customHeight="1">
      <c r="A234" s="20"/>
      <c r="B234" s="21"/>
      <c r="H234" s="49"/>
    </row>
    <row r="235" ht="12.75" customHeight="1">
      <c r="A235" s="20"/>
      <c r="B235" s="21"/>
      <c r="H235" s="49"/>
    </row>
    <row r="236" ht="12.75" customHeight="1">
      <c r="A236" s="20"/>
      <c r="B236" s="21"/>
      <c r="H236" s="49"/>
    </row>
    <row r="237" ht="12.75" customHeight="1">
      <c r="A237" s="20"/>
      <c r="B237" s="21"/>
      <c r="H237" s="49"/>
    </row>
    <row r="238" ht="12.75" customHeight="1">
      <c r="A238" s="20"/>
      <c r="B238" s="21"/>
      <c r="H238" s="49"/>
    </row>
    <row r="239" ht="12.75" customHeight="1">
      <c r="A239" s="20"/>
      <c r="B239" s="21"/>
      <c r="H239" s="49"/>
    </row>
    <row r="240" ht="12.75" customHeight="1">
      <c r="A240" s="20"/>
      <c r="B240" s="21"/>
      <c r="H240" s="49"/>
    </row>
    <row r="241" ht="12.75" customHeight="1">
      <c r="A241" s="20"/>
      <c r="B241" s="21"/>
      <c r="H241" s="49"/>
    </row>
    <row r="242" ht="12.75" customHeight="1">
      <c r="A242" s="20"/>
      <c r="B242" s="21"/>
      <c r="H242" s="49"/>
    </row>
    <row r="243" ht="12.75" customHeight="1">
      <c r="A243" s="20"/>
      <c r="B243" s="21"/>
      <c r="H243" s="49"/>
    </row>
    <row r="244" ht="12.75" customHeight="1">
      <c r="A244" s="20"/>
      <c r="B244" s="21"/>
      <c r="H244" s="49"/>
    </row>
    <row r="245" ht="12.75" customHeight="1">
      <c r="A245" s="20"/>
      <c r="B245" s="21"/>
      <c r="H245" s="49"/>
    </row>
    <row r="246" ht="12.75" customHeight="1">
      <c r="A246" s="20"/>
      <c r="B246" s="21"/>
      <c r="H246" s="49"/>
    </row>
    <row r="247" ht="12.75" customHeight="1">
      <c r="A247" s="20"/>
      <c r="B247" s="21"/>
      <c r="H247" s="49"/>
    </row>
    <row r="248" ht="12.75" customHeight="1">
      <c r="A248" s="20"/>
      <c r="B248" s="21"/>
      <c r="H248" s="49"/>
    </row>
    <row r="249" ht="12.75" customHeight="1">
      <c r="A249" s="20"/>
      <c r="B249" s="21"/>
      <c r="H249" s="49"/>
    </row>
    <row r="250" ht="12.75" customHeight="1">
      <c r="A250" s="20"/>
      <c r="B250" s="21"/>
      <c r="H250" s="49"/>
    </row>
    <row r="251" ht="12.75" customHeight="1">
      <c r="A251" s="20"/>
      <c r="B251" s="21"/>
      <c r="H251" s="49"/>
    </row>
    <row r="252" ht="12.75" customHeight="1">
      <c r="A252" s="20"/>
      <c r="B252" s="21"/>
      <c r="H252" s="49"/>
    </row>
    <row r="253" ht="12.75" customHeight="1">
      <c r="A253" s="20"/>
      <c r="B253" s="21"/>
      <c r="H253" s="49"/>
    </row>
    <row r="254" ht="12.75" customHeight="1">
      <c r="A254" s="20"/>
      <c r="B254" s="21"/>
      <c r="H254" s="49"/>
    </row>
    <row r="255" ht="12.75" customHeight="1">
      <c r="A255" s="20"/>
      <c r="B255" s="21"/>
      <c r="H255" s="49"/>
    </row>
    <row r="256" ht="12.75" customHeight="1">
      <c r="A256" s="20"/>
      <c r="B256" s="21"/>
      <c r="H256" s="49"/>
    </row>
    <row r="257" ht="12.75" customHeight="1">
      <c r="A257" s="20"/>
      <c r="B257" s="21"/>
      <c r="H257" s="49"/>
    </row>
    <row r="258" ht="12.75" customHeight="1">
      <c r="A258" s="20"/>
      <c r="B258" s="21"/>
      <c r="H258" s="49"/>
    </row>
    <row r="259" ht="12.75" customHeight="1">
      <c r="A259" s="20"/>
      <c r="B259" s="21"/>
      <c r="H259" s="49"/>
    </row>
    <row r="260" ht="12.75" customHeight="1">
      <c r="A260" s="20"/>
      <c r="B260" s="21"/>
      <c r="H260" s="49"/>
    </row>
    <row r="261" ht="12.75" customHeight="1">
      <c r="A261" s="20"/>
      <c r="B261" s="21"/>
      <c r="H261" s="49"/>
    </row>
    <row r="262" ht="12.75" customHeight="1">
      <c r="A262" s="20"/>
      <c r="B262" s="21"/>
      <c r="H262" s="49"/>
    </row>
    <row r="263" ht="12.75" customHeight="1">
      <c r="A263" s="20"/>
      <c r="B263" s="21"/>
      <c r="H263" s="49"/>
    </row>
    <row r="264" ht="12.75" customHeight="1">
      <c r="A264" s="20"/>
      <c r="B264" s="21"/>
      <c r="H264" s="49"/>
    </row>
    <row r="265" ht="12.75" customHeight="1">
      <c r="A265" s="20"/>
      <c r="B265" s="21"/>
      <c r="H265" s="49"/>
    </row>
    <row r="266" ht="12.75" customHeight="1">
      <c r="A266" s="20"/>
      <c r="B266" s="21"/>
      <c r="H266" s="49"/>
    </row>
    <row r="267" ht="12.75" customHeight="1">
      <c r="A267" s="20"/>
      <c r="B267" s="21"/>
      <c r="H267" s="49"/>
    </row>
    <row r="268" ht="12.75" customHeight="1">
      <c r="A268" s="20"/>
      <c r="B268" s="21"/>
      <c r="H268" s="49"/>
    </row>
    <row r="269" ht="12.75" customHeight="1">
      <c r="A269" s="20"/>
      <c r="B269" s="21"/>
      <c r="H269" s="49"/>
    </row>
    <row r="270" ht="12.75" customHeight="1">
      <c r="A270" s="20"/>
      <c r="B270" s="21"/>
      <c r="H270" s="49"/>
    </row>
    <row r="271" ht="12.75" customHeight="1">
      <c r="A271" s="20"/>
      <c r="B271" s="21"/>
      <c r="H271" s="49"/>
    </row>
    <row r="272" ht="12.75" customHeight="1">
      <c r="A272" s="20"/>
      <c r="B272" s="21"/>
      <c r="H272" s="49"/>
    </row>
    <row r="273" ht="12.75" customHeight="1">
      <c r="A273" s="20"/>
      <c r="B273" s="21"/>
      <c r="H273" s="49"/>
    </row>
    <row r="274" ht="12.75" customHeight="1">
      <c r="A274" s="20"/>
      <c r="B274" s="21"/>
      <c r="H274" s="49"/>
    </row>
    <row r="275" ht="12.75" customHeight="1">
      <c r="A275" s="20"/>
      <c r="B275" s="21"/>
      <c r="H275" s="49"/>
    </row>
    <row r="276" ht="12.75" customHeight="1">
      <c r="A276" s="20"/>
      <c r="B276" s="21"/>
      <c r="H276" s="49"/>
    </row>
    <row r="277" ht="12.75" customHeight="1">
      <c r="A277" s="20"/>
      <c r="B277" s="21"/>
      <c r="H277" s="49"/>
    </row>
    <row r="278" ht="12.75" customHeight="1">
      <c r="A278" s="20"/>
      <c r="B278" s="21"/>
      <c r="H278" s="49"/>
    </row>
    <row r="279" ht="12.75" customHeight="1">
      <c r="A279" s="20"/>
      <c r="B279" s="21"/>
      <c r="H279" s="49"/>
    </row>
    <row r="280" ht="12.75" customHeight="1">
      <c r="A280" s="20"/>
      <c r="B280" s="21"/>
      <c r="H280" s="49"/>
    </row>
    <row r="281" ht="12.75" customHeight="1">
      <c r="A281" s="20"/>
      <c r="B281" s="21"/>
      <c r="H281" s="49"/>
    </row>
    <row r="282" ht="12.75" customHeight="1">
      <c r="A282" s="20"/>
      <c r="B282" s="21"/>
      <c r="H282" s="49"/>
    </row>
    <row r="283" ht="12.75" customHeight="1">
      <c r="A283" s="20"/>
      <c r="B283" s="21"/>
      <c r="H283" s="49"/>
    </row>
    <row r="284" ht="12.75" customHeight="1">
      <c r="A284" s="20"/>
      <c r="B284" s="21"/>
      <c r="H284" s="49"/>
    </row>
    <row r="285" ht="12.75" customHeight="1">
      <c r="A285" s="20"/>
      <c r="B285" s="21"/>
      <c r="H285" s="49"/>
    </row>
    <row r="286" ht="12.75" customHeight="1">
      <c r="A286" s="20"/>
      <c r="B286" s="21"/>
      <c r="H286" s="49"/>
    </row>
    <row r="287" ht="12.75" customHeight="1">
      <c r="A287" s="20"/>
      <c r="B287" s="21"/>
      <c r="H287" s="49"/>
    </row>
    <row r="288" ht="12.75" customHeight="1">
      <c r="A288" s="20"/>
      <c r="B288" s="21"/>
      <c r="H288" s="49"/>
    </row>
    <row r="289" ht="12.75" customHeight="1">
      <c r="A289" s="20"/>
      <c r="B289" s="21"/>
      <c r="H289" s="49"/>
    </row>
    <row r="290" ht="12.75" customHeight="1">
      <c r="A290" s="20"/>
      <c r="B290" s="21"/>
      <c r="H290" s="49"/>
    </row>
    <row r="291" ht="12.75" customHeight="1">
      <c r="A291" s="20"/>
      <c r="B291" s="21"/>
      <c r="H291" s="49"/>
    </row>
    <row r="292" ht="12.75" customHeight="1">
      <c r="A292" s="20"/>
      <c r="B292" s="21"/>
      <c r="H292" s="49"/>
    </row>
    <row r="293" ht="12.75" customHeight="1">
      <c r="A293" s="20"/>
      <c r="B293" s="21"/>
      <c r="H293" s="49"/>
    </row>
    <row r="294" ht="12.75" customHeight="1">
      <c r="A294" s="20"/>
      <c r="B294" s="21"/>
      <c r="H294" s="49"/>
    </row>
    <row r="295" ht="12.75" customHeight="1">
      <c r="A295" s="20"/>
      <c r="B295" s="21"/>
      <c r="H295" s="49"/>
    </row>
    <row r="296" ht="12.75" customHeight="1">
      <c r="A296" s="20"/>
      <c r="B296" s="21"/>
      <c r="H296" s="49"/>
    </row>
    <row r="297" ht="12.75" customHeight="1">
      <c r="A297" s="20"/>
      <c r="B297" s="21"/>
      <c r="H297" s="49"/>
    </row>
    <row r="298" ht="12.75" customHeight="1">
      <c r="A298" s="20"/>
      <c r="B298" s="21"/>
      <c r="H298" s="49"/>
    </row>
    <row r="299" ht="12.75" customHeight="1">
      <c r="A299" s="20"/>
      <c r="B299" s="21"/>
      <c r="H299" s="49"/>
    </row>
    <row r="300" ht="12.75" customHeight="1">
      <c r="A300" s="20"/>
      <c r="B300" s="21"/>
      <c r="H300" s="49"/>
    </row>
    <row r="301" ht="12.75" customHeight="1">
      <c r="A301" s="20"/>
      <c r="B301" s="21"/>
      <c r="H301" s="49"/>
    </row>
    <row r="302" ht="12.75" customHeight="1">
      <c r="A302" s="20"/>
      <c r="B302" s="21"/>
      <c r="H302" s="49"/>
    </row>
    <row r="303" ht="12.75" customHeight="1">
      <c r="A303" s="20"/>
      <c r="B303" s="21"/>
      <c r="H303" s="49"/>
    </row>
    <row r="304" ht="12.75" customHeight="1">
      <c r="A304" s="20"/>
      <c r="B304" s="21"/>
      <c r="H304" s="49"/>
    </row>
    <row r="305" ht="12.75" customHeight="1">
      <c r="A305" s="20"/>
      <c r="B305" s="21"/>
      <c r="H305" s="49"/>
    </row>
    <row r="306" ht="12.75" customHeight="1">
      <c r="A306" s="20"/>
      <c r="B306" s="21"/>
      <c r="H306" s="49"/>
    </row>
    <row r="307" ht="12.75" customHeight="1">
      <c r="A307" s="20"/>
      <c r="B307" s="21"/>
      <c r="H307" s="49"/>
    </row>
    <row r="308" ht="12.75" customHeight="1">
      <c r="A308" s="20"/>
      <c r="B308" s="21"/>
      <c r="H308" s="49"/>
    </row>
    <row r="309" ht="12.75" customHeight="1">
      <c r="A309" s="20"/>
      <c r="B309" s="21"/>
      <c r="H309" s="49"/>
    </row>
    <row r="310" ht="12.75" customHeight="1">
      <c r="A310" s="20"/>
      <c r="B310" s="21"/>
      <c r="H310" s="49"/>
    </row>
    <row r="311" ht="12.75" customHeight="1">
      <c r="A311" s="20"/>
      <c r="B311" s="21"/>
      <c r="H311" s="49"/>
    </row>
    <row r="312" ht="12.75" customHeight="1">
      <c r="A312" s="20"/>
      <c r="B312" s="21"/>
      <c r="H312" s="49"/>
    </row>
    <row r="313" ht="12.75" customHeight="1">
      <c r="A313" s="20"/>
      <c r="B313" s="21"/>
      <c r="H313" s="49"/>
    </row>
    <row r="314" ht="12.75" customHeight="1">
      <c r="A314" s="20"/>
      <c r="B314" s="21"/>
      <c r="H314" s="49"/>
    </row>
    <row r="315" ht="12.75" customHeight="1">
      <c r="A315" s="20"/>
      <c r="B315" s="21"/>
      <c r="H315" s="49"/>
    </row>
    <row r="316" ht="12.75" customHeight="1">
      <c r="A316" s="20"/>
      <c r="B316" s="21"/>
      <c r="H316" s="49"/>
    </row>
    <row r="317" ht="12.75" customHeight="1">
      <c r="A317" s="20"/>
      <c r="B317" s="21"/>
      <c r="H317" s="49"/>
    </row>
    <row r="318" ht="12.75" customHeight="1">
      <c r="A318" s="20"/>
      <c r="B318" s="21"/>
      <c r="H318" s="49"/>
    </row>
    <row r="319" ht="12.75" customHeight="1">
      <c r="A319" s="20"/>
      <c r="B319" s="21"/>
      <c r="H319" s="49"/>
    </row>
    <row r="320" ht="12.75" customHeight="1">
      <c r="A320" s="20"/>
      <c r="B320" s="21"/>
      <c r="H320" s="49"/>
    </row>
    <row r="321" ht="12.75" customHeight="1">
      <c r="A321" s="20"/>
      <c r="B321" s="21"/>
      <c r="H321" s="49"/>
    </row>
    <row r="322" ht="12.75" customHeight="1">
      <c r="A322" s="20"/>
      <c r="B322" s="21"/>
      <c r="H322" s="49"/>
    </row>
    <row r="323" ht="12.75" customHeight="1">
      <c r="A323" s="20"/>
      <c r="B323" s="21"/>
      <c r="H323" s="49"/>
    </row>
    <row r="324" ht="12.75" customHeight="1">
      <c r="A324" s="20"/>
      <c r="B324" s="21"/>
      <c r="H324" s="49"/>
    </row>
    <row r="325" ht="12.75" customHeight="1">
      <c r="A325" s="20"/>
      <c r="B325" s="21"/>
      <c r="H325" s="49"/>
    </row>
    <row r="326" ht="12.75" customHeight="1">
      <c r="A326" s="20"/>
      <c r="B326" s="21"/>
      <c r="H326" s="49"/>
    </row>
    <row r="327" ht="12.75" customHeight="1">
      <c r="A327" s="20"/>
      <c r="B327" s="21"/>
      <c r="H327" s="49"/>
    </row>
    <row r="328" ht="12.75" customHeight="1">
      <c r="A328" s="20"/>
      <c r="B328" s="21"/>
      <c r="H328" s="49"/>
    </row>
    <row r="329" ht="12.75" customHeight="1">
      <c r="A329" s="20"/>
      <c r="B329" s="21"/>
      <c r="H329" s="49"/>
    </row>
    <row r="330" ht="12.75" customHeight="1">
      <c r="A330" s="20"/>
      <c r="B330" s="21"/>
      <c r="H330" s="49"/>
    </row>
    <row r="331" ht="12.75" customHeight="1">
      <c r="A331" s="20"/>
      <c r="B331" s="21"/>
      <c r="H331" s="49"/>
    </row>
    <row r="332" ht="12.75" customHeight="1">
      <c r="A332" s="20"/>
      <c r="B332" s="21"/>
      <c r="H332" s="49"/>
    </row>
    <row r="333" ht="12.75" customHeight="1">
      <c r="A333" s="20"/>
      <c r="B333" s="21"/>
      <c r="H333" s="49"/>
    </row>
    <row r="334" ht="12.75" customHeight="1">
      <c r="A334" s="20"/>
      <c r="B334" s="21"/>
      <c r="H334" s="49"/>
    </row>
    <row r="335" ht="12.75" customHeight="1">
      <c r="A335" s="20"/>
      <c r="B335" s="21"/>
      <c r="H335" s="49"/>
    </row>
    <row r="336" ht="12.75" customHeight="1">
      <c r="A336" s="20"/>
      <c r="B336" s="21"/>
      <c r="H336" s="49"/>
    </row>
    <row r="337" ht="12.75" customHeight="1">
      <c r="A337" s="20"/>
      <c r="B337" s="21"/>
      <c r="H337" s="49"/>
    </row>
    <row r="338" ht="12.75" customHeight="1">
      <c r="A338" s="20"/>
      <c r="B338" s="21"/>
      <c r="H338" s="49"/>
    </row>
    <row r="339" ht="12.75" customHeight="1">
      <c r="A339" s="20"/>
      <c r="B339" s="21"/>
      <c r="H339" s="49"/>
    </row>
    <row r="340" ht="12.75" customHeight="1">
      <c r="A340" s="20"/>
      <c r="B340" s="21"/>
      <c r="H340" s="49"/>
    </row>
    <row r="341" ht="12.75" customHeight="1">
      <c r="A341" s="20"/>
      <c r="B341" s="21"/>
      <c r="H341" s="49"/>
    </row>
    <row r="342" ht="12.75" customHeight="1">
      <c r="A342" s="20"/>
      <c r="B342" s="21"/>
      <c r="H342" s="49"/>
    </row>
    <row r="343" ht="12.75" customHeight="1">
      <c r="A343" s="20"/>
      <c r="B343" s="21"/>
      <c r="H343" s="49"/>
    </row>
    <row r="344" ht="12.75" customHeight="1">
      <c r="A344" s="20"/>
      <c r="B344" s="21"/>
      <c r="H344" s="49"/>
    </row>
    <row r="345" ht="12.75" customHeight="1">
      <c r="A345" s="20"/>
      <c r="B345" s="21"/>
      <c r="H345" s="49"/>
    </row>
    <row r="346" ht="12.75" customHeight="1">
      <c r="A346" s="20"/>
      <c r="B346" s="21"/>
      <c r="H346" s="49"/>
    </row>
    <row r="347" ht="12.75" customHeight="1">
      <c r="A347" s="20"/>
      <c r="B347" s="21"/>
      <c r="H347" s="49"/>
    </row>
    <row r="348" ht="12.75" customHeight="1">
      <c r="A348" s="20"/>
      <c r="B348" s="21"/>
      <c r="H348" s="49"/>
    </row>
    <row r="349" ht="12.75" customHeight="1">
      <c r="A349" s="20"/>
      <c r="B349" s="21"/>
      <c r="H349" s="49"/>
    </row>
    <row r="350" ht="12.75" customHeight="1">
      <c r="A350" s="20"/>
      <c r="B350" s="21"/>
      <c r="H350" s="49"/>
    </row>
    <row r="351" ht="12.75" customHeight="1">
      <c r="A351" s="20"/>
      <c r="B351" s="21"/>
      <c r="H351" s="49"/>
    </row>
    <row r="352" ht="12.75" customHeight="1">
      <c r="A352" s="20"/>
      <c r="B352" s="21"/>
      <c r="H352" s="49"/>
    </row>
    <row r="353" ht="12.75" customHeight="1">
      <c r="A353" s="20"/>
      <c r="B353" s="21"/>
      <c r="H353" s="49"/>
    </row>
    <row r="354" ht="12.75" customHeight="1">
      <c r="A354" s="20"/>
      <c r="B354" s="21"/>
      <c r="H354" s="49"/>
    </row>
    <row r="355" ht="12.75" customHeight="1">
      <c r="A355" s="20"/>
      <c r="B355" s="21"/>
      <c r="H355" s="49"/>
    </row>
    <row r="356" ht="12.75" customHeight="1">
      <c r="A356" s="20"/>
      <c r="B356" s="21"/>
      <c r="H356" s="49"/>
    </row>
    <row r="357" ht="12.75" customHeight="1">
      <c r="A357" s="20"/>
      <c r="B357" s="21"/>
      <c r="H357" s="49"/>
    </row>
    <row r="358" ht="12.75" customHeight="1">
      <c r="A358" s="20"/>
      <c r="B358" s="21"/>
      <c r="H358" s="49"/>
    </row>
    <row r="359" ht="12.75" customHeight="1">
      <c r="A359" s="20"/>
      <c r="B359" s="21"/>
      <c r="H359" s="49"/>
    </row>
    <row r="360" ht="12.75" customHeight="1">
      <c r="A360" s="20"/>
      <c r="B360" s="21"/>
      <c r="H360" s="49"/>
    </row>
    <row r="361" ht="12.75" customHeight="1">
      <c r="A361" s="20"/>
      <c r="B361" s="21"/>
      <c r="H361" s="49"/>
    </row>
    <row r="362" ht="12.75" customHeight="1">
      <c r="A362" s="20"/>
      <c r="B362" s="21"/>
      <c r="H362" s="49"/>
    </row>
    <row r="363" ht="12.75" customHeight="1">
      <c r="A363" s="20"/>
      <c r="B363" s="21"/>
      <c r="H363" s="49"/>
    </row>
    <row r="364" ht="12.75" customHeight="1">
      <c r="A364" s="20"/>
      <c r="B364" s="21"/>
      <c r="H364" s="49"/>
    </row>
    <row r="365" ht="12.75" customHeight="1">
      <c r="A365" s="20"/>
      <c r="B365" s="21"/>
      <c r="H365" s="49"/>
    </row>
    <row r="366" ht="12.75" customHeight="1">
      <c r="A366" s="20"/>
      <c r="B366" s="21"/>
      <c r="H366" s="49"/>
    </row>
    <row r="367" ht="12.75" customHeight="1">
      <c r="A367" s="20"/>
      <c r="B367" s="21"/>
      <c r="H367" s="49"/>
    </row>
    <row r="368" ht="12.75" customHeight="1">
      <c r="A368" s="20"/>
      <c r="B368" s="21"/>
      <c r="H368" s="49"/>
    </row>
    <row r="369" ht="12.75" customHeight="1">
      <c r="A369" s="20"/>
      <c r="B369" s="21"/>
      <c r="H369" s="49"/>
    </row>
    <row r="370" ht="12.75" customHeight="1">
      <c r="A370" s="20"/>
      <c r="B370" s="21"/>
      <c r="H370" s="49"/>
    </row>
    <row r="371" ht="12.75" customHeight="1">
      <c r="A371" s="20"/>
      <c r="B371" s="21"/>
      <c r="H371" s="49"/>
    </row>
    <row r="372" ht="12.75" customHeight="1">
      <c r="A372" s="20"/>
      <c r="B372" s="21"/>
      <c r="H372" s="49"/>
    </row>
    <row r="373" ht="12.75" customHeight="1">
      <c r="A373" s="20"/>
      <c r="B373" s="21"/>
      <c r="H373" s="49"/>
    </row>
    <row r="374" ht="12.75" customHeight="1">
      <c r="A374" s="20"/>
      <c r="B374" s="21"/>
      <c r="H374" s="49"/>
    </row>
    <row r="375" ht="12.75" customHeight="1">
      <c r="A375" s="20"/>
      <c r="B375" s="21"/>
      <c r="H375" s="49"/>
    </row>
    <row r="376" ht="12.75" customHeight="1">
      <c r="A376" s="20"/>
      <c r="B376" s="21"/>
      <c r="H376" s="49"/>
    </row>
    <row r="377" ht="12.75" customHeight="1">
      <c r="A377" s="20"/>
      <c r="B377" s="21"/>
      <c r="H377" s="49"/>
    </row>
    <row r="378" ht="12.75" customHeight="1">
      <c r="A378" s="20"/>
      <c r="B378" s="21"/>
      <c r="H378" s="49"/>
    </row>
    <row r="379" ht="12.75" customHeight="1">
      <c r="A379" s="20"/>
      <c r="B379" s="21"/>
      <c r="H379" s="49"/>
    </row>
    <row r="380" ht="12.75" customHeight="1">
      <c r="A380" s="20"/>
      <c r="B380" s="21"/>
      <c r="H380" s="49"/>
    </row>
    <row r="381" ht="12.75" customHeight="1">
      <c r="A381" s="20"/>
      <c r="B381" s="21"/>
      <c r="H381" s="49"/>
    </row>
    <row r="382" ht="12.75" customHeight="1">
      <c r="A382" s="20"/>
      <c r="B382" s="21"/>
      <c r="H382" s="49"/>
    </row>
    <row r="383" ht="12.75" customHeight="1">
      <c r="A383" s="20"/>
      <c r="B383" s="21"/>
      <c r="H383" s="49"/>
    </row>
    <row r="384" ht="12.75" customHeight="1">
      <c r="A384" s="20"/>
      <c r="B384" s="21"/>
      <c r="H384" s="49"/>
    </row>
    <row r="385" ht="12.75" customHeight="1">
      <c r="A385" s="20"/>
      <c r="B385" s="21"/>
      <c r="H385" s="49"/>
    </row>
    <row r="386" ht="12.75" customHeight="1">
      <c r="A386" s="20"/>
      <c r="B386" s="21"/>
      <c r="H386" s="49"/>
    </row>
    <row r="387" ht="12.75" customHeight="1">
      <c r="A387" s="20"/>
      <c r="B387" s="21"/>
      <c r="H387" s="49"/>
    </row>
    <row r="388" ht="12.75" customHeight="1">
      <c r="A388" s="20"/>
      <c r="B388" s="21"/>
      <c r="H388" s="49"/>
    </row>
    <row r="389" ht="12.75" customHeight="1">
      <c r="A389" s="20"/>
      <c r="B389" s="21"/>
      <c r="H389" s="49"/>
    </row>
    <row r="390" ht="12.75" customHeight="1">
      <c r="A390" s="20"/>
      <c r="B390" s="21"/>
      <c r="H390" s="49"/>
    </row>
    <row r="391" ht="12.75" customHeight="1">
      <c r="A391" s="20"/>
      <c r="B391" s="21"/>
      <c r="H391" s="49"/>
    </row>
    <row r="392" ht="12.75" customHeight="1">
      <c r="A392" s="20"/>
      <c r="B392" s="21"/>
      <c r="H392" s="49"/>
    </row>
    <row r="393" ht="12.75" customHeight="1">
      <c r="A393" s="20"/>
      <c r="B393" s="21"/>
      <c r="H393" s="49"/>
    </row>
    <row r="394" ht="12.75" customHeight="1">
      <c r="A394" s="20"/>
      <c r="B394" s="21"/>
      <c r="H394" s="49"/>
    </row>
    <row r="395" ht="12.75" customHeight="1">
      <c r="A395" s="20"/>
      <c r="B395" s="21"/>
      <c r="H395" s="49"/>
    </row>
    <row r="396" ht="12.75" customHeight="1">
      <c r="A396" s="20"/>
      <c r="B396" s="21"/>
      <c r="H396" s="49"/>
    </row>
    <row r="397" ht="12.75" customHeight="1">
      <c r="A397" s="20"/>
      <c r="B397" s="21"/>
      <c r="H397" s="49"/>
    </row>
    <row r="398" ht="12.75" customHeight="1">
      <c r="A398" s="20"/>
      <c r="B398" s="21"/>
      <c r="H398" s="49"/>
    </row>
    <row r="399" ht="12.75" customHeight="1">
      <c r="A399" s="20"/>
      <c r="B399" s="21"/>
      <c r="H399" s="49"/>
    </row>
    <row r="400" ht="12.75" customHeight="1">
      <c r="A400" s="20"/>
      <c r="B400" s="21"/>
      <c r="H400" s="49"/>
    </row>
    <row r="401" ht="12.75" customHeight="1">
      <c r="A401" s="20"/>
      <c r="B401" s="21"/>
      <c r="H401" s="49"/>
    </row>
    <row r="402" ht="12.75" customHeight="1">
      <c r="A402" s="20"/>
      <c r="B402" s="21"/>
      <c r="H402" s="49"/>
    </row>
    <row r="403" ht="12.75" customHeight="1">
      <c r="A403" s="20"/>
      <c r="B403" s="21"/>
      <c r="H403" s="49"/>
    </row>
    <row r="404" ht="12.75" customHeight="1">
      <c r="A404" s="20"/>
      <c r="B404" s="21"/>
      <c r="H404" s="49"/>
    </row>
    <row r="405" ht="12.75" customHeight="1">
      <c r="A405" s="20"/>
      <c r="B405" s="21"/>
      <c r="H405" s="49"/>
    </row>
    <row r="406" ht="12.75" customHeight="1">
      <c r="A406" s="20"/>
      <c r="B406" s="21"/>
      <c r="H406" s="49"/>
    </row>
    <row r="407" ht="12.75" customHeight="1">
      <c r="A407" s="20"/>
      <c r="B407" s="21"/>
      <c r="H407" s="49"/>
    </row>
    <row r="408" ht="12.75" customHeight="1">
      <c r="A408" s="20"/>
      <c r="B408" s="21"/>
      <c r="H408" s="49"/>
    </row>
    <row r="409" ht="12.75" customHeight="1">
      <c r="A409" s="20"/>
      <c r="B409" s="21"/>
      <c r="H409" s="49"/>
    </row>
    <row r="410" ht="12.75" customHeight="1">
      <c r="A410" s="20"/>
      <c r="B410" s="21"/>
      <c r="H410" s="49"/>
    </row>
    <row r="411" ht="12.75" customHeight="1">
      <c r="A411" s="20"/>
      <c r="B411" s="21"/>
      <c r="H411" s="49"/>
    </row>
    <row r="412" ht="12.75" customHeight="1">
      <c r="A412" s="20"/>
      <c r="B412" s="21"/>
      <c r="H412" s="49"/>
    </row>
    <row r="413" ht="12.75" customHeight="1">
      <c r="A413" s="20"/>
      <c r="B413" s="21"/>
      <c r="H413" s="49"/>
    </row>
    <row r="414" ht="12.75" customHeight="1">
      <c r="A414" s="20"/>
      <c r="B414" s="21"/>
      <c r="H414" s="49"/>
    </row>
    <row r="415" ht="12.75" customHeight="1">
      <c r="A415" s="20"/>
      <c r="B415" s="21"/>
      <c r="H415" s="49"/>
    </row>
    <row r="416" ht="12.75" customHeight="1">
      <c r="A416" s="20"/>
      <c r="B416" s="21"/>
      <c r="H416" s="49"/>
    </row>
    <row r="417" ht="12.75" customHeight="1">
      <c r="A417" s="20"/>
      <c r="B417" s="21"/>
      <c r="H417" s="49"/>
    </row>
    <row r="418" ht="12.75" customHeight="1">
      <c r="A418" s="20"/>
      <c r="B418" s="21"/>
      <c r="H418" s="49"/>
    </row>
    <row r="419" ht="12.75" customHeight="1">
      <c r="A419" s="20"/>
      <c r="B419" s="21"/>
      <c r="H419" s="49"/>
    </row>
    <row r="420" ht="12.75" customHeight="1">
      <c r="A420" s="20"/>
      <c r="B420" s="21"/>
      <c r="H420" s="49"/>
    </row>
    <row r="421" ht="12.75" customHeight="1">
      <c r="A421" s="20"/>
      <c r="B421" s="21"/>
      <c r="H421" s="49"/>
    </row>
    <row r="422" ht="12.75" customHeight="1">
      <c r="A422" s="20"/>
      <c r="B422" s="21"/>
      <c r="H422" s="49"/>
    </row>
    <row r="423" ht="12.75" customHeight="1">
      <c r="A423" s="20"/>
      <c r="B423" s="21"/>
      <c r="H423" s="49"/>
    </row>
    <row r="424" ht="12.75" customHeight="1">
      <c r="A424" s="20"/>
      <c r="B424" s="21"/>
      <c r="H424" s="49"/>
    </row>
    <row r="425" ht="12.75" customHeight="1">
      <c r="A425" s="20"/>
      <c r="B425" s="21"/>
      <c r="H425" s="49"/>
    </row>
    <row r="426" ht="12.75" customHeight="1">
      <c r="A426" s="20"/>
      <c r="B426" s="21"/>
      <c r="H426" s="49"/>
    </row>
    <row r="427" ht="12.75" customHeight="1">
      <c r="A427" s="20"/>
      <c r="B427" s="21"/>
      <c r="H427" s="49"/>
    </row>
    <row r="428" ht="12.75" customHeight="1">
      <c r="A428" s="20"/>
      <c r="B428" s="21"/>
      <c r="H428" s="49"/>
    </row>
    <row r="429" ht="12.75" customHeight="1">
      <c r="A429" s="20"/>
      <c r="B429" s="21"/>
      <c r="H429" s="49"/>
    </row>
    <row r="430" ht="12.75" customHeight="1">
      <c r="A430" s="20"/>
      <c r="B430" s="21"/>
      <c r="H430" s="49"/>
    </row>
    <row r="431" ht="12.75" customHeight="1">
      <c r="A431" s="20"/>
      <c r="B431" s="21"/>
      <c r="H431" s="49"/>
    </row>
    <row r="432" ht="12.75" customHeight="1">
      <c r="A432" s="20"/>
      <c r="B432" s="21"/>
      <c r="H432" s="49"/>
    </row>
    <row r="433" ht="12.75" customHeight="1">
      <c r="A433" s="20"/>
      <c r="B433" s="21"/>
      <c r="H433" s="49"/>
    </row>
    <row r="434" ht="12.75" customHeight="1">
      <c r="A434" s="20"/>
      <c r="B434" s="21"/>
      <c r="H434" s="49"/>
    </row>
    <row r="435" ht="12.75" customHeight="1">
      <c r="A435" s="20"/>
      <c r="B435" s="21"/>
      <c r="H435" s="49"/>
    </row>
    <row r="436" ht="12.75" customHeight="1">
      <c r="A436" s="20"/>
      <c r="B436" s="21"/>
      <c r="H436" s="49"/>
    </row>
    <row r="437" ht="12.75" customHeight="1">
      <c r="A437" s="20"/>
      <c r="B437" s="21"/>
      <c r="H437" s="49"/>
    </row>
    <row r="438" ht="12.75" customHeight="1">
      <c r="A438" s="20"/>
      <c r="B438" s="21"/>
      <c r="H438" s="49"/>
    </row>
    <row r="439" ht="12.75" customHeight="1">
      <c r="A439" s="20"/>
      <c r="B439" s="21"/>
      <c r="H439" s="49"/>
    </row>
    <row r="440" ht="12.75" customHeight="1">
      <c r="A440" s="20"/>
      <c r="B440" s="21"/>
      <c r="H440" s="49"/>
    </row>
    <row r="441" ht="12.75" customHeight="1">
      <c r="A441" s="20"/>
      <c r="B441" s="21"/>
      <c r="H441" s="49"/>
    </row>
    <row r="442" ht="12.75" customHeight="1">
      <c r="A442" s="20"/>
      <c r="B442" s="21"/>
      <c r="H442" s="49"/>
    </row>
    <row r="443" ht="12.75" customHeight="1">
      <c r="A443" s="20"/>
      <c r="B443" s="21"/>
      <c r="H443" s="49"/>
    </row>
    <row r="444" ht="12.75" customHeight="1">
      <c r="A444" s="20"/>
      <c r="B444" s="21"/>
      <c r="H444" s="49"/>
    </row>
    <row r="445" ht="12.75" customHeight="1">
      <c r="A445" s="20"/>
      <c r="B445" s="21"/>
      <c r="H445" s="49"/>
    </row>
    <row r="446" ht="12.75" customHeight="1">
      <c r="A446" s="20"/>
      <c r="B446" s="21"/>
      <c r="H446" s="49"/>
    </row>
    <row r="447" ht="12.75" customHeight="1">
      <c r="A447" s="20"/>
      <c r="B447" s="21"/>
      <c r="H447" s="49"/>
    </row>
    <row r="448" ht="12.75" customHeight="1">
      <c r="A448" s="20"/>
      <c r="B448" s="21"/>
      <c r="H448" s="49"/>
    </row>
    <row r="449" ht="12.75" customHeight="1">
      <c r="A449" s="20"/>
      <c r="B449" s="21"/>
      <c r="H449" s="49"/>
    </row>
    <row r="450" ht="12.75" customHeight="1">
      <c r="A450" s="20"/>
      <c r="B450" s="21"/>
      <c r="H450" s="49"/>
    </row>
    <row r="451" ht="12.75" customHeight="1">
      <c r="A451" s="20"/>
      <c r="B451" s="21"/>
      <c r="H451" s="49"/>
    </row>
    <row r="452" ht="12.75" customHeight="1">
      <c r="A452" s="20"/>
      <c r="B452" s="21"/>
      <c r="H452" s="49"/>
    </row>
    <row r="453" ht="12.75" customHeight="1">
      <c r="A453" s="20"/>
      <c r="B453" s="21"/>
      <c r="H453" s="49"/>
    </row>
    <row r="454" ht="12.75" customHeight="1">
      <c r="A454" s="20"/>
      <c r="B454" s="21"/>
      <c r="H454" s="49"/>
    </row>
    <row r="455" ht="12.75" customHeight="1">
      <c r="A455" s="20"/>
      <c r="B455" s="21"/>
      <c r="H455" s="49"/>
    </row>
    <row r="456" ht="12.75" customHeight="1">
      <c r="A456" s="20"/>
      <c r="B456" s="21"/>
      <c r="H456" s="49"/>
    </row>
    <row r="457" ht="12.75" customHeight="1">
      <c r="A457" s="20"/>
      <c r="B457" s="21"/>
      <c r="H457" s="49"/>
    </row>
    <row r="458" ht="12.75" customHeight="1">
      <c r="A458" s="20"/>
      <c r="B458" s="21"/>
      <c r="H458" s="49"/>
    </row>
    <row r="459" ht="12.75" customHeight="1">
      <c r="A459" s="20"/>
      <c r="B459" s="21"/>
      <c r="H459" s="49"/>
    </row>
    <row r="460" ht="12.75" customHeight="1">
      <c r="A460" s="20"/>
      <c r="B460" s="21"/>
      <c r="H460" s="49"/>
    </row>
    <row r="461" ht="12.75" customHeight="1">
      <c r="A461" s="20"/>
      <c r="B461" s="21"/>
      <c r="H461" s="49"/>
    </row>
    <row r="462" ht="12.75" customHeight="1">
      <c r="A462" s="20"/>
      <c r="B462" s="21"/>
      <c r="H462" s="49"/>
    </row>
    <row r="463" ht="12.75" customHeight="1">
      <c r="A463" s="20"/>
      <c r="B463" s="21"/>
      <c r="H463" s="49"/>
    </row>
    <row r="464" ht="12.75" customHeight="1">
      <c r="A464" s="20"/>
      <c r="B464" s="21"/>
      <c r="H464" s="49"/>
    </row>
    <row r="465" ht="12.75" customHeight="1">
      <c r="A465" s="20"/>
      <c r="B465" s="21"/>
      <c r="H465" s="49"/>
    </row>
    <row r="466" ht="12.75" customHeight="1">
      <c r="A466" s="20"/>
      <c r="B466" s="21"/>
      <c r="H466" s="49"/>
    </row>
    <row r="467" ht="12.75" customHeight="1">
      <c r="A467" s="20"/>
      <c r="B467" s="21"/>
      <c r="H467" s="49"/>
    </row>
    <row r="468" ht="12.75" customHeight="1">
      <c r="A468" s="20"/>
      <c r="B468" s="21"/>
      <c r="H468" s="49"/>
    </row>
    <row r="469" ht="12.75" customHeight="1">
      <c r="A469" s="20"/>
      <c r="B469" s="21"/>
      <c r="H469" s="49"/>
    </row>
    <row r="470" ht="12.75" customHeight="1">
      <c r="A470" s="20"/>
      <c r="B470" s="21"/>
      <c r="H470" s="49"/>
    </row>
    <row r="471" ht="12.75" customHeight="1">
      <c r="A471" s="20"/>
      <c r="B471" s="21"/>
      <c r="H471" s="49"/>
    </row>
    <row r="472" ht="12.75" customHeight="1">
      <c r="A472" s="20"/>
      <c r="B472" s="21"/>
      <c r="H472" s="49"/>
    </row>
    <row r="473" ht="12.75" customHeight="1">
      <c r="A473" s="20"/>
      <c r="B473" s="21"/>
      <c r="H473" s="49"/>
    </row>
    <row r="474" ht="12.75" customHeight="1">
      <c r="A474" s="20"/>
      <c r="B474" s="21"/>
      <c r="H474" s="49"/>
    </row>
    <row r="475" ht="12.75" customHeight="1">
      <c r="A475" s="20"/>
      <c r="B475" s="21"/>
      <c r="H475" s="49"/>
    </row>
    <row r="476" ht="12.75" customHeight="1">
      <c r="A476" s="20"/>
      <c r="B476" s="21"/>
      <c r="H476" s="49"/>
    </row>
    <row r="477" ht="12.75" customHeight="1">
      <c r="A477" s="20"/>
      <c r="B477" s="21"/>
      <c r="H477" s="49"/>
    </row>
    <row r="478" ht="12.75" customHeight="1">
      <c r="A478" s="20"/>
      <c r="B478" s="21"/>
      <c r="H478" s="49"/>
    </row>
    <row r="479" ht="12.75" customHeight="1">
      <c r="A479" s="20"/>
      <c r="B479" s="21"/>
      <c r="H479" s="49"/>
    </row>
    <row r="480" ht="12.75" customHeight="1">
      <c r="A480" s="20"/>
      <c r="B480" s="21"/>
      <c r="H480" s="49"/>
    </row>
    <row r="481" ht="12.75" customHeight="1">
      <c r="A481" s="20"/>
      <c r="B481" s="21"/>
      <c r="H481" s="49"/>
    </row>
    <row r="482" ht="12.75" customHeight="1">
      <c r="A482" s="20"/>
      <c r="B482" s="21"/>
      <c r="H482" s="49"/>
    </row>
    <row r="483" ht="12.75" customHeight="1">
      <c r="A483" s="20"/>
      <c r="B483" s="21"/>
      <c r="H483" s="49"/>
    </row>
    <row r="484" ht="12.75" customHeight="1">
      <c r="A484" s="20"/>
      <c r="B484" s="21"/>
      <c r="H484" s="49"/>
    </row>
    <row r="485" ht="12.75" customHeight="1">
      <c r="A485" s="20"/>
      <c r="B485" s="21"/>
      <c r="H485" s="49"/>
    </row>
    <row r="486" ht="12.75" customHeight="1">
      <c r="A486" s="20"/>
      <c r="B486" s="21"/>
      <c r="H486" s="49"/>
    </row>
    <row r="487" ht="12.75" customHeight="1">
      <c r="A487" s="20"/>
      <c r="B487" s="21"/>
      <c r="H487" s="49"/>
    </row>
    <row r="488" ht="12.75" customHeight="1">
      <c r="A488" s="20"/>
      <c r="B488" s="21"/>
      <c r="H488" s="49"/>
    </row>
    <row r="489" ht="12.75" customHeight="1">
      <c r="A489" s="20"/>
      <c r="B489" s="21"/>
      <c r="H489" s="49"/>
    </row>
    <row r="490" ht="12.75" customHeight="1">
      <c r="A490" s="20"/>
      <c r="B490" s="21"/>
      <c r="H490" s="49"/>
    </row>
    <row r="491" ht="12.75" customHeight="1">
      <c r="A491" s="20"/>
      <c r="B491" s="21"/>
      <c r="H491" s="49"/>
    </row>
    <row r="492" ht="12.75" customHeight="1">
      <c r="A492" s="20"/>
      <c r="B492" s="21"/>
      <c r="H492" s="49"/>
    </row>
    <row r="493" ht="12.75" customHeight="1">
      <c r="A493" s="20"/>
      <c r="B493" s="21"/>
      <c r="H493" s="49"/>
    </row>
    <row r="494" ht="12.75" customHeight="1">
      <c r="A494" s="20"/>
      <c r="B494" s="21"/>
      <c r="H494" s="49"/>
    </row>
    <row r="495" ht="12.75" customHeight="1">
      <c r="A495" s="20"/>
      <c r="B495" s="21"/>
      <c r="H495" s="49"/>
    </row>
    <row r="496" ht="12.75" customHeight="1">
      <c r="A496" s="20"/>
      <c r="B496" s="21"/>
      <c r="H496" s="49"/>
    </row>
    <row r="497" ht="12.75" customHeight="1">
      <c r="A497" s="20"/>
      <c r="B497" s="21"/>
      <c r="H497" s="49"/>
    </row>
    <row r="498" ht="12.75" customHeight="1">
      <c r="A498" s="20"/>
      <c r="B498" s="21"/>
      <c r="H498" s="49"/>
    </row>
    <row r="499" ht="12.75" customHeight="1">
      <c r="A499" s="20"/>
      <c r="B499" s="21"/>
      <c r="H499" s="49"/>
    </row>
    <row r="500" ht="12.75" customHeight="1">
      <c r="A500" s="20"/>
      <c r="B500" s="21"/>
      <c r="H500" s="49"/>
    </row>
    <row r="501" ht="12.75" customHeight="1">
      <c r="A501" s="20"/>
      <c r="B501" s="21"/>
      <c r="H501" s="49"/>
    </row>
    <row r="502" ht="12.75" customHeight="1">
      <c r="A502" s="20"/>
      <c r="B502" s="21"/>
      <c r="H502" s="49"/>
    </row>
    <row r="503" ht="12.75" customHeight="1">
      <c r="A503" s="20"/>
      <c r="B503" s="21"/>
      <c r="H503" s="49"/>
    </row>
    <row r="504" ht="12.75" customHeight="1">
      <c r="A504" s="20"/>
      <c r="B504" s="21"/>
      <c r="H504" s="49"/>
    </row>
    <row r="505" ht="12.75" customHeight="1">
      <c r="A505" s="20"/>
      <c r="B505" s="21"/>
      <c r="H505" s="49"/>
    </row>
    <row r="506" ht="12.75" customHeight="1">
      <c r="A506" s="20"/>
      <c r="B506" s="21"/>
      <c r="H506" s="49"/>
    </row>
    <row r="507" ht="12.75" customHeight="1">
      <c r="A507" s="20"/>
      <c r="B507" s="21"/>
      <c r="H507" s="49"/>
    </row>
    <row r="508" ht="12.75" customHeight="1">
      <c r="A508" s="20"/>
      <c r="B508" s="21"/>
      <c r="H508" s="49"/>
    </row>
    <row r="509" ht="12.75" customHeight="1">
      <c r="A509" s="20"/>
      <c r="B509" s="21"/>
      <c r="H509" s="49"/>
    </row>
    <row r="510" ht="12.75" customHeight="1">
      <c r="A510" s="20"/>
      <c r="B510" s="21"/>
      <c r="H510" s="49"/>
    </row>
    <row r="511" ht="12.75" customHeight="1">
      <c r="A511" s="20"/>
      <c r="B511" s="21"/>
      <c r="H511" s="49"/>
    </row>
    <row r="512" ht="12.75" customHeight="1">
      <c r="A512" s="20"/>
      <c r="B512" s="21"/>
      <c r="H512" s="49"/>
    </row>
    <row r="513" ht="12.75" customHeight="1">
      <c r="A513" s="20"/>
      <c r="B513" s="21"/>
      <c r="H513" s="49"/>
    </row>
    <row r="514" ht="12.75" customHeight="1">
      <c r="A514" s="20"/>
      <c r="B514" s="21"/>
      <c r="H514" s="49"/>
    </row>
    <row r="515" ht="12.75" customHeight="1">
      <c r="A515" s="20"/>
      <c r="B515" s="21"/>
      <c r="H515" s="49"/>
    </row>
    <row r="516" ht="12.75" customHeight="1">
      <c r="A516" s="20"/>
      <c r="B516" s="21"/>
      <c r="H516" s="49"/>
    </row>
    <row r="517" ht="12.75" customHeight="1">
      <c r="A517" s="20"/>
      <c r="B517" s="21"/>
      <c r="H517" s="49"/>
    </row>
    <row r="518" ht="12.75" customHeight="1">
      <c r="A518" s="20"/>
      <c r="B518" s="21"/>
      <c r="H518" s="49"/>
    </row>
    <row r="519" ht="12.75" customHeight="1">
      <c r="A519" s="20"/>
      <c r="B519" s="21"/>
      <c r="H519" s="49"/>
    </row>
    <row r="520" ht="12.75" customHeight="1">
      <c r="A520" s="20"/>
      <c r="B520" s="21"/>
      <c r="H520" s="49"/>
    </row>
    <row r="521" ht="12.75" customHeight="1">
      <c r="A521" s="20"/>
      <c r="B521" s="21"/>
      <c r="H521" s="49"/>
    </row>
    <row r="522" ht="12.75" customHeight="1">
      <c r="A522" s="20"/>
      <c r="B522" s="21"/>
      <c r="H522" s="49"/>
    </row>
    <row r="523" ht="12.75" customHeight="1">
      <c r="A523" s="20"/>
      <c r="B523" s="21"/>
      <c r="H523" s="49"/>
    </row>
    <row r="524" ht="12.75" customHeight="1">
      <c r="A524" s="20"/>
      <c r="B524" s="21"/>
      <c r="H524" s="49"/>
    </row>
    <row r="525" ht="12.75" customHeight="1">
      <c r="A525" s="20"/>
      <c r="B525" s="21"/>
      <c r="H525" s="49"/>
    </row>
    <row r="526" ht="12.75" customHeight="1">
      <c r="A526" s="20"/>
      <c r="B526" s="21"/>
      <c r="H526" s="49"/>
    </row>
    <row r="527" ht="12.75" customHeight="1">
      <c r="A527" s="20"/>
      <c r="B527" s="21"/>
      <c r="H527" s="49"/>
    </row>
    <row r="528" ht="12.75" customHeight="1">
      <c r="A528" s="20"/>
      <c r="B528" s="21"/>
      <c r="H528" s="49"/>
    </row>
    <row r="529" ht="12.75" customHeight="1">
      <c r="A529" s="20"/>
      <c r="B529" s="21"/>
      <c r="H529" s="49"/>
    </row>
    <row r="530" ht="12.75" customHeight="1">
      <c r="A530" s="20"/>
      <c r="B530" s="21"/>
      <c r="H530" s="49"/>
    </row>
    <row r="531" ht="12.75" customHeight="1">
      <c r="A531" s="20"/>
      <c r="B531" s="21"/>
      <c r="H531" s="49"/>
    </row>
    <row r="532" ht="12.75" customHeight="1">
      <c r="A532" s="20"/>
      <c r="B532" s="21"/>
      <c r="H532" s="49"/>
    </row>
    <row r="533" ht="12.75" customHeight="1">
      <c r="A533" s="20"/>
      <c r="B533" s="21"/>
      <c r="H533" s="49"/>
    </row>
    <row r="534" ht="12.75" customHeight="1">
      <c r="A534" s="20"/>
      <c r="B534" s="21"/>
      <c r="H534" s="49"/>
    </row>
    <row r="535" ht="12.75" customHeight="1">
      <c r="A535" s="20"/>
      <c r="B535" s="21"/>
      <c r="H535" s="49"/>
    </row>
    <row r="536" ht="12.75" customHeight="1">
      <c r="A536" s="20"/>
      <c r="B536" s="21"/>
      <c r="H536" s="49"/>
    </row>
    <row r="537" ht="12.75" customHeight="1">
      <c r="A537" s="20"/>
      <c r="B537" s="21"/>
      <c r="H537" s="49"/>
    </row>
    <row r="538" ht="12.75" customHeight="1">
      <c r="A538" s="20"/>
      <c r="B538" s="21"/>
      <c r="H538" s="49"/>
    </row>
    <row r="539" ht="12.75" customHeight="1">
      <c r="A539" s="20"/>
      <c r="B539" s="21"/>
      <c r="H539" s="49"/>
    </row>
    <row r="540" ht="12.75" customHeight="1">
      <c r="A540" s="20"/>
      <c r="B540" s="21"/>
      <c r="H540" s="49"/>
    </row>
    <row r="541" ht="12.75" customHeight="1">
      <c r="A541" s="20"/>
      <c r="B541" s="21"/>
      <c r="H541" s="49"/>
    </row>
    <row r="542" ht="12.75" customHeight="1">
      <c r="A542" s="20"/>
      <c r="B542" s="21"/>
      <c r="H542" s="49"/>
    </row>
    <row r="543" ht="12.75" customHeight="1">
      <c r="A543" s="20"/>
      <c r="B543" s="21"/>
      <c r="H543" s="49"/>
    </row>
    <row r="544" ht="12.75" customHeight="1">
      <c r="A544" s="20"/>
      <c r="B544" s="21"/>
      <c r="H544" s="49"/>
    </row>
    <row r="545" ht="12.75" customHeight="1">
      <c r="A545" s="20"/>
      <c r="B545" s="21"/>
      <c r="H545" s="49"/>
    </row>
    <row r="546" ht="12.75" customHeight="1">
      <c r="A546" s="20"/>
      <c r="B546" s="21"/>
      <c r="H546" s="49"/>
    </row>
    <row r="547" ht="12.75" customHeight="1">
      <c r="A547" s="20"/>
      <c r="B547" s="21"/>
      <c r="H547" s="49"/>
    </row>
    <row r="548" ht="12.75" customHeight="1">
      <c r="A548" s="20"/>
      <c r="B548" s="21"/>
      <c r="H548" s="49"/>
    </row>
    <row r="549" ht="12.75" customHeight="1">
      <c r="A549" s="20"/>
      <c r="B549" s="21"/>
      <c r="H549" s="49"/>
    </row>
    <row r="550" ht="12.75" customHeight="1">
      <c r="A550" s="20"/>
      <c r="B550" s="21"/>
      <c r="H550" s="49"/>
    </row>
    <row r="551" ht="12.75" customHeight="1">
      <c r="A551" s="20"/>
      <c r="B551" s="21"/>
      <c r="H551" s="49"/>
    </row>
    <row r="552" ht="12.75" customHeight="1">
      <c r="A552" s="20"/>
      <c r="B552" s="21"/>
      <c r="H552" s="49"/>
    </row>
    <row r="553" ht="12.75" customHeight="1">
      <c r="A553" s="20"/>
      <c r="B553" s="21"/>
      <c r="H553" s="49"/>
    </row>
    <row r="554" ht="12.75" customHeight="1">
      <c r="A554" s="20"/>
      <c r="B554" s="21"/>
      <c r="H554" s="49"/>
    </row>
    <row r="555" ht="12.75" customHeight="1">
      <c r="A555" s="20"/>
      <c r="B555" s="21"/>
      <c r="H555" s="49"/>
    </row>
    <row r="556" ht="12.75" customHeight="1">
      <c r="A556" s="20"/>
      <c r="B556" s="21"/>
      <c r="H556" s="49"/>
    </row>
    <row r="557" ht="12.75" customHeight="1">
      <c r="A557" s="20"/>
      <c r="B557" s="21"/>
      <c r="H557" s="49"/>
    </row>
    <row r="558" ht="12.75" customHeight="1">
      <c r="A558" s="20"/>
      <c r="B558" s="21"/>
      <c r="H558" s="49"/>
    </row>
    <row r="559" ht="12.75" customHeight="1">
      <c r="A559" s="20"/>
      <c r="B559" s="21"/>
      <c r="H559" s="49"/>
    </row>
    <row r="560" ht="12.75" customHeight="1">
      <c r="A560" s="20"/>
      <c r="B560" s="21"/>
      <c r="H560" s="49"/>
    </row>
    <row r="561" ht="12.75" customHeight="1">
      <c r="A561" s="20"/>
      <c r="B561" s="21"/>
      <c r="H561" s="49"/>
    </row>
    <row r="562" ht="12.75" customHeight="1">
      <c r="A562" s="20"/>
      <c r="B562" s="21"/>
      <c r="H562" s="49"/>
    </row>
    <row r="563" ht="12.75" customHeight="1">
      <c r="A563" s="20"/>
      <c r="B563" s="21"/>
      <c r="H563" s="49"/>
    </row>
    <row r="564" ht="12.75" customHeight="1">
      <c r="A564" s="20"/>
      <c r="B564" s="21"/>
      <c r="H564" s="49"/>
    </row>
    <row r="565" ht="12.75" customHeight="1">
      <c r="A565" s="20"/>
      <c r="B565" s="21"/>
      <c r="H565" s="49"/>
    </row>
    <row r="566" ht="12.75" customHeight="1">
      <c r="A566" s="20"/>
      <c r="B566" s="21"/>
      <c r="H566" s="49"/>
    </row>
    <row r="567" ht="12.75" customHeight="1">
      <c r="A567" s="20"/>
      <c r="B567" s="21"/>
      <c r="H567" s="49"/>
    </row>
    <row r="568" ht="12.75" customHeight="1">
      <c r="A568" s="20"/>
      <c r="B568" s="21"/>
      <c r="H568" s="49"/>
    </row>
    <row r="569" ht="12.75" customHeight="1">
      <c r="A569" s="20"/>
      <c r="B569" s="21"/>
      <c r="H569" s="49"/>
    </row>
    <row r="570" ht="12.75" customHeight="1">
      <c r="A570" s="20"/>
      <c r="B570" s="21"/>
      <c r="H570" s="49"/>
    </row>
    <row r="571" ht="12.75" customHeight="1">
      <c r="A571" s="20"/>
      <c r="B571" s="21"/>
      <c r="H571" s="49"/>
    </row>
    <row r="572" ht="12.75" customHeight="1">
      <c r="A572" s="20"/>
      <c r="B572" s="21"/>
      <c r="H572" s="49"/>
    </row>
    <row r="573" ht="12.75" customHeight="1">
      <c r="A573" s="20"/>
      <c r="B573" s="21"/>
      <c r="H573" s="49"/>
    </row>
    <row r="574" ht="12.75" customHeight="1">
      <c r="A574" s="20"/>
      <c r="B574" s="21"/>
      <c r="H574" s="49"/>
    </row>
    <row r="575" ht="12.75" customHeight="1">
      <c r="A575" s="20"/>
      <c r="B575" s="21"/>
      <c r="H575" s="49"/>
    </row>
    <row r="576" ht="12.75" customHeight="1">
      <c r="A576" s="20"/>
      <c r="B576" s="21"/>
      <c r="H576" s="49"/>
    </row>
    <row r="577" ht="12.75" customHeight="1">
      <c r="A577" s="20"/>
      <c r="B577" s="21"/>
      <c r="H577" s="49"/>
    </row>
    <row r="578" ht="12.75" customHeight="1">
      <c r="A578" s="20"/>
      <c r="B578" s="21"/>
      <c r="H578" s="49"/>
    </row>
    <row r="579" ht="12.75" customHeight="1">
      <c r="A579" s="20"/>
      <c r="B579" s="21"/>
      <c r="H579" s="49"/>
    </row>
    <row r="580" ht="12.75" customHeight="1">
      <c r="A580" s="20"/>
      <c r="B580" s="21"/>
      <c r="H580" s="49"/>
    </row>
    <row r="581" ht="12.75" customHeight="1">
      <c r="A581" s="20"/>
      <c r="B581" s="21"/>
      <c r="H581" s="49"/>
    </row>
    <row r="582" ht="12.75" customHeight="1">
      <c r="A582" s="20"/>
      <c r="B582" s="21"/>
      <c r="H582" s="49"/>
    </row>
    <row r="583" ht="12.75" customHeight="1">
      <c r="A583" s="20"/>
      <c r="B583" s="21"/>
      <c r="H583" s="49"/>
    </row>
    <row r="584" ht="12.75" customHeight="1">
      <c r="A584" s="20"/>
      <c r="B584" s="21"/>
      <c r="H584" s="49"/>
    </row>
    <row r="585" ht="12.75" customHeight="1">
      <c r="A585" s="20"/>
      <c r="B585" s="21"/>
      <c r="H585" s="49"/>
    </row>
    <row r="586" ht="12.75" customHeight="1">
      <c r="A586" s="20"/>
      <c r="B586" s="21"/>
      <c r="H586" s="49"/>
    </row>
    <row r="587" ht="12.75" customHeight="1">
      <c r="A587" s="20"/>
      <c r="B587" s="21"/>
      <c r="H587" s="49"/>
    </row>
    <row r="588" ht="12.75" customHeight="1">
      <c r="A588" s="20"/>
      <c r="B588" s="21"/>
      <c r="H588" s="49"/>
    </row>
    <row r="589" ht="12.75" customHeight="1">
      <c r="A589" s="20"/>
      <c r="B589" s="21"/>
      <c r="H589" s="49"/>
    </row>
    <row r="590" ht="12.75" customHeight="1">
      <c r="A590" s="20"/>
      <c r="B590" s="21"/>
      <c r="H590" s="49"/>
    </row>
    <row r="591" ht="12.75" customHeight="1">
      <c r="A591" s="20"/>
      <c r="B591" s="21"/>
      <c r="H591" s="49"/>
    </row>
    <row r="592" ht="12.75" customHeight="1">
      <c r="A592" s="20"/>
      <c r="B592" s="21"/>
      <c r="H592" s="49"/>
    </row>
    <row r="593" ht="12.75" customHeight="1">
      <c r="A593" s="20"/>
      <c r="B593" s="21"/>
      <c r="H593" s="49"/>
    </row>
    <row r="594" ht="12.75" customHeight="1">
      <c r="A594" s="20"/>
      <c r="B594" s="21"/>
      <c r="H594" s="49"/>
    </row>
    <row r="595" ht="12.75" customHeight="1">
      <c r="A595" s="20"/>
      <c r="B595" s="21"/>
      <c r="H595" s="49"/>
    </row>
    <row r="596" ht="12.75" customHeight="1">
      <c r="A596" s="20"/>
      <c r="B596" s="21"/>
      <c r="H596" s="49"/>
    </row>
    <row r="597" ht="12.75" customHeight="1">
      <c r="A597" s="20"/>
      <c r="B597" s="21"/>
      <c r="H597" s="49"/>
    </row>
    <row r="598" ht="12.75" customHeight="1">
      <c r="A598" s="20"/>
      <c r="B598" s="21"/>
      <c r="H598" s="49"/>
    </row>
    <row r="599" ht="12.75" customHeight="1">
      <c r="A599" s="20"/>
      <c r="B599" s="21"/>
      <c r="H599" s="49"/>
    </row>
    <row r="600" ht="12.75" customHeight="1">
      <c r="A600" s="20"/>
      <c r="B600" s="21"/>
      <c r="H600" s="49"/>
    </row>
    <row r="601" ht="12.75" customHeight="1">
      <c r="A601" s="20"/>
      <c r="B601" s="21"/>
      <c r="H601" s="49"/>
    </row>
    <row r="602" ht="12.75" customHeight="1">
      <c r="A602" s="20"/>
      <c r="B602" s="21"/>
      <c r="H602" s="49"/>
    </row>
    <row r="603" ht="12.75" customHeight="1">
      <c r="A603" s="20"/>
      <c r="B603" s="21"/>
      <c r="H603" s="49"/>
    </row>
    <row r="604" ht="12.75" customHeight="1">
      <c r="A604" s="20"/>
      <c r="B604" s="21"/>
      <c r="H604" s="49"/>
    </row>
    <row r="605" ht="12.75" customHeight="1">
      <c r="A605" s="20"/>
      <c r="B605" s="21"/>
      <c r="H605" s="49"/>
    </row>
    <row r="606" ht="12.75" customHeight="1">
      <c r="A606" s="20"/>
      <c r="B606" s="21"/>
      <c r="H606" s="49"/>
    </row>
    <row r="607" ht="12.75" customHeight="1">
      <c r="A607" s="20"/>
      <c r="B607" s="21"/>
      <c r="H607" s="49"/>
    </row>
    <row r="608" ht="12.75" customHeight="1">
      <c r="A608" s="20"/>
      <c r="B608" s="21"/>
      <c r="H608" s="49"/>
    </row>
    <row r="609" ht="12.75" customHeight="1">
      <c r="A609" s="20"/>
      <c r="B609" s="21"/>
      <c r="H609" s="49"/>
    </row>
    <row r="610" ht="12.75" customHeight="1">
      <c r="A610" s="20"/>
      <c r="B610" s="21"/>
      <c r="H610" s="49"/>
    </row>
    <row r="611" ht="12.75" customHeight="1">
      <c r="A611" s="20"/>
      <c r="B611" s="21"/>
      <c r="H611" s="49"/>
    </row>
    <row r="612" ht="12.75" customHeight="1">
      <c r="A612" s="20"/>
      <c r="B612" s="21"/>
      <c r="H612" s="49"/>
    </row>
    <row r="613" ht="12.75" customHeight="1">
      <c r="A613" s="20"/>
      <c r="B613" s="21"/>
      <c r="H613" s="49"/>
    </row>
    <row r="614" ht="12.75" customHeight="1">
      <c r="A614" s="20"/>
      <c r="B614" s="21"/>
      <c r="H614" s="49"/>
    </row>
    <row r="615" ht="12.75" customHeight="1">
      <c r="A615" s="20"/>
      <c r="B615" s="21"/>
      <c r="H615" s="49"/>
    </row>
    <row r="616" ht="12.75" customHeight="1">
      <c r="A616" s="20"/>
      <c r="B616" s="21"/>
      <c r="H616" s="49"/>
    </row>
    <row r="617" ht="12.75" customHeight="1">
      <c r="A617" s="20"/>
      <c r="B617" s="21"/>
      <c r="H617" s="49"/>
    </row>
    <row r="618" ht="12.75" customHeight="1">
      <c r="A618" s="20"/>
      <c r="B618" s="21"/>
      <c r="H618" s="49"/>
    </row>
    <row r="619" ht="12.75" customHeight="1">
      <c r="A619" s="20"/>
      <c r="B619" s="21"/>
      <c r="H619" s="49"/>
    </row>
    <row r="620" ht="12.75" customHeight="1">
      <c r="A620" s="20"/>
      <c r="B620" s="21"/>
      <c r="H620" s="49"/>
    </row>
    <row r="621" ht="12.75" customHeight="1">
      <c r="A621" s="20"/>
      <c r="B621" s="21"/>
      <c r="H621" s="49"/>
    </row>
    <row r="622" ht="12.75" customHeight="1">
      <c r="A622" s="20"/>
      <c r="B622" s="21"/>
      <c r="H622" s="49"/>
    </row>
    <row r="623" ht="12.75" customHeight="1">
      <c r="A623" s="20"/>
      <c r="B623" s="21"/>
      <c r="H623" s="49"/>
    </row>
    <row r="624" ht="12.75" customHeight="1">
      <c r="A624" s="20"/>
      <c r="B624" s="21"/>
      <c r="H624" s="49"/>
    </row>
    <row r="625" ht="12.75" customHeight="1">
      <c r="A625" s="20"/>
      <c r="B625" s="21"/>
      <c r="H625" s="49"/>
    </row>
    <row r="626" ht="12.75" customHeight="1">
      <c r="A626" s="20"/>
      <c r="B626" s="21"/>
      <c r="H626" s="49"/>
    </row>
    <row r="627" ht="12.75" customHeight="1">
      <c r="A627" s="20"/>
      <c r="B627" s="21"/>
      <c r="H627" s="49"/>
    </row>
    <row r="628" ht="12.75" customHeight="1">
      <c r="A628" s="20"/>
      <c r="B628" s="21"/>
      <c r="H628" s="49"/>
    </row>
    <row r="629" ht="12.75" customHeight="1">
      <c r="A629" s="20"/>
      <c r="B629" s="21"/>
      <c r="H629" s="49"/>
    </row>
    <row r="630" ht="12.75" customHeight="1">
      <c r="A630" s="20"/>
      <c r="B630" s="21"/>
      <c r="H630" s="49"/>
    </row>
    <row r="631" ht="12.75" customHeight="1">
      <c r="A631" s="20"/>
      <c r="B631" s="21"/>
      <c r="H631" s="49"/>
    </row>
    <row r="632" ht="12.75" customHeight="1">
      <c r="A632" s="20"/>
      <c r="B632" s="21"/>
      <c r="H632" s="49"/>
    </row>
    <row r="633" ht="12.75" customHeight="1">
      <c r="A633" s="20"/>
      <c r="B633" s="21"/>
      <c r="H633" s="49"/>
    </row>
    <row r="634" ht="12.75" customHeight="1">
      <c r="A634" s="20"/>
      <c r="B634" s="21"/>
      <c r="H634" s="49"/>
    </row>
    <row r="635" ht="12.75" customHeight="1">
      <c r="A635" s="20"/>
      <c r="B635" s="21"/>
      <c r="H635" s="49"/>
    </row>
    <row r="636" ht="12.75" customHeight="1">
      <c r="A636" s="20"/>
      <c r="B636" s="21"/>
      <c r="H636" s="49"/>
    </row>
    <row r="637" ht="12.75" customHeight="1">
      <c r="A637" s="20"/>
      <c r="B637" s="21"/>
      <c r="H637" s="49"/>
    </row>
    <row r="638" ht="12.75" customHeight="1">
      <c r="A638" s="20"/>
      <c r="B638" s="21"/>
      <c r="H638" s="49"/>
    </row>
    <row r="639" ht="12.75" customHeight="1">
      <c r="A639" s="20"/>
      <c r="B639" s="21"/>
      <c r="H639" s="49"/>
    </row>
    <row r="640" ht="12.75" customHeight="1">
      <c r="A640" s="20"/>
      <c r="B640" s="21"/>
      <c r="H640" s="49"/>
    </row>
    <row r="641" ht="12.75" customHeight="1">
      <c r="A641" s="20"/>
      <c r="B641" s="21"/>
      <c r="H641" s="49"/>
    </row>
    <row r="642" ht="12.75" customHeight="1">
      <c r="A642" s="20"/>
      <c r="B642" s="21"/>
      <c r="H642" s="49"/>
    </row>
    <row r="643" ht="12.75" customHeight="1">
      <c r="A643" s="20"/>
      <c r="B643" s="21"/>
      <c r="H643" s="49"/>
    </row>
    <row r="644" ht="12.75" customHeight="1">
      <c r="A644" s="20"/>
      <c r="B644" s="21"/>
      <c r="H644" s="49"/>
    </row>
    <row r="645" ht="12.75" customHeight="1">
      <c r="A645" s="20"/>
      <c r="B645" s="21"/>
      <c r="H645" s="49"/>
    </row>
    <row r="646" ht="12.75" customHeight="1">
      <c r="A646" s="20"/>
      <c r="B646" s="21"/>
      <c r="H646" s="49"/>
    </row>
    <row r="647" ht="12.75" customHeight="1">
      <c r="A647" s="20"/>
      <c r="B647" s="21"/>
      <c r="H647" s="49"/>
    </row>
    <row r="648" ht="12.75" customHeight="1">
      <c r="A648" s="20"/>
      <c r="B648" s="21"/>
      <c r="H648" s="49"/>
    </row>
    <row r="649" ht="12.75" customHeight="1">
      <c r="A649" s="20"/>
      <c r="B649" s="21"/>
      <c r="H649" s="49"/>
    </row>
    <row r="650" ht="12.75" customHeight="1">
      <c r="A650" s="20"/>
      <c r="B650" s="21"/>
      <c r="H650" s="49"/>
    </row>
    <row r="651" ht="12.75" customHeight="1">
      <c r="A651" s="20"/>
      <c r="B651" s="21"/>
      <c r="H651" s="49"/>
    </row>
    <row r="652" ht="12.75" customHeight="1">
      <c r="A652" s="20"/>
      <c r="B652" s="21"/>
      <c r="H652" s="49"/>
    </row>
    <row r="653" ht="12.75" customHeight="1">
      <c r="A653" s="20"/>
      <c r="B653" s="21"/>
      <c r="H653" s="49"/>
    </row>
    <row r="654" ht="12.75" customHeight="1">
      <c r="A654" s="20"/>
      <c r="B654" s="21"/>
      <c r="H654" s="49"/>
    </row>
    <row r="655" ht="12.75" customHeight="1">
      <c r="A655" s="20"/>
      <c r="B655" s="21"/>
      <c r="H655" s="49"/>
    </row>
    <row r="656" ht="12.75" customHeight="1">
      <c r="A656" s="20"/>
      <c r="B656" s="21"/>
      <c r="H656" s="49"/>
    </row>
    <row r="657" ht="12.75" customHeight="1">
      <c r="A657" s="20"/>
      <c r="B657" s="21"/>
      <c r="H657" s="49"/>
    </row>
    <row r="658" ht="12.75" customHeight="1">
      <c r="A658" s="20"/>
      <c r="B658" s="21"/>
      <c r="H658" s="49"/>
    </row>
    <row r="659" ht="12.75" customHeight="1">
      <c r="A659" s="20"/>
      <c r="B659" s="21"/>
      <c r="H659" s="49"/>
    </row>
    <row r="660" ht="12.75" customHeight="1">
      <c r="A660" s="20"/>
      <c r="B660" s="21"/>
      <c r="H660" s="49"/>
    </row>
    <row r="661" ht="12.75" customHeight="1">
      <c r="A661" s="20"/>
      <c r="B661" s="21"/>
      <c r="H661" s="49"/>
    </row>
    <row r="662" ht="12.75" customHeight="1">
      <c r="A662" s="20"/>
      <c r="B662" s="21"/>
      <c r="H662" s="49"/>
    </row>
    <row r="663" ht="12.75" customHeight="1">
      <c r="A663" s="20"/>
      <c r="B663" s="21"/>
      <c r="H663" s="49"/>
    </row>
    <row r="664" ht="12.75" customHeight="1">
      <c r="A664" s="20"/>
      <c r="B664" s="21"/>
      <c r="H664" s="49"/>
    </row>
    <row r="665" ht="12.75" customHeight="1">
      <c r="A665" s="20"/>
      <c r="B665" s="21"/>
      <c r="H665" s="49"/>
    </row>
    <row r="666" ht="12.75" customHeight="1">
      <c r="A666" s="20"/>
      <c r="B666" s="21"/>
      <c r="H666" s="49"/>
    </row>
    <row r="667" ht="12.75" customHeight="1">
      <c r="A667" s="20"/>
      <c r="B667" s="21"/>
      <c r="H667" s="49"/>
    </row>
    <row r="668" ht="12.75" customHeight="1">
      <c r="A668" s="20"/>
      <c r="B668" s="21"/>
      <c r="H668" s="49"/>
    </row>
    <row r="669" ht="12.75" customHeight="1">
      <c r="A669" s="20"/>
      <c r="B669" s="21"/>
      <c r="H669" s="49"/>
    </row>
    <row r="670" ht="12.75" customHeight="1">
      <c r="A670" s="20"/>
      <c r="B670" s="21"/>
      <c r="H670" s="49"/>
    </row>
    <row r="671" ht="12.75" customHeight="1">
      <c r="A671" s="20"/>
      <c r="B671" s="21"/>
      <c r="H671" s="49"/>
    </row>
    <row r="672" ht="12.75" customHeight="1">
      <c r="A672" s="20"/>
      <c r="B672" s="21"/>
      <c r="H672" s="49"/>
    </row>
    <row r="673" ht="12.75" customHeight="1">
      <c r="A673" s="20"/>
      <c r="B673" s="21"/>
      <c r="H673" s="49"/>
    </row>
    <row r="674" ht="12.75" customHeight="1">
      <c r="A674" s="20"/>
      <c r="B674" s="21"/>
      <c r="H674" s="49"/>
    </row>
    <row r="675" ht="12.75" customHeight="1">
      <c r="A675" s="20"/>
      <c r="B675" s="21"/>
      <c r="H675" s="49"/>
    </row>
    <row r="676" ht="12.75" customHeight="1">
      <c r="A676" s="20"/>
      <c r="B676" s="21"/>
      <c r="H676" s="49"/>
    </row>
    <row r="677" ht="12.75" customHeight="1">
      <c r="A677" s="20"/>
      <c r="B677" s="21"/>
      <c r="H677" s="49"/>
    </row>
    <row r="678" ht="12.75" customHeight="1">
      <c r="A678" s="20"/>
      <c r="B678" s="21"/>
      <c r="H678" s="49"/>
    </row>
    <row r="679" ht="12.75" customHeight="1">
      <c r="A679" s="20"/>
      <c r="B679" s="21"/>
      <c r="H679" s="49"/>
    </row>
    <row r="680" ht="12.75" customHeight="1">
      <c r="A680" s="20"/>
      <c r="B680" s="21"/>
      <c r="H680" s="49"/>
    </row>
    <row r="681" ht="12.75" customHeight="1">
      <c r="A681" s="20"/>
      <c r="B681" s="21"/>
      <c r="H681" s="49"/>
    </row>
    <row r="682" ht="12.75" customHeight="1">
      <c r="A682" s="20"/>
      <c r="B682" s="21"/>
      <c r="H682" s="49"/>
    </row>
    <row r="683" ht="12.75" customHeight="1">
      <c r="A683" s="20"/>
      <c r="B683" s="21"/>
      <c r="H683" s="49"/>
    </row>
    <row r="684" ht="12.75" customHeight="1">
      <c r="A684" s="20"/>
      <c r="B684" s="21"/>
      <c r="H684" s="49"/>
    </row>
    <row r="685" ht="12.75" customHeight="1">
      <c r="A685" s="20"/>
      <c r="B685" s="21"/>
      <c r="H685" s="49"/>
    </row>
    <row r="686" ht="12.75" customHeight="1">
      <c r="A686" s="20"/>
      <c r="B686" s="21"/>
      <c r="H686" s="49"/>
    </row>
    <row r="687" ht="12.75" customHeight="1">
      <c r="A687" s="20"/>
      <c r="B687" s="21"/>
      <c r="H687" s="49"/>
    </row>
    <row r="688" ht="12.75" customHeight="1">
      <c r="A688" s="20"/>
      <c r="B688" s="21"/>
      <c r="H688" s="49"/>
    </row>
    <row r="689" ht="12.75" customHeight="1">
      <c r="A689" s="20"/>
      <c r="B689" s="21"/>
      <c r="H689" s="49"/>
    </row>
    <row r="690" ht="12.75" customHeight="1">
      <c r="A690" s="20"/>
      <c r="B690" s="21"/>
      <c r="H690" s="49"/>
    </row>
    <row r="691" ht="12.75" customHeight="1">
      <c r="A691" s="20"/>
      <c r="B691" s="21"/>
      <c r="H691" s="49"/>
    </row>
    <row r="692" ht="12.75" customHeight="1">
      <c r="A692" s="20"/>
      <c r="B692" s="21"/>
      <c r="H692" s="49"/>
    </row>
    <row r="693" ht="12.75" customHeight="1">
      <c r="A693" s="20"/>
      <c r="B693" s="21"/>
      <c r="H693" s="49"/>
    </row>
    <row r="694" ht="12.75" customHeight="1">
      <c r="A694" s="20"/>
      <c r="B694" s="21"/>
      <c r="H694" s="49"/>
    </row>
    <row r="695" ht="12.75" customHeight="1">
      <c r="A695" s="20"/>
      <c r="B695" s="21"/>
      <c r="H695" s="49"/>
    </row>
    <row r="696" ht="12.75" customHeight="1">
      <c r="A696" s="20"/>
      <c r="B696" s="21"/>
      <c r="H696" s="49"/>
    </row>
    <row r="697" ht="12.75" customHeight="1">
      <c r="A697" s="20"/>
      <c r="B697" s="21"/>
      <c r="H697" s="49"/>
    </row>
    <row r="698" ht="12.75" customHeight="1">
      <c r="A698" s="20"/>
      <c r="B698" s="21"/>
      <c r="H698" s="49"/>
    </row>
    <row r="699" ht="12.75" customHeight="1">
      <c r="A699" s="20"/>
      <c r="B699" s="21"/>
      <c r="H699" s="49"/>
    </row>
    <row r="700" ht="12.75" customHeight="1">
      <c r="A700" s="20"/>
      <c r="B700" s="21"/>
      <c r="H700" s="49"/>
    </row>
    <row r="701" ht="12.75" customHeight="1">
      <c r="A701" s="20"/>
      <c r="B701" s="21"/>
      <c r="H701" s="49"/>
    </row>
    <row r="702" ht="12.75" customHeight="1">
      <c r="A702" s="20"/>
      <c r="B702" s="21"/>
      <c r="H702" s="49"/>
    </row>
    <row r="703" ht="12.75" customHeight="1">
      <c r="A703" s="20"/>
      <c r="B703" s="21"/>
      <c r="H703" s="49"/>
    </row>
    <row r="704" ht="12.75" customHeight="1">
      <c r="A704" s="20"/>
      <c r="B704" s="21"/>
      <c r="H704" s="49"/>
    </row>
    <row r="705" ht="12.75" customHeight="1">
      <c r="A705" s="20"/>
      <c r="B705" s="21"/>
      <c r="H705" s="49"/>
    </row>
    <row r="706" ht="12.75" customHeight="1">
      <c r="A706" s="20"/>
      <c r="B706" s="21"/>
      <c r="H706" s="49"/>
    </row>
    <row r="707" ht="12.75" customHeight="1">
      <c r="A707" s="20"/>
      <c r="B707" s="21"/>
      <c r="H707" s="49"/>
    </row>
    <row r="708" ht="12.75" customHeight="1">
      <c r="A708" s="20"/>
      <c r="B708" s="21"/>
      <c r="H708" s="49"/>
    </row>
    <row r="709" ht="12.75" customHeight="1">
      <c r="A709" s="20"/>
      <c r="B709" s="21"/>
      <c r="H709" s="49"/>
    </row>
    <row r="710" ht="12.75" customHeight="1">
      <c r="A710" s="20"/>
      <c r="B710" s="21"/>
      <c r="H710" s="49"/>
    </row>
    <row r="711" ht="12.75" customHeight="1">
      <c r="A711" s="20"/>
      <c r="B711" s="21"/>
      <c r="H711" s="49"/>
    </row>
    <row r="712" ht="12.75" customHeight="1">
      <c r="A712" s="20"/>
      <c r="B712" s="21"/>
      <c r="H712" s="49"/>
    </row>
    <row r="713" ht="12.75" customHeight="1">
      <c r="A713" s="20"/>
      <c r="B713" s="21"/>
      <c r="H713" s="49"/>
    </row>
    <row r="714" ht="12.75" customHeight="1">
      <c r="A714" s="20"/>
      <c r="B714" s="21"/>
      <c r="H714" s="49"/>
    </row>
    <row r="715" ht="12.75" customHeight="1">
      <c r="A715" s="20"/>
      <c r="B715" s="21"/>
      <c r="H715" s="49"/>
    </row>
    <row r="716" ht="12.75" customHeight="1">
      <c r="A716" s="20"/>
      <c r="B716" s="21"/>
      <c r="H716" s="49"/>
    </row>
    <row r="717" ht="12.75" customHeight="1">
      <c r="A717" s="20"/>
      <c r="B717" s="21"/>
      <c r="H717" s="49"/>
    </row>
    <row r="718" ht="12.75" customHeight="1">
      <c r="A718" s="20"/>
      <c r="B718" s="21"/>
      <c r="H718" s="49"/>
    </row>
    <row r="719" ht="12.75" customHeight="1">
      <c r="A719" s="20"/>
      <c r="B719" s="21"/>
      <c r="H719" s="49"/>
    </row>
    <row r="720" ht="12.75" customHeight="1">
      <c r="A720" s="20"/>
      <c r="B720" s="21"/>
      <c r="H720" s="49"/>
    </row>
    <row r="721" ht="12.75" customHeight="1">
      <c r="A721" s="20"/>
      <c r="B721" s="21"/>
      <c r="H721" s="49"/>
    </row>
    <row r="722" ht="12.75" customHeight="1">
      <c r="A722" s="20"/>
      <c r="B722" s="21"/>
      <c r="H722" s="49"/>
    </row>
    <row r="723" ht="12.75" customHeight="1">
      <c r="A723" s="20"/>
      <c r="B723" s="21"/>
      <c r="H723" s="49"/>
    </row>
    <row r="724" ht="12.75" customHeight="1">
      <c r="A724" s="20"/>
      <c r="B724" s="21"/>
      <c r="H724" s="49"/>
    </row>
    <row r="725" ht="12.75" customHeight="1">
      <c r="A725" s="20"/>
      <c r="B725" s="21"/>
      <c r="H725" s="49"/>
    </row>
    <row r="726" ht="12.75" customHeight="1">
      <c r="A726" s="20"/>
      <c r="B726" s="21"/>
      <c r="H726" s="49"/>
    </row>
    <row r="727" ht="12.75" customHeight="1">
      <c r="A727" s="20"/>
      <c r="B727" s="21"/>
      <c r="H727" s="49"/>
    </row>
    <row r="728" ht="12.75" customHeight="1">
      <c r="A728" s="20"/>
      <c r="B728" s="21"/>
      <c r="H728" s="49"/>
    </row>
    <row r="729" ht="12.75" customHeight="1">
      <c r="A729" s="20"/>
      <c r="B729" s="21"/>
      <c r="H729" s="49"/>
    </row>
    <row r="730" ht="12.75" customHeight="1">
      <c r="A730" s="20"/>
      <c r="B730" s="21"/>
      <c r="H730" s="49"/>
    </row>
    <row r="731" ht="12.75" customHeight="1">
      <c r="A731" s="20"/>
      <c r="B731" s="21"/>
      <c r="H731" s="49"/>
    </row>
    <row r="732" ht="12.75" customHeight="1">
      <c r="A732" s="20"/>
      <c r="B732" s="21"/>
      <c r="H732" s="49"/>
    </row>
    <row r="733" ht="12.75" customHeight="1">
      <c r="A733" s="20"/>
      <c r="B733" s="21"/>
      <c r="H733" s="49"/>
    </row>
    <row r="734" ht="12.75" customHeight="1">
      <c r="A734" s="20"/>
      <c r="B734" s="21"/>
      <c r="H734" s="49"/>
    </row>
    <row r="735" ht="12.75" customHeight="1">
      <c r="A735" s="20"/>
      <c r="B735" s="21"/>
      <c r="H735" s="49"/>
    </row>
    <row r="736" ht="12.75" customHeight="1">
      <c r="A736" s="20"/>
      <c r="B736" s="21"/>
      <c r="H736" s="49"/>
    </row>
    <row r="737" ht="12.75" customHeight="1">
      <c r="A737" s="20"/>
      <c r="B737" s="21"/>
      <c r="H737" s="49"/>
    </row>
    <row r="738" ht="12.75" customHeight="1">
      <c r="A738" s="20"/>
      <c r="B738" s="21"/>
      <c r="H738" s="49"/>
    </row>
    <row r="739" ht="12.75" customHeight="1">
      <c r="A739" s="20"/>
      <c r="B739" s="21"/>
      <c r="H739" s="49"/>
    </row>
    <row r="740" ht="12.75" customHeight="1">
      <c r="A740" s="20"/>
      <c r="B740" s="21"/>
      <c r="H740" s="49"/>
    </row>
    <row r="741" ht="12.75" customHeight="1">
      <c r="A741" s="20"/>
      <c r="B741" s="21"/>
      <c r="H741" s="49"/>
    </row>
    <row r="742" ht="12.75" customHeight="1">
      <c r="A742" s="20"/>
      <c r="B742" s="21"/>
      <c r="H742" s="49"/>
    </row>
    <row r="743" ht="12.75" customHeight="1">
      <c r="A743" s="20"/>
      <c r="B743" s="21"/>
      <c r="H743" s="49"/>
    </row>
    <row r="744" ht="12.75" customHeight="1">
      <c r="A744" s="20"/>
      <c r="B744" s="21"/>
      <c r="H744" s="49"/>
    </row>
    <row r="745" ht="12.75" customHeight="1">
      <c r="A745" s="20"/>
      <c r="B745" s="21"/>
      <c r="H745" s="49"/>
    </row>
    <row r="746" ht="12.75" customHeight="1">
      <c r="A746" s="20"/>
      <c r="B746" s="21"/>
      <c r="H746" s="49"/>
    </row>
    <row r="747" ht="12.75" customHeight="1">
      <c r="A747" s="20"/>
      <c r="B747" s="21"/>
      <c r="H747" s="49"/>
    </row>
    <row r="748" ht="12.75" customHeight="1">
      <c r="A748" s="20"/>
      <c r="B748" s="21"/>
      <c r="H748" s="49"/>
    </row>
    <row r="749" ht="12.75" customHeight="1">
      <c r="A749" s="20"/>
      <c r="B749" s="21"/>
      <c r="H749" s="49"/>
    </row>
    <row r="750" ht="12.75" customHeight="1">
      <c r="A750" s="20"/>
      <c r="B750" s="21"/>
      <c r="H750" s="49"/>
    </row>
    <row r="751" ht="12.75" customHeight="1">
      <c r="A751" s="20"/>
      <c r="B751" s="21"/>
      <c r="H751" s="49"/>
    </row>
    <row r="752" ht="12.75" customHeight="1">
      <c r="A752" s="20"/>
      <c r="B752" s="21"/>
      <c r="H752" s="49"/>
    </row>
    <row r="753" ht="12.75" customHeight="1">
      <c r="A753" s="20"/>
      <c r="B753" s="21"/>
      <c r="H753" s="49"/>
    </row>
    <row r="754" ht="12.75" customHeight="1">
      <c r="A754" s="20"/>
      <c r="B754" s="21"/>
      <c r="H754" s="49"/>
    </row>
    <row r="755" ht="12.75" customHeight="1">
      <c r="A755" s="20"/>
      <c r="B755" s="21"/>
      <c r="H755" s="49"/>
    </row>
    <row r="756" ht="12.75" customHeight="1">
      <c r="A756" s="20"/>
      <c r="B756" s="21"/>
      <c r="H756" s="49"/>
    </row>
    <row r="757" ht="12.75" customHeight="1">
      <c r="A757" s="20"/>
      <c r="B757" s="21"/>
      <c r="H757" s="49"/>
    </row>
    <row r="758" ht="12.75" customHeight="1">
      <c r="A758" s="20"/>
      <c r="B758" s="21"/>
      <c r="H758" s="49"/>
    </row>
    <row r="759" ht="12.75" customHeight="1">
      <c r="A759" s="20"/>
      <c r="B759" s="21"/>
      <c r="H759" s="49"/>
    </row>
    <row r="760" ht="12.75" customHeight="1">
      <c r="A760" s="20"/>
      <c r="B760" s="21"/>
      <c r="H760" s="49"/>
    </row>
    <row r="761" ht="12.75" customHeight="1">
      <c r="A761" s="20"/>
      <c r="B761" s="21"/>
      <c r="H761" s="49"/>
    </row>
    <row r="762" ht="12.75" customHeight="1">
      <c r="A762" s="20"/>
      <c r="B762" s="21"/>
      <c r="H762" s="49"/>
    </row>
    <row r="763" ht="12.75" customHeight="1">
      <c r="A763" s="20"/>
      <c r="B763" s="21"/>
      <c r="H763" s="49"/>
    </row>
    <row r="764" ht="12.75" customHeight="1">
      <c r="A764" s="20"/>
      <c r="B764" s="21"/>
      <c r="H764" s="49"/>
    </row>
    <row r="765" ht="12.75" customHeight="1">
      <c r="A765" s="20"/>
      <c r="B765" s="21"/>
      <c r="H765" s="49"/>
    </row>
    <row r="766" ht="12.75" customHeight="1">
      <c r="A766" s="20"/>
      <c r="B766" s="21"/>
      <c r="H766" s="49"/>
    </row>
    <row r="767" ht="12.75" customHeight="1">
      <c r="A767" s="20"/>
      <c r="B767" s="21"/>
      <c r="H767" s="49"/>
    </row>
    <row r="768" ht="12.75" customHeight="1">
      <c r="A768" s="20"/>
      <c r="B768" s="21"/>
      <c r="H768" s="49"/>
    </row>
    <row r="769" ht="12.75" customHeight="1">
      <c r="A769" s="20"/>
      <c r="B769" s="21"/>
      <c r="H769" s="49"/>
    </row>
    <row r="770" ht="12.75" customHeight="1">
      <c r="A770" s="20"/>
      <c r="B770" s="21"/>
      <c r="H770" s="49"/>
    </row>
    <row r="771" ht="12.75" customHeight="1">
      <c r="A771" s="20"/>
      <c r="B771" s="21"/>
      <c r="H771" s="49"/>
    </row>
    <row r="772" ht="12.75" customHeight="1">
      <c r="A772" s="20"/>
      <c r="B772" s="21"/>
      <c r="H772" s="49"/>
    </row>
    <row r="773" ht="12.75" customHeight="1">
      <c r="A773" s="20"/>
      <c r="B773" s="21"/>
      <c r="H773" s="49"/>
    </row>
    <row r="774" ht="12.75" customHeight="1">
      <c r="A774" s="20"/>
      <c r="B774" s="21"/>
      <c r="H774" s="49"/>
    </row>
    <row r="775" ht="12.75" customHeight="1">
      <c r="A775" s="20"/>
      <c r="B775" s="21"/>
      <c r="H775" s="49"/>
    </row>
    <row r="776" ht="12.75" customHeight="1">
      <c r="A776" s="20"/>
      <c r="B776" s="21"/>
      <c r="H776" s="49"/>
    </row>
    <row r="777" ht="12.75" customHeight="1">
      <c r="A777" s="20"/>
      <c r="B777" s="21"/>
      <c r="H777" s="49"/>
    </row>
    <row r="778" ht="12.75" customHeight="1">
      <c r="A778" s="20"/>
      <c r="B778" s="21"/>
      <c r="H778" s="49"/>
    </row>
    <row r="779" ht="12.75" customHeight="1">
      <c r="A779" s="20"/>
      <c r="B779" s="21"/>
      <c r="H779" s="49"/>
    </row>
    <row r="780" ht="12.75" customHeight="1">
      <c r="A780" s="20"/>
      <c r="B780" s="21"/>
      <c r="H780" s="49"/>
    </row>
    <row r="781" ht="12.75" customHeight="1">
      <c r="A781" s="20"/>
      <c r="B781" s="21"/>
      <c r="H781" s="49"/>
    </row>
    <row r="782" ht="12.75" customHeight="1">
      <c r="A782" s="20"/>
      <c r="B782" s="21"/>
      <c r="H782" s="49"/>
    </row>
    <row r="783" ht="12.75" customHeight="1">
      <c r="A783" s="20"/>
      <c r="B783" s="21"/>
      <c r="H783" s="49"/>
    </row>
    <row r="784" ht="12.75" customHeight="1">
      <c r="A784" s="20"/>
      <c r="B784" s="21"/>
      <c r="H784" s="49"/>
    </row>
    <row r="785" ht="12.75" customHeight="1">
      <c r="A785" s="20"/>
      <c r="B785" s="21"/>
      <c r="H785" s="49"/>
    </row>
    <row r="786" ht="12.75" customHeight="1">
      <c r="A786" s="20"/>
      <c r="B786" s="21"/>
      <c r="H786" s="49"/>
    </row>
    <row r="787" ht="12.75" customHeight="1">
      <c r="A787" s="20"/>
      <c r="B787" s="21"/>
      <c r="H787" s="49"/>
    </row>
    <row r="788" ht="12.75" customHeight="1">
      <c r="A788" s="20"/>
      <c r="B788" s="21"/>
      <c r="H788" s="49"/>
    </row>
    <row r="789" ht="12.75" customHeight="1">
      <c r="A789" s="20"/>
      <c r="B789" s="21"/>
      <c r="H789" s="49"/>
    </row>
    <row r="790" ht="12.75" customHeight="1">
      <c r="A790" s="20"/>
      <c r="B790" s="21"/>
      <c r="H790" s="49"/>
    </row>
    <row r="791" ht="12.75" customHeight="1">
      <c r="A791" s="20"/>
      <c r="B791" s="21"/>
      <c r="H791" s="49"/>
    </row>
    <row r="792" ht="12.75" customHeight="1">
      <c r="A792" s="20"/>
      <c r="B792" s="21"/>
      <c r="H792" s="49"/>
    </row>
    <row r="793" ht="12.75" customHeight="1">
      <c r="A793" s="20"/>
      <c r="B793" s="21"/>
      <c r="H793" s="49"/>
    </row>
    <row r="794" ht="12.75" customHeight="1">
      <c r="A794" s="20"/>
      <c r="B794" s="21"/>
      <c r="H794" s="49"/>
    </row>
    <row r="795" ht="12.75" customHeight="1">
      <c r="A795" s="20"/>
      <c r="B795" s="21"/>
      <c r="H795" s="49"/>
    </row>
    <row r="796" ht="12.75" customHeight="1">
      <c r="A796" s="20"/>
      <c r="B796" s="21"/>
      <c r="H796" s="49"/>
    </row>
    <row r="797" ht="12.75" customHeight="1">
      <c r="A797" s="20"/>
      <c r="B797" s="21"/>
      <c r="H797" s="49"/>
    </row>
    <row r="798" ht="12.75" customHeight="1">
      <c r="A798" s="20"/>
      <c r="B798" s="21"/>
      <c r="H798" s="49"/>
    </row>
    <row r="799" ht="12.75" customHeight="1">
      <c r="A799" s="20"/>
      <c r="B799" s="21"/>
      <c r="H799" s="49"/>
    </row>
    <row r="800" ht="12.75" customHeight="1">
      <c r="A800" s="20"/>
      <c r="B800" s="21"/>
      <c r="H800" s="49"/>
    </row>
    <row r="801" ht="12.75" customHeight="1">
      <c r="A801" s="20"/>
      <c r="B801" s="21"/>
      <c r="H801" s="49"/>
    </row>
    <row r="802" ht="12.75" customHeight="1">
      <c r="A802" s="20"/>
      <c r="B802" s="21"/>
      <c r="H802" s="49"/>
    </row>
    <row r="803" ht="12.75" customHeight="1">
      <c r="A803" s="20"/>
      <c r="B803" s="21"/>
      <c r="H803" s="49"/>
    </row>
    <row r="804" ht="12.75" customHeight="1">
      <c r="A804" s="20"/>
      <c r="B804" s="21"/>
      <c r="H804" s="49"/>
    </row>
    <row r="805" ht="12.75" customHeight="1">
      <c r="A805" s="20"/>
      <c r="B805" s="21"/>
      <c r="H805" s="49"/>
    </row>
    <row r="806" ht="12.75" customHeight="1">
      <c r="A806" s="20"/>
      <c r="B806" s="21"/>
      <c r="H806" s="49"/>
    </row>
    <row r="807" ht="12.75" customHeight="1">
      <c r="A807" s="20"/>
      <c r="B807" s="21"/>
      <c r="H807" s="49"/>
    </row>
    <row r="808" ht="12.75" customHeight="1">
      <c r="A808" s="20"/>
      <c r="B808" s="21"/>
      <c r="H808" s="49"/>
    </row>
    <row r="809" ht="12.75" customHeight="1">
      <c r="A809" s="20"/>
      <c r="B809" s="21"/>
      <c r="H809" s="49"/>
    </row>
    <row r="810" ht="12.75" customHeight="1">
      <c r="A810" s="20"/>
      <c r="B810" s="21"/>
      <c r="H810" s="49"/>
    </row>
    <row r="811" ht="12.75" customHeight="1">
      <c r="A811" s="20"/>
      <c r="B811" s="21"/>
      <c r="H811" s="49"/>
    </row>
    <row r="812" ht="12.75" customHeight="1">
      <c r="A812" s="20"/>
      <c r="B812" s="21"/>
      <c r="H812" s="49"/>
    </row>
    <row r="813" ht="12.75" customHeight="1">
      <c r="A813" s="20"/>
      <c r="B813" s="21"/>
      <c r="H813" s="49"/>
    </row>
    <row r="814" ht="12.75" customHeight="1">
      <c r="A814" s="20"/>
      <c r="B814" s="21"/>
      <c r="H814" s="49"/>
    </row>
    <row r="815" ht="12.75" customHeight="1">
      <c r="A815" s="20"/>
      <c r="B815" s="21"/>
      <c r="H815" s="49"/>
    </row>
    <row r="816" ht="12.75" customHeight="1">
      <c r="A816" s="20"/>
      <c r="B816" s="21"/>
      <c r="H816" s="49"/>
    </row>
    <row r="817" ht="12.75" customHeight="1">
      <c r="A817" s="20"/>
      <c r="B817" s="21"/>
      <c r="H817" s="49"/>
    </row>
    <row r="818" ht="12.75" customHeight="1">
      <c r="A818" s="20"/>
      <c r="B818" s="21"/>
      <c r="H818" s="49"/>
    </row>
    <row r="819" ht="12.75" customHeight="1">
      <c r="A819" s="20"/>
      <c r="B819" s="21"/>
      <c r="H819" s="49"/>
    </row>
    <row r="820" ht="12.75" customHeight="1">
      <c r="A820" s="20"/>
      <c r="B820" s="21"/>
      <c r="H820" s="49"/>
    </row>
    <row r="821" ht="12.75" customHeight="1">
      <c r="A821" s="20"/>
      <c r="B821" s="21"/>
      <c r="H821" s="49"/>
    </row>
    <row r="822" ht="12.75" customHeight="1">
      <c r="A822" s="20"/>
      <c r="B822" s="21"/>
      <c r="H822" s="49"/>
    </row>
    <row r="823" ht="12.75" customHeight="1">
      <c r="A823" s="20"/>
      <c r="B823" s="21"/>
      <c r="H823" s="49"/>
    </row>
    <row r="824" ht="12.75" customHeight="1">
      <c r="A824" s="20"/>
      <c r="B824" s="21"/>
      <c r="H824" s="49"/>
    </row>
    <row r="825" ht="12.75" customHeight="1">
      <c r="A825" s="20"/>
      <c r="B825" s="21"/>
      <c r="H825" s="49"/>
    </row>
    <row r="826" ht="12.75" customHeight="1">
      <c r="A826" s="20"/>
      <c r="B826" s="21"/>
      <c r="H826" s="49"/>
    </row>
    <row r="827" ht="12.75" customHeight="1">
      <c r="A827" s="20"/>
      <c r="B827" s="21"/>
      <c r="H827" s="49"/>
    </row>
    <row r="828" ht="12.75" customHeight="1">
      <c r="A828" s="20"/>
      <c r="B828" s="21"/>
      <c r="H828" s="49"/>
    </row>
    <row r="829" ht="12.75" customHeight="1">
      <c r="A829" s="20"/>
      <c r="B829" s="21"/>
      <c r="H829" s="49"/>
    </row>
    <row r="830" ht="12.75" customHeight="1">
      <c r="A830" s="20"/>
      <c r="B830" s="21"/>
      <c r="H830" s="49"/>
    </row>
    <row r="831" ht="12.75" customHeight="1">
      <c r="A831" s="20"/>
      <c r="B831" s="21"/>
      <c r="H831" s="49"/>
    </row>
    <row r="832" ht="12.75" customHeight="1">
      <c r="A832" s="20"/>
      <c r="B832" s="21"/>
      <c r="H832" s="49"/>
    </row>
    <row r="833" ht="12.75" customHeight="1">
      <c r="A833" s="20"/>
      <c r="B833" s="21"/>
      <c r="H833" s="49"/>
    </row>
    <row r="834" ht="12.75" customHeight="1">
      <c r="A834" s="20"/>
      <c r="B834" s="21"/>
      <c r="H834" s="49"/>
    </row>
    <row r="835" ht="12.75" customHeight="1">
      <c r="A835" s="20"/>
      <c r="B835" s="21"/>
      <c r="H835" s="49"/>
    </row>
    <row r="836" ht="12.75" customHeight="1">
      <c r="A836" s="20"/>
      <c r="B836" s="21"/>
      <c r="H836" s="49"/>
    </row>
    <row r="837" ht="12.75" customHeight="1">
      <c r="A837" s="20"/>
      <c r="B837" s="21"/>
      <c r="H837" s="49"/>
    </row>
    <row r="838" ht="12.75" customHeight="1">
      <c r="A838" s="20"/>
      <c r="B838" s="21"/>
      <c r="H838" s="49"/>
    </row>
    <row r="839" ht="12.75" customHeight="1">
      <c r="A839" s="20"/>
      <c r="B839" s="21"/>
      <c r="H839" s="49"/>
    </row>
    <row r="840" ht="12.75" customHeight="1">
      <c r="A840" s="20"/>
      <c r="B840" s="21"/>
      <c r="H840" s="49"/>
    </row>
    <row r="841" ht="12.75" customHeight="1">
      <c r="A841" s="20"/>
      <c r="B841" s="21"/>
      <c r="H841" s="49"/>
    </row>
    <row r="842" ht="12.75" customHeight="1">
      <c r="A842" s="20"/>
      <c r="B842" s="21"/>
      <c r="H842" s="49"/>
    </row>
    <row r="843" ht="12.75" customHeight="1">
      <c r="A843" s="20"/>
      <c r="B843" s="21"/>
      <c r="H843" s="49"/>
    </row>
    <row r="844" ht="12.75" customHeight="1">
      <c r="A844" s="20"/>
      <c r="B844" s="21"/>
      <c r="H844" s="49"/>
    </row>
    <row r="845" ht="12.75" customHeight="1">
      <c r="A845" s="20"/>
      <c r="B845" s="21"/>
      <c r="H845" s="49"/>
    </row>
    <row r="846" ht="12.75" customHeight="1">
      <c r="A846" s="20"/>
      <c r="B846" s="21"/>
      <c r="H846" s="49"/>
    </row>
    <row r="847" ht="12.75" customHeight="1">
      <c r="A847" s="20"/>
      <c r="B847" s="21"/>
      <c r="H847" s="49"/>
    </row>
    <row r="848" ht="12.75" customHeight="1">
      <c r="A848" s="20"/>
      <c r="B848" s="21"/>
      <c r="H848" s="49"/>
    </row>
    <row r="849" ht="12.75" customHeight="1">
      <c r="A849" s="20"/>
      <c r="B849" s="21"/>
      <c r="H849" s="49"/>
    </row>
    <row r="850" ht="12.75" customHeight="1">
      <c r="A850" s="20"/>
      <c r="B850" s="21"/>
      <c r="H850" s="49"/>
    </row>
    <row r="851" ht="12.75" customHeight="1">
      <c r="A851" s="20"/>
      <c r="B851" s="21"/>
      <c r="H851" s="49"/>
    </row>
    <row r="852" ht="12.75" customHeight="1">
      <c r="A852" s="20"/>
      <c r="B852" s="21"/>
      <c r="H852" s="49"/>
    </row>
    <row r="853" ht="12.75" customHeight="1">
      <c r="A853" s="20"/>
      <c r="B853" s="21"/>
      <c r="H853" s="49"/>
    </row>
    <row r="854" ht="12.75" customHeight="1">
      <c r="A854" s="20"/>
      <c r="B854" s="21"/>
      <c r="H854" s="49"/>
    </row>
    <row r="855" ht="12.75" customHeight="1">
      <c r="A855" s="20"/>
      <c r="B855" s="21"/>
      <c r="H855" s="49"/>
    </row>
    <row r="856" ht="12.75" customHeight="1">
      <c r="A856" s="20"/>
      <c r="B856" s="21"/>
      <c r="H856" s="49"/>
    </row>
    <row r="857" ht="12.75" customHeight="1">
      <c r="A857" s="20"/>
      <c r="B857" s="21"/>
      <c r="H857" s="49"/>
    </row>
    <row r="858" ht="12.75" customHeight="1">
      <c r="A858" s="20"/>
      <c r="B858" s="21"/>
      <c r="H858" s="49"/>
    </row>
    <row r="859" ht="12.75" customHeight="1">
      <c r="A859" s="20"/>
      <c r="B859" s="21"/>
      <c r="H859" s="49"/>
    </row>
    <row r="860" ht="12.75" customHeight="1">
      <c r="A860" s="20"/>
      <c r="B860" s="21"/>
      <c r="H860" s="49"/>
    </row>
    <row r="861" ht="12.75" customHeight="1">
      <c r="A861" s="20"/>
      <c r="B861" s="21"/>
      <c r="H861" s="49"/>
    </row>
    <row r="862" ht="12.75" customHeight="1">
      <c r="A862" s="20"/>
      <c r="B862" s="21"/>
      <c r="H862" s="49"/>
    </row>
    <row r="863" ht="12.75" customHeight="1">
      <c r="A863" s="20"/>
      <c r="B863" s="21"/>
      <c r="H863" s="49"/>
    </row>
    <row r="864" ht="12.75" customHeight="1">
      <c r="A864" s="20"/>
      <c r="B864" s="21"/>
      <c r="H864" s="49"/>
    </row>
    <row r="865" ht="12.75" customHeight="1">
      <c r="A865" s="20"/>
      <c r="B865" s="21"/>
      <c r="H865" s="49"/>
    </row>
    <row r="866" ht="12.75" customHeight="1">
      <c r="A866" s="20"/>
      <c r="B866" s="21"/>
      <c r="H866" s="49"/>
    </row>
    <row r="867" ht="12.75" customHeight="1">
      <c r="A867" s="20"/>
      <c r="B867" s="21"/>
      <c r="H867" s="49"/>
    </row>
    <row r="868" ht="12.75" customHeight="1">
      <c r="A868" s="20"/>
      <c r="B868" s="21"/>
      <c r="H868" s="49"/>
    </row>
    <row r="869" ht="12.75" customHeight="1">
      <c r="A869" s="20"/>
      <c r="B869" s="21"/>
      <c r="H869" s="49"/>
    </row>
    <row r="870" ht="12.75" customHeight="1">
      <c r="A870" s="20"/>
      <c r="B870" s="21"/>
      <c r="H870" s="49"/>
    </row>
    <row r="871" ht="12.75" customHeight="1">
      <c r="A871" s="20"/>
      <c r="B871" s="21"/>
      <c r="H871" s="49"/>
    </row>
    <row r="872" ht="12.75" customHeight="1">
      <c r="A872" s="20"/>
      <c r="B872" s="21"/>
      <c r="H872" s="49"/>
    </row>
    <row r="873" ht="12.75" customHeight="1">
      <c r="A873" s="20"/>
      <c r="B873" s="21"/>
      <c r="H873" s="49"/>
    </row>
    <row r="874" ht="12.75" customHeight="1">
      <c r="A874" s="20"/>
      <c r="B874" s="21"/>
      <c r="H874" s="49"/>
    </row>
    <row r="875" ht="12.75" customHeight="1">
      <c r="A875" s="20"/>
      <c r="B875" s="21"/>
      <c r="H875" s="49"/>
    </row>
    <row r="876" ht="12.75" customHeight="1">
      <c r="A876" s="20"/>
      <c r="B876" s="21"/>
      <c r="H876" s="49"/>
    </row>
    <row r="877" ht="12.75" customHeight="1">
      <c r="A877" s="20"/>
      <c r="B877" s="21"/>
      <c r="H877" s="49"/>
    </row>
    <row r="878" ht="12.75" customHeight="1">
      <c r="A878" s="20"/>
      <c r="B878" s="21"/>
      <c r="H878" s="49"/>
    </row>
    <row r="879" ht="12.75" customHeight="1">
      <c r="A879" s="20"/>
      <c r="B879" s="21"/>
      <c r="H879" s="49"/>
    </row>
    <row r="880" ht="12.75" customHeight="1">
      <c r="A880" s="20"/>
      <c r="B880" s="21"/>
      <c r="H880" s="49"/>
    </row>
    <row r="881" ht="12.75" customHeight="1">
      <c r="A881" s="20"/>
      <c r="B881" s="21"/>
      <c r="H881" s="49"/>
    </row>
    <row r="882" ht="12.75" customHeight="1">
      <c r="A882" s="20"/>
      <c r="B882" s="21"/>
      <c r="H882" s="49"/>
    </row>
    <row r="883" ht="12.75" customHeight="1">
      <c r="A883" s="20"/>
      <c r="B883" s="21"/>
      <c r="H883" s="49"/>
    </row>
    <row r="884" ht="12.75" customHeight="1">
      <c r="A884" s="20"/>
      <c r="B884" s="21"/>
      <c r="H884" s="49"/>
    </row>
    <row r="885" ht="12.75" customHeight="1">
      <c r="A885" s="20"/>
      <c r="B885" s="21"/>
      <c r="H885" s="49"/>
    </row>
    <row r="886" ht="12.75" customHeight="1">
      <c r="A886" s="20"/>
      <c r="B886" s="21"/>
      <c r="H886" s="49"/>
    </row>
    <row r="887" ht="12.75" customHeight="1">
      <c r="A887" s="20"/>
      <c r="B887" s="21"/>
      <c r="H887" s="49"/>
    </row>
    <row r="888" ht="12.75" customHeight="1">
      <c r="A888" s="20"/>
      <c r="B888" s="21"/>
      <c r="H888" s="49"/>
    </row>
    <row r="889" ht="12.75" customHeight="1">
      <c r="A889" s="20"/>
      <c r="B889" s="21"/>
      <c r="H889" s="49"/>
    </row>
    <row r="890" ht="12.75" customHeight="1">
      <c r="A890" s="20"/>
      <c r="B890" s="21"/>
      <c r="H890" s="49"/>
    </row>
    <row r="891" ht="12.75" customHeight="1">
      <c r="A891" s="20"/>
      <c r="B891" s="21"/>
      <c r="H891" s="49"/>
    </row>
    <row r="892" ht="12.75" customHeight="1">
      <c r="A892" s="20"/>
      <c r="B892" s="21"/>
      <c r="H892" s="49"/>
    </row>
    <row r="893" ht="12.75" customHeight="1">
      <c r="A893" s="20"/>
      <c r="B893" s="21"/>
      <c r="H893" s="49"/>
    </row>
    <row r="894" ht="12.75" customHeight="1">
      <c r="A894" s="20"/>
      <c r="B894" s="21"/>
      <c r="H894" s="49"/>
    </row>
    <row r="895" ht="12.75" customHeight="1">
      <c r="A895" s="20"/>
      <c r="B895" s="21"/>
      <c r="H895" s="49"/>
    </row>
    <row r="896" ht="12.75" customHeight="1">
      <c r="A896" s="20"/>
      <c r="B896" s="21"/>
      <c r="H896" s="49"/>
    </row>
    <row r="897" ht="12.75" customHeight="1">
      <c r="A897" s="20"/>
      <c r="B897" s="21"/>
      <c r="H897" s="49"/>
    </row>
    <row r="898" ht="12.75" customHeight="1">
      <c r="A898" s="20"/>
      <c r="B898" s="21"/>
      <c r="H898" s="49"/>
    </row>
    <row r="899" ht="12.75" customHeight="1">
      <c r="A899" s="20"/>
      <c r="B899" s="21"/>
      <c r="H899" s="49"/>
    </row>
    <row r="900" ht="12.75" customHeight="1">
      <c r="A900" s="20"/>
      <c r="B900" s="21"/>
      <c r="H900" s="49"/>
    </row>
    <row r="901" ht="12.75" customHeight="1">
      <c r="A901" s="20"/>
      <c r="B901" s="21"/>
      <c r="H901" s="49"/>
    </row>
    <row r="902" ht="12.75" customHeight="1">
      <c r="A902" s="20"/>
      <c r="B902" s="21"/>
      <c r="H902" s="49"/>
    </row>
    <row r="903" ht="12.75" customHeight="1">
      <c r="A903" s="20"/>
      <c r="B903" s="21"/>
      <c r="H903" s="49"/>
    </row>
    <row r="904" ht="12.75" customHeight="1">
      <c r="A904" s="20"/>
      <c r="B904" s="21"/>
      <c r="H904" s="49"/>
    </row>
    <row r="905" ht="12.75" customHeight="1">
      <c r="A905" s="20"/>
      <c r="B905" s="21"/>
      <c r="H905" s="49"/>
    </row>
    <row r="906" ht="12.75" customHeight="1">
      <c r="A906" s="20"/>
      <c r="B906" s="21"/>
      <c r="H906" s="49"/>
    </row>
    <row r="907" ht="12.75" customHeight="1">
      <c r="A907" s="20"/>
      <c r="B907" s="21"/>
      <c r="H907" s="49"/>
    </row>
    <row r="908" ht="12.75" customHeight="1">
      <c r="A908" s="20"/>
      <c r="B908" s="21"/>
      <c r="H908" s="49"/>
    </row>
    <row r="909" ht="12.75" customHeight="1">
      <c r="A909" s="20"/>
      <c r="B909" s="21"/>
      <c r="H909" s="49"/>
    </row>
    <row r="910" ht="12.75" customHeight="1">
      <c r="A910" s="20"/>
      <c r="B910" s="21"/>
      <c r="H910" s="49"/>
    </row>
    <row r="911" ht="12.75" customHeight="1">
      <c r="A911" s="20"/>
      <c r="B911" s="21"/>
      <c r="H911" s="49"/>
    </row>
    <row r="912" ht="12.75" customHeight="1">
      <c r="A912" s="20"/>
      <c r="B912" s="21"/>
      <c r="H912" s="49"/>
    </row>
    <row r="913" ht="12.75" customHeight="1">
      <c r="A913" s="20"/>
      <c r="B913" s="21"/>
      <c r="H913" s="49"/>
    </row>
    <row r="914" ht="12.75" customHeight="1">
      <c r="A914" s="20"/>
      <c r="B914" s="21"/>
      <c r="H914" s="49"/>
    </row>
    <row r="915" ht="12.75" customHeight="1">
      <c r="A915" s="20"/>
      <c r="B915" s="21"/>
      <c r="H915" s="49"/>
    </row>
    <row r="916" ht="12.75" customHeight="1">
      <c r="A916" s="20"/>
      <c r="B916" s="21"/>
      <c r="H916" s="49"/>
    </row>
    <row r="917" ht="12.75" customHeight="1">
      <c r="A917" s="20"/>
      <c r="B917" s="21"/>
      <c r="H917" s="49"/>
    </row>
    <row r="918" ht="12.75" customHeight="1">
      <c r="A918" s="20"/>
      <c r="B918" s="21"/>
      <c r="H918" s="49"/>
    </row>
    <row r="919" ht="12.75" customHeight="1">
      <c r="A919" s="20"/>
      <c r="B919" s="21"/>
      <c r="H919" s="49"/>
    </row>
    <row r="920" ht="12.75" customHeight="1">
      <c r="A920" s="20"/>
      <c r="B920" s="21"/>
      <c r="H920" s="49"/>
    </row>
    <row r="921" ht="12.75" customHeight="1">
      <c r="A921" s="20"/>
      <c r="B921" s="21"/>
      <c r="H921" s="49"/>
    </row>
    <row r="922" ht="12.75" customHeight="1">
      <c r="A922" s="20"/>
      <c r="B922" s="21"/>
      <c r="H922" s="49"/>
    </row>
    <row r="923" ht="12.75" customHeight="1">
      <c r="A923" s="20"/>
      <c r="B923" s="21"/>
      <c r="H923" s="49"/>
    </row>
    <row r="924" ht="12.75" customHeight="1">
      <c r="A924" s="20"/>
      <c r="B924" s="21"/>
      <c r="H924" s="49"/>
    </row>
    <row r="925" ht="12.75" customHeight="1">
      <c r="A925" s="20"/>
      <c r="B925" s="21"/>
      <c r="H925" s="49"/>
    </row>
    <row r="926" ht="12.75" customHeight="1">
      <c r="A926" s="20"/>
      <c r="B926" s="21"/>
      <c r="H926" s="49"/>
    </row>
    <row r="927" ht="12.75" customHeight="1">
      <c r="A927" s="20"/>
      <c r="B927" s="21"/>
      <c r="H927" s="49"/>
    </row>
    <row r="928" ht="12.75" customHeight="1">
      <c r="A928" s="20"/>
      <c r="B928" s="21"/>
      <c r="H928" s="49"/>
    </row>
    <row r="929" ht="12.75" customHeight="1">
      <c r="A929" s="20"/>
      <c r="B929" s="21"/>
      <c r="H929" s="49"/>
    </row>
    <row r="930" ht="12.75" customHeight="1">
      <c r="A930" s="20"/>
      <c r="B930" s="21"/>
      <c r="H930" s="49"/>
    </row>
    <row r="931" ht="12.75" customHeight="1">
      <c r="A931" s="20"/>
      <c r="B931" s="21"/>
      <c r="H931" s="49"/>
    </row>
    <row r="932" ht="12.75" customHeight="1">
      <c r="A932" s="20"/>
      <c r="B932" s="21"/>
      <c r="H932" s="49"/>
    </row>
    <row r="933" ht="12.75" customHeight="1">
      <c r="A933" s="20"/>
      <c r="B933" s="21"/>
      <c r="H933" s="49"/>
    </row>
    <row r="934" ht="12.75" customHeight="1">
      <c r="A934" s="20"/>
      <c r="B934" s="21"/>
      <c r="H934" s="49"/>
    </row>
    <row r="935" ht="12.75" customHeight="1">
      <c r="A935" s="20"/>
      <c r="B935" s="21"/>
      <c r="H935" s="49"/>
    </row>
    <row r="936" ht="12.75" customHeight="1">
      <c r="A936" s="20"/>
      <c r="B936" s="21"/>
      <c r="H936" s="49"/>
    </row>
    <row r="937" ht="12.75" customHeight="1">
      <c r="A937" s="20"/>
      <c r="B937" s="21"/>
      <c r="H937" s="49"/>
    </row>
    <row r="938" ht="12.75" customHeight="1">
      <c r="A938" s="20"/>
      <c r="B938" s="21"/>
      <c r="H938" s="49"/>
    </row>
    <row r="939" ht="12.75" customHeight="1">
      <c r="A939" s="20"/>
      <c r="B939" s="21"/>
      <c r="H939" s="49"/>
    </row>
    <row r="940" ht="12.75" customHeight="1">
      <c r="A940" s="20"/>
      <c r="B940" s="21"/>
      <c r="H940" s="49"/>
    </row>
    <row r="941" ht="12.75" customHeight="1">
      <c r="A941" s="20"/>
      <c r="B941" s="21"/>
      <c r="H941" s="49"/>
    </row>
    <row r="942" ht="12.75" customHeight="1">
      <c r="A942" s="20"/>
      <c r="B942" s="21"/>
      <c r="H942" s="49"/>
    </row>
    <row r="943" ht="12.75" customHeight="1">
      <c r="A943" s="20"/>
      <c r="B943" s="21"/>
      <c r="H943" s="49"/>
    </row>
    <row r="944" ht="12.75" customHeight="1">
      <c r="A944" s="20"/>
      <c r="B944" s="21"/>
      <c r="H944" s="49"/>
    </row>
    <row r="945" ht="12.75" customHeight="1">
      <c r="A945" s="20"/>
      <c r="B945" s="21"/>
      <c r="H945" s="49"/>
    </row>
    <row r="946" ht="12.75" customHeight="1">
      <c r="A946" s="20"/>
      <c r="B946" s="21"/>
      <c r="H946" s="49"/>
    </row>
    <row r="947" ht="12.75" customHeight="1">
      <c r="A947" s="20"/>
      <c r="B947" s="21"/>
      <c r="H947" s="49"/>
    </row>
    <row r="948" ht="12.75" customHeight="1">
      <c r="A948" s="20"/>
      <c r="B948" s="21"/>
      <c r="H948" s="49"/>
    </row>
    <row r="949" ht="12.75" customHeight="1">
      <c r="A949" s="20"/>
      <c r="B949" s="21"/>
      <c r="H949" s="49"/>
    </row>
    <row r="950" ht="12.75" customHeight="1">
      <c r="A950" s="20"/>
      <c r="B950" s="21"/>
      <c r="H950" s="49"/>
    </row>
    <row r="951" ht="12.75" customHeight="1">
      <c r="A951" s="20"/>
      <c r="B951" s="21"/>
      <c r="H951" s="49"/>
    </row>
    <row r="952" ht="12.75" customHeight="1">
      <c r="A952" s="20"/>
      <c r="B952" s="21"/>
      <c r="H952" s="49"/>
    </row>
    <row r="953" ht="12.75" customHeight="1">
      <c r="A953" s="20"/>
      <c r="B953" s="21"/>
      <c r="H953" s="49"/>
    </row>
    <row r="954" ht="12.75" customHeight="1">
      <c r="A954" s="20"/>
      <c r="B954" s="21"/>
      <c r="H954" s="49"/>
    </row>
    <row r="955" ht="12.75" customHeight="1">
      <c r="A955" s="20"/>
      <c r="B955" s="21"/>
      <c r="H955" s="49"/>
    </row>
    <row r="956" ht="12.75" customHeight="1">
      <c r="A956" s="20"/>
      <c r="B956" s="21"/>
      <c r="H956" s="49"/>
    </row>
    <row r="957" ht="12.75" customHeight="1">
      <c r="A957" s="20"/>
      <c r="B957" s="21"/>
      <c r="H957" s="49"/>
    </row>
    <row r="958" ht="12.75" customHeight="1">
      <c r="A958" s="20"/>
      <c r="B958" s="21"/>
      <c r="H958" s="49"/>
    </row>
    <row r="959" ht="12.75" customHeight="1">
      <c r="A959" s="20"/>
      <c r="B959" s="21"/>
      <c r="H959" s="49"/>
    </row>
    <row r="960" ht="12.75" customHeight="1">
      <c r="A960" s="20"/>
      <c r="B960" s="21"/>
      <c r="H960" s="49"/>
    </row>
    <row r="961" ht="12.75" customHeight="1">
      <c r="A961" s="20"/>
      <c r="B961" s="21"/>
      <c r="H961" s="49"/>
    </row>
    <row r="962" ht="12.75" customHeight="1">
      <c r="A962" s="20"/>
      <c r="B962" s="21"/>
      <c r="H962" s="49"/>
    </row>
    <row r="963" ht="12.75" customHeight="1">
      <c r="A963" s="20"/>
      <c r="B963" s="21"/>
      <c r="H963" s="49"/>
    </row>
    <row r="964" ht="12.75" customHeight="1">
      <c r="A964" s="20"/>
      <c r="B964" s="21"/>
      <c r="H964" s="49"/>
    </row>
    <row r="965" ht="12.75" customHeight="1">
      <c r="A965" s="20"/>
      <c r="B965" s="21"/>
      <c r="H965" s="49"/>
    </row>
    <row r="966" ht="12.75" customHeight="1">
      <c r="A966" s="20"/>
      <c r="B966" s="21"/>
      <c r="H966" s="49"/>
    </row>
    <row r="967" ht="12.75" customHeight="1">
      <c r="A967" s="20"/>
      <c r="B967" s="21"/>
      <c r="H967" s="49"/>
    </row>
    <row r="968" ht="12.75" customHeight="1">
      <c r="A968" s="20"/>
      <c r="B968" s="21"/>
      <c r="H968" s="49"/>
    </row>
    <row r="969" ht="12.75" customHeight="1">
      <c r="A969" s="20"/>
      <c r="B969" s="21"/>
      <c r="H969" s="49"/>
    </row>
    <row r="970" ht="12.75" customHeight="1">
      <c r="A970" s="20"/>
      <c r="B970" s="21"/>
      <c r="H970" s="49"/>
    </row>
    <row r="971" ht="12.75" customHeight="1">
      <c r="A971" s="20"/>
      <c r="B971" s="21"/>
      <c r="H971" s="49"/>
    </row>
    <row r="972" ht="12.75" customHeight="1">
      <c r="A972" s="20"/>
      <c r="B972" s="21"/>
      <c r="H972" s="49"/>
    </row>
    <row r="973" ht="12.75" customHeight="1">
      <c r="A973" s="20"/>
      <c r="B973" s="21"/>
      <c r="H973" s="49"/>
    </row>
    <row r="974" ht="12.75" customHeight="1">
      <c r="A974" s="20"/>
      <c r="B974" s="21"/>
      <c r="H974" s="49"/>
    </row>
    <row r="975" ht="12.75" customHeight="1">
      <c r="A975" s="20"/>
      <c r="B975" s="21"/>
      <c r="H975" s="49"/>
    </row>
    <row r="976" ht="12.75" customHeight="1">
      <c r="A976" s="20"/>
      <c r="B976" s="21"/>
      <c r="H976" s="49"/>
    </row>
    <row r="977" ht="12.75" customHeight="1">
      <c r="A977" s="20"/>
      <c r="B977" s="21"/>
      <c r="H977" s="49"/>
    </row>
    <row r="978" ht="12.75" customHeight="1">
      <c r="A978" s="20"/>
      <c r="B978" s="21"/>
      <c r="H978" s="49"/>
    </row>
    <row r="979" ht="12.75" customHeight="1">
      <c r="A979" s="20"/>
      <c r="B979" s="21"/>
      <c r="H979" s="49"/>
    </row>
    <row r="980" ht="12.75" customHeight="1">
      <c r="A980" s="20"/>
      <c r="B980" s="21"/>
      <c r="H980" s="49"/>
    </row>
    <row r="981" ht="12.75" customHeight="1">
      <c r="A981" s="20"/>
      <c r="B981" s="21"/>
      <c r="H981" s="49"/>
    </row>
    <row r="982" ht="12.75" customHeight="1">
      <c r="A982" s="20"/>
      <c r="B982" s="21"/>
      <c r="H982" s="49"/>
    </row>
    <row r="983" ht="12.75" customHeight="1">
      <c r="A983" s="20"/>
      <c r="B983" s="21"/>
      <c r="H983" s="49"/>
    </row>
    <row r="984" ht="12.75" customHeight="1">
      <c r="A984" s="20"/>
      <c r="B984" s="21"/>
      <c r="H984" s="49"/>
    </row>
    <row r="985" ht="12.75" customHeight="1">
      <c r="A985" s="20"/>
      <c r="B985" s="21"/>
      <c r="H985" s="49"/>
    </row>
    <row r="986" ht="12.75" customHeight="1">
      <c r="A986" s="20"/>
      <c r="B986" s="21"/>
      <c r="H986" s="49"/>
    </row>
    <row r="987" ht="12.75" customHeight="1">
      <c r="A987" s="20"/>
      <c r="B987" s="21"/>
      <c r="H987" s="49"/>
    </row>
    <row r="988" ht="12.75" customHeight="1">
      <c r="A988" s="20"/>
      <c r="B988" s="21"/>
      <c r="H988" s="49"/>
    </row>
    <row r="989" ht="12.75" customHeight="1">
      <c r="A989" s="20"/>
      <c r="B989" s="21"/>
      <c r="H989" s="49"/>
    </row>
    <row r="990" ht="12.75" customHeight="1">
      <c r="A990" s="20"/>
      <c r="B990" s="21"/>
      <c r="H990" s="49"/>
    </row>
    <row r="991" ht="12.75" customHeight="1">
      <c r="A991" s="20"/>
      <c r="B991" s="21"/>
      <c r="H991" s="49"/>
    </row>
    <row r="992" ht="12.75" customHeight="1">
      <c r="A992" s="20"/>
      <c r="B992" s="21"/>
      <c r="H992" s="49"/>
    </row>
    <row r="993" ht="12.75" customHeight="1">
      <c r="A993" s="20"/>
      <c r="B993" s="21"/>
      <c r="H993" s="49"/>
    </row>
    <row r="994" ht="12.75" customHeight="1">
      <c r="A994" s="20"/>
      <c r="B994" s="21"/>
      <c r="H994" s="49"/>
    </row>
    <row r="995" ht="12.75" customHeight="1">
      <c r="A995" s="20"/>
      <c r="B995" s="21"/>
      <c r="H995" s="49"/>
    </row>
    <row r="996" ht="12.75" customHeight="1">
      <c r="A996" s="20"/>
      <c r="B996" s="21"/>
      <c r="H996" s="49"/>
    </row>
    <row r="997" ht="12.75" customHeight="1">
      <c r="A997" s="20"/>
      <c r="B997" s="21"/>
      <c r="H997" s="49"/>
    </row>
    <row r="998" ht="12.75" customHeight="1">
      <c r="A998" s="20"/>
      <c r="B998" s="21"/>
      <c r="H998" s="49"/>
    </row>
    <row r="999" ht="12.75" customHeight="1">
      <c r="A999" s="20"/>
      <c r="B999" s="21"/>
      <c r="H999" s="49"/>
    </row>
    <row r="1000" ht="12.75" customHeight="1">
      <c r="A1000" s="20"/>
      <c r="B1000" s="21"/>
      <c r="H1000" s="49"/>
    </row>
  </sheetData>
  <hyperlinks>
    <hyperlink display="← Back to Cube Index" location="'Cube Index'!A1" ref="L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5.13"/>
    <col customWidth="1" min="3" max="3" width="69.0"/>
    <col customWidth="1" min="4" max="5" width="10.63"/>
    <col customWidth="1" min="6" max="6" width="26.63"/>
    <col customWidth="1" min="7" max="26" width="10.63"/>
  </cols>
  <sheetData>
    <row r="1" ht="12.75" customHeight="1">
      <c r="A1" s="10" t="s">
        <v>1700</v>
      </c>
      <c r="B1" s="10" t="s">
        <v>160</v>
      </c>
      <c r="C1" s="50" t="s">
        <v>1701</v>
      </c>
      <c r="F1" s="44" t="s">
        <v>161</v>
      </c>
    </row>
    <row r="2" ht="12.75" customHeight="1">
      <c r="A2" s="9" t="s">
        <v>1702</v>
      </c>
      <c r="B2" s="9">
        <v>2026.0</v>
      </c>
      <c r="C2" s="45" t="s">
        <v>1703</v>
      </c>
    </row>
    <row r="3" ht="12.75" customHeight="1">
      <c r="A3" s="9" t="s">
        <v>1704</v>
      </c>
      <c r="B3" s="9">
        <v>2026.0</v>
      </c>
      <c r="C3" s="45" t="s">
        <v>1705</v>
      </c>
    </row>
    <row r="4" ht="12.75" customHeight="1">
      <c r="A4" s="9" t="s">
        <v>70</v>
      </c>
      <c r="B4" s="9">
        <v>2026.0</v>
      </c>
      <c r="C4" s="45" t="s">
        <v>1706</v>
      </c>
    </row>
    <row r="5" ht="12.75" customHeight="1">
      <c r="A5" s="9" t="s">
        <v>1707</v>
      </c>
      <c r="B5" s="9">
        <v>2026.0</v>
      </c>
      <c r="C5" s="45" t="s">
        <v>1708</v>
      </c>
    </row>
    <row r="6" ht="12.75" customHeight="1">
      <c r="A6" s="9" t="s">
        <v>1709</v>
      </c>
      <c r="B6" s="9">
        <v>2026.0</v>
      </c>
      <c r="C6" s="45" t="s">
        <v>1710</v>
      </c>
    </row>
    <row r="7" ht="12.75" customHeight="1">
      <c r="A7" s="9" t="s">
        <v>1711</v>
      </c>
      <c r="B7" s="9">
        <v>2026.0</v>
      </c>
      <c r="C7" s="45" t="s">
        <v>1712</v>
      </c>
    </row>
    <row r="8" ht="12.75" customHeight="1">
      <c r="A8" s="9" t="s">
        <v>1713</v>
      </c>
      <c r="B8" s="9">
        <v>2026.0</v>
      </c>
      <c r="C8" s="45" t="s">
        <v>1714</v>
      </c>
    </row>
    <row r="9" ht="12.75" customHeight="1">
      <c r="A9" s="9" t="s">
        <v>1715</v>
      </c>
      <c r="B9" s="9">
        <v>2026.0</v>
      </c>
      <c r="C9" s="45" t="s">
        <v>1716</v>
      </c>
    </row>
    <row r="10" ht="12.75" customHeight="1">
      <c r="A10" s="9" t="s">
        <v>1717</v>
      </c>
      <c r="B10" s="9">
        <v>2026.0</v>
      </c>
      <c r="C10" s="45" t="s">
        <v>1718</v>
      </c>
    </row>
    <row r="11" ht="12.75" customHeight="1">
      <c r="A11" s="9" t="s">
        <v>1719</v>
      </c>
      <c r="B11" s="9">
        <v>2026.0</v>
      </c>
      <c r="C11" s="45" t="s">
        <v>1720</v>
      </c>
    </row>
    <row r="12" ht="12.75" customHeight="1">
      <c r="C12" s="45"/>
    </row>
    <row r="13" ht="12.75" customHeight="1">
      <c r="C13" s="45"/>
    </row>
    <row r="14" ht="12.75" customHeight="1">
      <c r="C14" s="45"/>
    </row>
    <row r="15" ht="12.75" customHeight="1">
      <c r="C15" s="45"/>
    </row>
    <row r="16" ht="12.75" customHeight="1">
      <c r="C16" s="45"/>
    </row>
    <row r="17" ht="12.75" customHeight="1">
      <c r="C17" s="45"/>
    </row>
    <row r="18" ht="12.75" customHeight="1">
      <c r="C18" s="45"/>
    </row>
    <row r="19" ht="12.75" customHeight="1">
      <c r="C19" s="45"/>
    </row>
    <row r="20" ht="12.75" customHeight="1">
      <c r="C20" s="45"/>
    </row>
    <row r="21" ht="12.75" customHeight="1">
      <c r="C21" s="45"/>
    </row>
    <row r="22" ht="12.75" customHeight="1">
      <c r="C22" s="45"/>
    </row>
    <row r="23" ht="12.75" customHeight="1">
      <c r="C23" s="45"/>
    </row>
    <row r="24" ht="12.75" customHeight="1">
      <c r="C24" s="45"/>
    </row>
    <row r="25" ht="12.75" customHeight="1">
      <c r="C25" s="45"/>
    </row>
    <row r="26" ht="12.75" customHeight="1">
      <c r="C26" s="45"/>
    </row>
    <row r="27" ht="12.75" customHeight="1">
      <c r="C27" s="45"/>
    </row>
    <row r="28" ht="12.75" customHeight="1">
      <c r="C28" s="45"/>
    </row>
    <row r="29" ht="12.75" customHeight="1">
      <c r="C29" s="45"/>
    </row>
    <row r="30" ht="12.75" customHeight="1">
      <c r="C30" s="45"/>
    </row>
    <row r="31" ht="12.75" customHeight="1">
      <c r="C31" s="45"/>
    </row>
    <row r="32" ht="12.75" customHeight="1">
      <c r="C32" s="45"/>
    </row>
    <row r="33" ht="12.75" customHeight="1">
      <c r="C33" s="45"/>
    </row>
    <row r="34" ht="12.75" customHeight="1">
      <c r="C34" s="45"/>
    </row>
    <row r="35" ht="12.75" customHeight="1">
      <c r="C35" s="45"/>
    </row>
    <row r="36" ht="12.75" customHeight="1">
      <c r="C36" s="45"/>
    </row>
    <row r="37" ht="12.75" customHeight="1">
      <c r="C37" s="45"/>
    </row>
    <row r="38" ht="12.75" customHeight="1">
      <c r="C38" s="45"/>
    </row>
    <row r="39" ht="12.75" customHeight="1">
      <c r="C39" s="45"/>
    </row>
    <row r="40" ht="12.75" customHeight="1">
      <c r="C40" s="45"/>
    </row>
    <row r="41" ht="12.75" customHeight="1">
      <c r="C41" s="45"/>
    </row>
    <row r="42" ht="12.75" customHeight="1">
      <c r="C42" s="45"/>
    </row>
    <row r="43" ht="12.75" customHeight="1">
      <c r="C43" s="45"/>
    </row>
    <row r="44" ht="12.75" customHeight="1">
      <c r="C44" s="45"/>
    </row>
    <row r="45" ht="12.75" customHeight="1">
      <c r="C45" s="45"/>
    </row>
    <row r="46" ht="12.75" customHeight="1">
      <c r="C46" s="45"/>
    </row>
    <row r="47" ht="12.75" customHeight="1">
      <c r="C47" s="45"/>
    </row>
    <row r="48" ht="12.75" customHeight="1">
      <c r="C48" s="45"/>
    </row>
    <row r="49" ht="12.75" customHeight="1">
      <c r="C49" s="45"/>
    </row>
    <row r="50" ht="12.75" customHeight="1">
      <c r="C50" s="45"/>
    </row>
    <row r="51" ht="12.75" customHeight="1">
      <c r="C51" s="45"/>
    </row>
    <row r="52" ht="12.75" customHeight="1">
      <c r="C52" s="45"/>
    </row>
    <row r="53" ht="12.75" customHeight="1">
      <c r="C53" s="45"/>
    </row>
    <row r="54" ht="12.75" customHeight="1">
      <c r="C54" s="45"/>
    </row>
    <row r="55" ht="12.75" customHeight="1">
      <c r="C55" s="45"/>
    </row>
    <row r="56" ht="12.75" customHeight="1">
      <c r="C56" s="45"/>
    </row>
    <row r="57" ht="12.75" customHeight="1">
      <c r="C57" s="45"/>
    </row>
    <row r="58" ht="12.75" customHeight="1">
      <c r="C58" s="45"/>
    </row>
    <row r="59" ht="12.75" customHeight="1">
      <c r="C59" s="45"/>
    </row>
    <row r="60" ht="12.75" customHeight="1">
      <c r="C60" s="45"/>
    </row>
    <row r="61" ht="12.75" customHeight="1">
      <c r="C61" s="45"/>
    </row>
    <row r="62" ht="12.75" customHeight="1">
      <c r="C62" s="45"/>
    </row>
    <row r="63" ht="12.75" customHeight="1">
      <c r="C63" s="45"/>
    </row>
    <row r="64" ht="12.75" customHeight="1">
      <c r="C64" s="45"/>
    </row>
    <row r="65" ht="12.75" customHeight="1">
      <c r="C65" s="45"/>
    </row>
    <row r="66" ht="12.75" customHeight="1">
      <c r="C66" s="45"/>
    </row>
    <row r="67" ht="12.75" customHeight="1">
      <c r="C67" s="45"/>
    </row>
    <row r="68" ht="12.75" customHeight="1">
      <c r="C68" s="45"/>
    </row>
    <row r="69" ht="12.75" customHeight="1">
      <c r="C69" s="45"/>
    </row>
    <row r="70" ht="12.75" customHeight="1">
      <c r="C70" s="45"/>
    </row>
    <row r="71" ht="12.75" customHeight="1">
      <c r="C71" s="45"/>
    </row>
    <row r="72" ht="12.75" customHeight="1">
      <c r="C72" s="45"/>
    </row>
    <row r="73" ht="12.75" customHeight="1">
      <c r="C73" s="45"/>
    </row>
    <row r="74" ht="12.75" customHeight="1">
      <c r="C74" s="45"/>
    </row>
    <row r="75" ht="12.75" customHeight="1">
      <c r="C75" s="45"/>
    </row>
    <row r="76" ht="12.75" customHeight="1">
      <c r="C76" s="45"/>
    </row>
    <row r="77" ht="12.75" customHeight="1">
      <c r="C77" s="45"/>
    </row>
    <row r="78" ht="12.75" customHeight="1">
      <c r="C78" s="45"/>
    </row>
    <row r="79" ht="12.75" customHeight="1">
      <c r="C79" s="45"/>
    </row>
    <row r="80" ht="12.75" customHeight="1">
      <c r="C80" s="45"/>
    </row>
    <row r="81" ht="12.75" customHeight="1">
      <c r="C81" s="45"/>
    </row>
    <row r="82" ht="12.75" customHeight="1">
      <c r="C82" s="45"/>
    </row>
    <row r="83" ht="12.75" customHeight="1">
      <c r="C83" s="45"/>
    </row>
    <row r="84" ht="12.75" customHeight="1">
      <c r="C84" s="45"/>
    </row>
    <row r="85" ht="12.75" customHeight="1">
      <c r="C85" s="45"/>
    </row>
    <row r="86" ht="12.75" customHeight="1">
      <c r="C86" s="45"/>
    </row>
    <row r="87" ht="12.75" customHeight="1">
      <c r="C87" s="45"/>
    </row>
    <row r="88" ht="12.75" customHeight="1">
      <c r="C88" s="45"/>
    </row>
    <row r="89" ht="12.75" customHeight="1">
      <c r="C89" s="45"/>
    </row>
    <row r="90" ht="12.75" customHeight="1">
      <c r="C90" s="45"/>
    </row>
    <row r="91" ht="12.75" customHeight="1">
      <c r="C91" s="45"/>
    </row>
    <row r="92" ht="12.75" customHeight="1">
      <c r="C92" s="45"/>
    </row>
    <row r="93" ht="12.75" customHeight="1">
      <c r="C93" s="45"/>
    </row>
    <row r="94" ht="12.75" customHeight="1">
      <c r="C94" s="45"/>
    </row>
    <row r="95" ht="12.75" customHeight="1">
      <c r="C95" s="45"/>
    </row>
    <row r="96" ht="12.75" customHeight="1">
      <c r="C96" s="45"/>
    </row>
    <row r="97" ht="12.75" customHeight="1">
      <c r="C97" s="45"/>
    </row>
    <row r="98" ht="12.75" customHeight="1">
      <c r="C98" s="45"/>
    </row>
    <row r="99" ht="12.75" customHeight="1">
      <c r="C99" s="45"/>
    </row>
    <row r="100" ht="12.75" customHeight="1">
      <c r="C100" s="45"/>
    </row>
    <row r="101" ht="12.75" customHeight="1">
      <c r="C101" s="45"/>
    </row>
    <row r="102" ht="12.75" customHeight="1">
      <c r="C102" s="45"/>
    </row>
    <row r="103" ht="12.75" customHeight="1">
      <c r="C103" s="45"/>
    </row>
    <row r="104" ht="12.75" customHeight="1">
      <c r="C104" s="45"/>
    </row>
    <row r="105" ht="12.75" customHeight="1">
      <c r="C105" s="45"/>
    </row>
    <row r="106" ht="12.75" customHeight="1">
      <c r="C106" s="45"/>
    </row>
    <row r="107" ht="12.75" customHeight="1">
      <c r="C107" s="45"/>
    </row>
    <row r="108" ht="12.75" customHeight="1">
      <c r="C108" s="45"/>
    </row>
    <row r="109" ht="12.75" customHeight="1">
      <c r="C109" s="45"/>
    </row>
    <row r="110" ht="12.75" customHeight="1">
      <c r="C110" s="45"/>
    </row>
    <row r="111" ht="12.75" customHeight="1">
      <c r="C111" s="45"/>
    </row>
    <row r="112" ht="12.75" customHeight="1">
      <c r="C112" s="45"/>
    </row>
    <row r="113" ht="12.75" customHeight="1">
      <c r="C113" s="45"/>
    </row>
    <row r="114" ht="12.75" customHeight="1">
      <c r="C114" s="45"/>
    </row>
    <row r="115" ht="12.75" customHeight="1">
      <c r="C115" s="45"/>
    </row>
    <row r="116" ht="12.75" customHeight="1">
      <c r="C116" s="45"/>
    </row>
    <row r="117" ht="12.75" customHeight="1">
      <c r="C117" s="45"/>
    </row>
    <row r="118" ht="12.75" customHeight="1">
      <c r="C118" s="45"/>
    </row>
    <row r="119" ht="12.75" customHeight="1">
      <c r="C119" s="45"/>
    </row>
    <row r="120" ht="12.75" customHeight="1">
      <c r="C120" s="45"/>
    </row>
    <row r="121" ht="12.75" customHeight="1">
      <c r="C121" s="45"/>
    </row>
    <row r="122" ht="12.75" customHeight="1">
      <c r="C122" s="45"/>
    </row>
    <row r="123" ht="12.75" customHeight="1">
      <c r="C123" s="45"/>
    </row>
    <row r="124" ht="12.75" customHeight="1">
      <c r="C124" s="45"/>
    </row>
    <row r="125" ht="12.75" customHeight="1">
      <c r="C125" s="45"/>
    </row>
    <row r="126" ht="12.75" customHeight="1">
      <c r="C126" s="45"/>
    </row>
    <row r="127" ht="12.75" customHeight="1">
      <c r="C127" s="45"/>
    </row>
    <row r="128" ht="12.75" customHeight="1">
      <c r="C128" s="45"/>
    </row>
    <row r="129" ht="12.75" customHeight="1">
      <c r="C129" s="45"/>
    </row>
    <row r="130" ht="12.75" customHeight="1">
      <c r="C130" s="45"/>
    </row>
    <row r="131" ht="12.75" customHeight="1">
      <c r="C131" s="45"/>
    </row>
    <row r="132" ht="12.75" customHeight="1">
      <c r="C132" s="45"/>
    </row>
    <row r="133" ht="12.75" customHeight="1">
      <c r="C133" s="45"/>
    </row>
    <row r="134" ht="12.75" customHeight="1">
      <c r="C134" s="45"/>
    </row>
    <row r="135" ht="12.75" customHeight="1">
      <c r="C135" s="45"/>
    </row>
    <row r="136" ht="12.75" customHeight="1">
      <c r="C136" s="45"/>
    </row>
    <row r="137" ht="12.75" customHeight="1">
      <c r="C137" s="45"/>
    </row>
    <row r="138" ht="12.75" customHeight="1">
      <c r="C138" s="45"/>
    </row>
    <row r="139" ht="12.75" customHeight="1">
      <c r="C139" s="45"/>
    </row>
    <row r="140" ht="12.75" customHeight="1">
      <c r="C140" s="45"/>
    </row>
    <row r="141" ht="12.75" customHeight="1">
      <c r="C141" s="45"/>
    </row>
    <row r="142" ht="12.75" customHeight="1">
      <c r="C142" s="45"/>
    </row>
    <row r="143" ht="12.75" customHeight="1">
      <c r="C143" s="45"/>
    </row>
    <row r="144" ht="12.75" customHeight="1">
      <c r="C144" s="45"/>
    </row>
    <row r="145" ht="12.75" customHeight="1">
      <c r="C145" s="45"/>
    </row>
    <row r="146" ht="12.75" customHeight="1">
      <c r="C146" s="45"/>
    </row>
    <row r="147" ht="12.75" customHeight="1">
      <c r="C147" s="45"/>
    </row>
    <row r="148" ht="12.75" customHeight="1">
      <c r="C148" s="45"/>
    </row>
    <row r="149" ht="12.75" customHeight="1">
      <c r="C149" s="45"/>
    </row>
    <row r="150" ht="12.75" customHeight="1">
      <c r="C150" s="45"/>
    </row>
    <row r="151" ht="12.75" customHeight="1">
      <c r="C151" s="45"/>
    </row>
    <row r="152" ht="12.75" customHeight="1">
      <c r="C152" s="45"/>
    </row>
    <row r="153" ht="12.75" customHeight="1">
      <c r="C153" s="45"/>
    </row>
    <row r="154" ht="12.75" customHeight="1">
      <c r="C154" s="45"/>
    </row>
    <row r="155" ht="12.75" customHeight="1">
      <c r="C155" s="45"/>
    </row>
    <row r="156" ht="12.75" customHeight="1">
      <c r="C156" s="45"/>
    </row>
    <row r="157" ht="12.75" customHeight="1">
      <c r="C157" s="45"/>
    </row>
    <row r="158" ht="12.75" customHeight="1">
      <c r="C158" s="45"/>
    </row>
    <row r="159" ht="12.75" customHeight="1">
      <c r="C159" s="45"/>
    </row>
    <row r="160" ht="12.75" customHeight="1">
      <c r="C160" s="45"/>
    </row>
    <row r="161" ht="12.75" customHeight="1">
      <c r="C161" s="45"/>
    </row>
    <row r="162" ht="12.75" customHeight="1">
      <c r="C162" s="45"/>
    </row>
    <row r="163" ht="12.75" customHeight="1">
      <c r="C163" s="45"/>
    </row>
    <row r="164" ht="12.75" customHeight="1">
      <c r="C164" s="45"/>
    </row>
    <row r="165" ht="12.75" customHeight="1">
      <c r="C165" s="45"/>
    </row>
    <row r="166" ht="12.75" customHeight="1">
      <c r="C166" s="45"/>
    </row>
    <row r="167" ht="12.75" customHeight="1">
      <c r="C167" s="45"/>
    </row>
    <row r="168" ht="12.75" customHeight="1">
      <c r="C168" s="45"/>
    </row>
    <row r="169" ht="12.75" customHeight="1">
      <c r="C169" s="45"/>
    </row>
    <row r="170" ht="12.75" customHeight="1">
      <c r="C170" s="45"/>
    </row>
    <row r="171" ht="12.75" customHeight="1">
      <c r="C171" s="45"/>
    </row>
    <row r="172" ht="12.75" customHeight="1">
      <c r="C172" s="45"/>
    </row>
    <row r="173" ht="12.75" customHeight="1">
      <c r="C173" s="45"/>
    </row>
    <row r="174" ht="12.75" customHeight="1">
      <c r="C174" s="45"/>
    </row>
    <row r="175" ht="12.75" customHeight="1">
      <c r="C175" s="45"/>
    </row>
    <row r="176" ht="12.75" customHeight="1">
      <c r="C176" s="45"/>
    </row>
    <row r="177" ht="12.75" customHeight="1">
      <c r="C177" s="45"/>
    </row>
    <row r="178" ht="12.75" customHeight="1">
      <c r="C178" s="45"/>
    </row>
    <row r="179" ht="12.75" customHeight="1">
      <c r="C179" s="45"/>
    </row>
    <row r="180" ht="12.75" customHeight="1">
      <c r="C180" s="45"/>
    </row>
    <row r="181" ht="12.75" customHeight="1">
      <c r="C181" s="45"/>
    </row>
    <row r="182" ht="12.75" customHeight="1">
      <c r="C182" s="45"/>
    </row>
    <row r="183" ht="12.75" customHeight="1">
      <c r="C183" s="45"/>
    </row>
    <row r="184" ht="12.75" customHeight="1">
      <c r="C184" s="45"/>
    </row>
    <row r="185" ht="12.75" customHeight="1">
      <c r="C185" s="45"/>
    </row>
    <row r="186" ht="12.75" customHeight="1">
      <c r="C186" s="45"/>
    </row>
    <row r="187" ht="12.75" customHeight="1">
      <c r="C187" s="45"/>
    </row>
    <row r="188" ht="12.75" customHeight="1">
      <c r="C188" s="45"/>
    </row>
    <row r="189" ht="12.75" customHeight="1">
      <c r="C189" s="45"/>
    </row>
    <row r="190" ht="12.75" customHeight="1">
      <c r="C190" s="45"/>
    </row>
    <row r="191" ht="12.75" customHeight="1">
      <c r="C191" s="45"/>
    </row>
    <row r="192" ht="12.75" customHeight="1">
      <c r="C192" s="45"/>
    </row>
    <row r="193" ht="12.75" customHeight="1">
      <c r="C193" s="45"/>
    </row>
    <row r="194" ht="12.75" customHeight="1">
      <c r="C194" s="45"/>
    </row>
    <row r="195" ht="12.75" customHeight="1">
      <c r="C195" s="45"/>
    </row>
    <row r="196" ht="12.75" customHeight="1">
      <c r="C196" s="45"/>
    </row>
    <row r="197" ht="12.75" customHeight="1">
      <c r="C197" s="45"/>
    </row>
    <row r="198" ht="12.75" customHeight="1">
      <c r="C198" s="45"/>
    </row>
    <row r="199" ht="12.75" customHeight="1">
      <c r="C199" s="45"/>
    </row>
    <row r="200" ht="12.75" customHeight="1">
      <c r="C200" s="45"/>
    </row>
    <row r="201" ht="12.75" customHeight="1">
      <c r="C201" s="45"/>
    </row>
    <row r="202" ht="12.75" customHeight="1">
      <c r="C202" s="45"/>
    </row>
    <row r="203" ht="12.75" customHeight="1">
      <c r="C203" s="45"/>
    </row>
    <row r="204" ht="12.75" customHeight="1">
      <c r="C204" s="45"/>
    </row>
    <row r="205" ht="12.75" customHeight="1">
      <c r="C205" s="45"/>
    </row>
    <row r="206" ht="12.75" customHeight="1">
      <c r="C206" s="45"/>
    </row>
    <row r="207" ht="12.75" customHeight="1">
      <c r="C207" s="45"/>
    </row>
    <row r="208" ht="12.75" customHeight="1">
      <c r="C208" s="45"/>
    </row>
    <row r="209" ht="12.75" customHeight="1">
      <c r="C209" s="45"/>
    </row>
    <row r="210" ht="12.75" customHeight="1">
      <c r="C210" s="45"/>
    </row>
    <row r="211" ht="12.75" customHeight="1">
      <c r="C211" s="45"/>
    </row>
    <row r="212" ht="12.75" customHeight="1">
      <c r="C212" s="45"/>
    </row>
    <row r="213" ht="12.75" customHeight="1">
      <c r="C213" s="45"/>
    </row>
    <row r="214" ht="12.75" customHeight="1">
      <c r="C214" s="45"/>
    </row>
    <row r="215" ht="12.75" customHeight="1">
      <c r="C215" s="45"/>
    </row>
    <row r="216" ht="12.75" customHeight="1">
      <c r="C216" s="45"/>
    </row>
    <row r="217" ht="12.75" customHeight="1">
      <c r="C217" s="45"/>
    </row>
    <row r="218" ht="12.75" customHeight="1">
      <c r="C218" s="45"/>
    </row>
    <row r="219" ht="12.75" customHeight="1">
      <c r="C219" s="45"/>
    </row>
    <row r="220" ht="12.75" customHeight="1">
      <c r="C220" s="45"/>
    </row>
    <row r="221" ht="12.75" customHeight="1">
      <c r="C221" s="45"/>
    </row>
    <row r="222" ht="12.75" customHeight="1">
      <c r="C222" s="45"/>
    </row>
    <row r="223" ht="12.75" customHeight="1">
      <c r="C223" s="45"/>
    </row>
    <row r="224" ht="12.75" customHeight="1">
      <c r="C224" s="45"/>
    </row>
    <row r="225" ht="12.75" customHeight="1">
      <c r="C225" s="45"/>
    </row>
    <row r="226" ht="12.75" customHeight="1">
      <c r="C226" s="45"/>
    </row>
    <row r="227" ht="12.75" customHeight="1">
      <c r="C227" s="45"/>
    </row>
    <row r="228" ht="12.75" customHeight="1">
      <c r="C228" s="45"/>
    </row>
    <row r="229" ht="12.75" customHeight="1">
      <c r="C229" s="45"/>
    </row>
    <row r="230" ht="12.75" customHeight="1">
      <c r="C230" s="45"/>
    </row>
    <row r="231" ht="12.75" customHeight="1">
      <c r="C231" s="45"/>
    </row>
    <row r="232" ht="12.75" customHeight="1">
      <c r="C232" s="45"/>
    </row>
    <row r="233" ht="12.75" customHeight="1">
      <c r="C233" s="45"/>
    </row>
    <row r="234" ht="12.75" customHeight="1">
      <c r="C234" s="45"/>
    </row>
    <row r="235" ht="12.75" customHeight="1">
      <c r="C235" s="45"/>
    </row>
    <row r="236" ht="12.75" customHeight="1">
      <c r="C236" s="45"/>
    </row>
    <row r="237" ht="12.75" customHeight="1">
      <c r="C237" s="45"/>
    </row>
    <row r="238" ht="12.75" customHeight="1">
      <c r="C238" s="45"/>
    </row>
    <row r="239" ht="12.75" customHeight="1">
      <c r="C239" s="45"/>
    </row>
    <row r="240" ht="12.75" customHeight="1">
      <c r="C240" s="45"/>
    </row>
    <row r="241" ht="12.75" customHeight="1">
      <c r="C241" s="45"/>
    </row>
    <row r="242" ht="12.75" customHeight="1">
      <c r="C242" s="45"/>
    </row>
    <row r="243" ht="12.75" customHeight="1">
      <c r="C243" s="45"/>
    </row>
    <row r="244" ht="12.75" customHeight="1">
      <c r="C244" s="45"/>
    </row>
    <row r="245" ht="12.75" customHeight="1">
      <c r="C245" s="45"/>
    </row>
    <row r="246" ht="12.75" customHeight="1">
      <c r="C246" s="45"/>
    </row>
    <row r="247" ht="12.75" customHeight="1">
      <c r="C247" s="45"/>
    </row>
    <row r="248" ht="12.75" customHeight="1">
      <c r="C248" s="45"/>
    </row>
    <row r="249" ht="12.75" customHeight="1">
      <c r="C249" s="45"/>
    </row>
    <row r="250" ht="12.75" customHeight="1">
      <c r="C250" s="45"/>
    </row>
    <row r="251" ht="12.75" customHeight="1">
      <c r="C251" s="45"/>
    </row>
    <row r="252" ht="12.75" customHeight="1">
      <c r="C252" s="45"/>
    </row>
    <row r="253" ht="12.75" customHeight="1">
      <c r="C253" s="45"/>
    </row>
    <row r="254" ht="12.75" customHeight="1">
      <c r="C254" s="45"/>
    </row>
    <row r="255" ht="12.75" customHeight="1">
      <c r="C255" s="45"/>
    </row>
    <row r="256" ht="12.75" customHeight="1">
      <c r="C256" s="45"/>
    </row>
    <row r="257" ht="12.75" customHeight="1">
      <c r="C257" s="45"/>
    </row>
    <row r="258" ht="12.75" customHeight="1">
      <c r="C258" s="45"/>
    </row>
    <row r="259" ht="12.75" customHeight="1">
      <c r="C259" s="45"/>
    </row>
    <row r="260" ht="12.75" customHeight="1">
      <c r="C260" s="45"/>
    </row>
    <row r="261" ht="12.75" customHeight="1">
      <c r="C261" s="45"/>
    </row>
    <row r="262" ht="12.75" customHeight="1">
      <c r="C262" s="45"/>
    </row>
    <row r="263" ht="12.75" customHeight="1">
      <c r="C263" s="45"/>
    </row>
    <row r="264" ht="12.75" customHeight="1">
      <c r="C264" s="45"/>
    </row>
    <row r="265" ht="12.75" customHeight="1">
      <c r="C265" s="45"/>
    </row>
    <row r="266" ht="12.75" customHeight="1">
      <c r="C266" s="45"/>
    </row>
    <row r="267" ht="12.75" customHeight="1">
      <c r="C267" s="45"/>
    </row>
    <row r="268" ht="12.75" customHeight="1">
      <c r="C268" s="45"/>
    </row>
    <row r="269" ht="12.75" customHeight="1">
      <c r="C269" s="45"/>
    </row>
    <row r="270" ht="12.75" customHeight="1">
      <c r="C270" s="45"/>
    </row>
    <row r="271" ht="12.75" customHeight="1">
      <c r="C271" s="45"/>
    </row>
    <row r="272" ht="12.75" customHeight="1">
      <c r="C272" s="45"/>
    </row>
    <row r="273" ht="12.75" customHeight="1">
      <c r="C273" s="45"/>
    </row>
    <row r="274" ht="12.75" customHeight="1">
      <c r="C274" s="45"/>
    </row>
    <row r="275" ht="12.75" customHeight="1">
      <c r="C275" s="45"/>
    </row>
    <row r="276" ht="12.75" customHeight="1">
      <c r="C276" s="45"/>
    </row>
    <row r="277" ht="12.75" customHeight="1">
      <c r="C277" s="45"/>
    </row>
    <row r="278" ht="12.75" customHeight="1">
      <c r="C278" s="45"/>
    </row>
    <row r="279" ht="12.75" customHeight="1">
      <c r="C279" s="45"/>
    </row>
    <row r="280" ht="12.75" customHeight="1">
      <c r="C280" s="45"/>
    </row>
    <row r="281" ht="12.75" customHeight="1">
      <c r="C281" s="45"/>
    </row>
    <row r="282" ht="12.75" customHeight="1">
      <c r="C282" s="45"/>
    </row>
    <row r="283" ht="12.75" customHeight="1">
      <c r="C283" s="45"/>
    </row>
    <row r="284" ht="12.75" customHeight="1">
      <c r="C284" s="45"/>
    </row>
    <row r="285" ht="12.75" customHeight="1">
      <c r="C285" s="45"/>
    </row>
    <row r="286" ht="12.75" customHeight="1">
      <c r="C286" s="45"/>
    </row>
    <row r="287" ht="12.75" customHeight="1">
      <c r="C287" s="45"/>
    </row>
    <row r="288" ht="12.75" customHeight="1">
      <c r="C288" s="45"/>
    </row>
    <row r="289" ht="12.75" customHeight="1">
      <c r="C289" s="45"/>
    </row>
    <row r="290" ht="12.75" customHeight="1">
      <c r="C290" s="45"/>
    </row>
    <row r="291" ht="12.75" customHeight="1">
      <c r="C291" s="45"/>
    </row>
    <row r="292" ht="12.75" customHeight="1">
      <c r="C292" s="45"/>
    </row>
    <row r="293" ht="12.75" customHeight="1">
      <c r="C293" s="45"/>
    </row>
    <row r="294" ht="12.75" customHeight="1">
      <c r="C294" s="45"/>
    </row>
    <row r="295" ht="12.75" customHeight="1">
      <c r="C295" s="45"/>
    </row>
    <row r="296" ht="12.75" customHeight="1">
      <c r="C296" s="45"/>
    </row>
    <row r="297" ht="12.75" customHeight="1">
      <c r="C297" s="45"/>
    </row>
    <row r="298" ht="12.75" customHeight="1">
      <c r="C298" s="45"/>
    </row>
    <row r="299" ht="12.75" customHeight="1">
      <c r="C299" s="45"/>
    </row>
    <row r="300" ht="12.75" customHeight="1">
      <c r="C300" s="45"/>
    </row>
    <row r="301" ht="12.75" customHeight="1">
      <c r="C301" s="45"/>
    </row>
    <row r="302" ht="12.75" customHeight="1">
      <c r="C302" s="45"/>
    </row>
    <row r="303" ht="12.75" customHeight="1">
      <c r="C303" s="45"/>
    </row>
    <row r="304" ht="12.75" customHeight="1">
      <c r="C304" s="45"/>
    </row>
    <row r="305" ht="12.75" customHeight="1">
      <c r="C305" s="45"/>
    </row>
    <row r="306" ht="12.75" customHeight="1">
      <c r="C306" s="45"/>
    </row>
    <row r="307" ht="12.75" customHeight="1">
      <c r="C307" s="45"/>
    </row>
    <row r="308" ht="12.75" customHeight="1">
      <c r="C308" s="45"/>
    </row>
    <row r="309" ht="12.75" customHeight="1">
      <c r="C309" s="45"/>
    </row>
    <row r="310" ht="12.75" customHeight="1">
      <c r="C310" s="45"/>
    </row>
    <row r="311" ht="12.75" customHeight="1">
      <c r="C311" s="45"/>
    </row>
    <row r="312" ht="12.75" customHeight="1">
      <c r="C312" s="45"/>
    </row>
    <row r="313" ht="12.75" customHeight="1">
      <c r="C313" s="45"/>
    </row>
    <row r="314" ht="12.75" customHeight="1">
      <c r="C314" s="45"/>
    </row>
    <row r="315" ht="12.75" customHeight="1">
      <c r="C315" s="45"/>
    </row>
    <row r="316" ht="12.75" customHeight="1">
      <c r="C316" s="45"/>
    </row>
    <row r="317" ht="12.75" customHeight="1">
      <c r="C317" s="45"/>
    </row>
    <row r="318" ht="12.75" customHeight="1">
      <c r="C318" s="45"/>
    </row>
    <row r="319" ht="12.75" customHeight="1">
      <c r="C319" s="45"/>
    </row>
    <row r="320" ht="12.75" customHeight="1">
      <c r="C320" s="45"/>
    </row>
    <row r="321" ht="12.75" customHeight="1">
      <c r="C321" s="45"/>
    </row>
    <row r="322" ht="12.75" customHeight="1">
      <c r="C322" s="45"/>
    </row>
    <row r="323" ht="12.75" customHeight="1">
      <c r="C323" s="45"/>
    </row>
    <row r="324" ht="12.75" customHeight="1">
      <c r="C324" s="45"/>
    </row>
    <row r="325" ht="12.75" customHeight="1">
      <c r="C325" s="45"/>
    </row>
    <row r="326" ht="12.75" customHeight="1">
      <c r="C326" s="45"/>
    </row>
    <row r="327" ht="12.75" customHeight="1">
      <c r="C327" s="45"/>
    </row>
    <row r="328" ht="12.75" customHeight="1">
      <c r="C328" s="45"/>
    </row>
    <row r="329" ht="12.75" customHeight="1">
      <c r="C329" s="45"/>
    </row>
    <row r="330" ht="12.75" customHeight="1">
      <c r="C330" s="45"/>
    </row>
    <row r="331" ht="12.75" customHeight="1">
      <c r="C331" s="45"/>
    </row>
    <row r="332" ht="12.75" customHeight="1">
      <c r="C332" s="45"/>
    </row>
    <row r="333" ht="12.75" customHeight="1">
      <c r="C333" s="45"/>
    </row>
    <row r="334" ht="12.75" customHeight="1">
      <c r="C334" s="45"/>
    </row>
    <row r="335" ht="12.75" customHeight="1">
      <c r="C335" s="45"/>
    </row>
    <row r="336" ht="12.75" customHeight="1">
      <c r="C336" s="45"/>
    </row>
    <row r="337" ht="12.75" customHeight="1">
      <c r="C337" s="45"/>
    </row>
    <row r="338" ht="12.75" customHeight="1">
      <c r="C338" s="45"/>
    </row>
    <row r="339" ht="12.75" customHeight="1">
      <c r="C339" s="45"/>
    </row>
    <row r="340" ht="12.75" customHeight="1">
      <c r="C340" s="45"/>
    </row>
    <row r="341" ht="12.75" customHeight="1">
      <c r="C341" s="45"/>
    </row>
    <row r="342" ht="12.75" customHeight="1">
      <c r="C342" s="45"/>
    </row>
    <row r="343" ht="12.75" customHeight="1">
      <c r="C343" s="45"/>
    </row>
    <row r="344" ht="12.75" customHeight="1">
      <c r="C344" s="45"/>
    </row>
    <row r="345" ht="12.75" customHeight="1">
      <c r="C345" s="45"/>
    </row>
    <row r="346" ht="12.75" customHeight="1">
      <c r="C346" s="45"/>
    </row>
    <row r="347" ht="12.75" customHeight="1">
      <c r="C347" s="45"/>
    </row>
    <row r="348" ht="12.75" customHeight="1">
      <c r="C348" s="45"/>
    </row>
    <row r="349" ht="12.75" customHeight="1">
      <c r="C349" s="45"/>
    </row>
    <row r="350" ht="12.75" customHeight="1">
      <c r="C350" s="45"/>
    </row>
    <row r="351" ht="12.75" customHeight="1">
      <c r="C351" s="45"/>
    </row>
    <row r="352" ht="12.75" customHeight="1">
      <c r="C352" s="45"/>
    </row>
    <row r="353" ht="12.75" customHeight="1">
      <c r="C353" s="45"/>
    </row>
    <row r="354" ht="12.75" customHeight="1">
      <c r="C354" s="45"/>
    </row>
    <row r="355" ht="12.75" customHeight="1">
      <c r="C355" s="45"/>
    </row>
    <row r="356" ht="12.75" customHeight="1">
      <c r="C356" s="45"/>
    </row>
    <row r="357" ht="12.75" customHeight="1">
      <c r="C357" s="45"/>
    </row>
    <row r="358" ht="12.75" customHeight="1">
      <c r="C358" s="45"/>
    </row>
    <row r="359" ht="12.75" customHeight="1">
      <c r="C359" s="45"/>
    </row>
    <row r="360" ht="12.75" customHeight="1">
      <c r="C360" s="45"/>
    </row>
    <row r="361" ht="12.75" customHeight="1">
      <c r="C361" s="45"/>
    </row>
    <row r="362" ht="12.75" customHeight="1">
      <c r="C362" s="45"/>
    </row>
    <row r="363" ht="12.75" customHeight="1">
      <c r="C363" s="45"/>
    </row>
    <row r="364" ht="12.75" customHeight="1">
      <c r="C364" s="45"/>
    </row>
    <row r="365" ht="12.75" customHeight="1">
      <c r="C365" s="45"/>
    </row>
    <row r="366" ht="12.75" customHeight="1">
      <c r="C366" s="45"/>
    </row>
    <row r="367" ht="12.75" customHeight="1">
      <c r="C367" s="45"/>
    </row>
    <row r="368" ht="12.75" customHeight="1">
      <c r="C368" s="45"/>
    </row>
    <row r="369" ht="12.75" customHeight="1">
      <c r="C369" s="45"/>
    </row>
    <row r="370" ht="12.75" customHeight="1">
      <c r="C370" s="45"/>
    </row>
    <row r="371" ht="12.75" customHeight="1">
      <c r="C371" s="45"/>
    </row>
    <row r="372" ht="12.75" customHeight="1">
      <c r="C372" s="45"/>
    </row>
    <row r="373" ht="12.75" customHeight="1">
      <c r="C373" s="45"/>
    </row>
    <row r="374" ht="12.75" customHeight="1">
      <c r="C374" s="45"/>
    </row>
    <row r="375" ht="12.75" customHeight="1">
      <c r="C375" s="45"/>
    </row>
    <row r="376" ht="12.75" customHeight="1">
      <c r="C376" s="45"/>
    </row>
    <row r="377" ht="12.75" customHeight="1">
      <c r="C377" s="45"/>
    </row>
    <row r="378" ht="12.75" customHeight="1">
      <c r="C378" s="45"/>
    </row>
    <row r="379" ht="12.75" customHeight="1">
      <c r="C379" s="45"/>
    </row>
    <row r="380" ht="12.75" customHeight="1">
      <c r="C380" s="45"/>
    </row>
    <row r="381" ht="12.75" customHeight="1">
      <c r="C381" s="45"/>
    </row>
    <row r="382" ht="12.75" customHeight="1">
      <c r="C382" s="45"/>
    </row>
    <row r="383" ht="12.75" customHeight="1">
      <c r="C383" s="45"/>
    </row>
    <row r="384" ht="12.75" customHeight="1">
      <c r="C384" s="45"/>
    </row>
    <row r="385" ht="12.75" customHeight="1">
      <c r="C385" s="45"/>
    </row>
    <row r="386" ht="12.75" customHeight="1">
      <c r="C386" s="45"/>
    </row>
    <row r="387" ht="12.75" customHeight="1">
      <c r="C387" s="45"/>
    </row>
    <row r="388" ht="12.75" customHeight="1">
      <c r="C388" s="45"/>
    </row>
    <row r="389" ht="12.75" customHeight="1">
      <c r="C389" s="45"/>
    </row>
    <row r="390" ht="12.75" customHeight="1">
      <c r="C390" s="45"/>
    </row>
    <row r="391" ht="12.75" customHeight="1">
      <c r="C391" s="45"/>
    </row>
    <row r="392" ht="12.75" customHeight="1">
      <c r="C392" s="45"/>
    </row>
    <row r="393" ht="12.75" customHeight="1">
      <c r="C393" s="45"/>
    </row>
    <row r="394" ht="12.75" customHeight="1">
      <c r="C394" s="45"/>
    </row>
    <row r="395" ht="12.75" customHeight="1">
      <c r="C395" s="45"/>
    </row>
    <row r="396" ht="12.75" customHeight="1">
      <c r="C396" s="45"/>
    </row>
    <row r="397" ht="12.75" customHeight="1">
      <c r="C397" s="45"/>
    </row>
    <row r="398" ht="12.75" customHeight="1">
      <c r="C398" s="45"/>
    </row>
    <row r="399" ht="12.75" customHeight="1">
      <c r="C399" s="45"/>
    </row>
    <row r="400" ht="12.75" customHeight="1">
      <c r="C400" s="45"/>
    </row>
    <row r="401" ht="12.75" customHeight="1">
      <c r="C401" s="45"/>
    </row>
    <row r="402" ht="12.75" customHeight="1">
      <c r="C402" s="45"/>
    </row>
    <row r="403" ht="12.75" customHeight="1">
      <c r="C403" s="45"/>
    </row>
    <row r="404" ht="12.75" customHeight="1">
      <c r="C404" s="45"/>
    </row>
    <row r="405" ht="12.75" customHeight="1">
      <c r="C405" s="45"/>
    </row>
    <row r="406" ht="12.75" customHeight="1">
      <c r="C406" s="45"/>
    </row>
    <row r="407" ht="12.75" customHeight="1">
      <c r="C407" s="45"/>
    </row>
    <row r="408" ht="12.75" customHeight="1">
      <c r="C408" s="45"/>
    </row>
    <row r="409" ht="12.75" customHeight="1">
      <c r="C409" s="45"/>
    </row>
    <row r="410" ht="12.75" customHeight="1">
      <c r="C410" s="45"/>
    </row>
    <row r="411" ht="12.75" customHeight="1">
      <c r="C411" s="45"/>
    </row>
    <row r="412" ht="12.75" customHeight="1">
      <c r="C412" s="45"/>
    </row>
    <row r="413" ht="12.75" customHeight="1">
      <c r="C413" s="45"/>
    </row>
    <row r="414" ht="12.75" customHeight="1">
      <c r="C414" s="45"/>
    </row>
    <row r="415" ht="12.75" customHeight="1">
      <c r="C415" s="45"/>
    </row>
    <row r="416" ht="12.75" customHeight="1">
      <c r="C416" s="45"/>
    </row>
    <row r="417" ht="12.75" customHeight="1">
      <c r="C417" s="45"/>
    </row>
    <row r="418" ht="12.75" customHeight="1">
      <c r="C418" s="45"/>
    </row>
    <row r="419" ht="12.75" customHeight="1">
      <c r="C419" s="45"/>
    </row>
    <row r="420" ht="12.75" customHeight="1">
      <c r="C420" s="45"/>
    </row>
    <row r="421" ht="12.75" customHeight="1">
      <c r="C421" s="45"/>
    </row>
    <row r="422" ht="12.75" customHeight="1">
      <c r="C422" s="45"/>
    </row>
    <row r="423" ht="12.75" customHeight="1">
      <c r="C423" s="45"/>
    </row>
    <row r="424" ht="12.75" customHeight="1">
      <c r="C424" s="45"/>
    </row>
    <row r="425" ht="12.75" customHeight="1">
      <c r="C425" s="45"/>
    </row>
    <row r="426" ht="12.75" customHeight="1">
      <c r="C426" s="45"/>
    </row>
    <row r="427" ht="12.75" customHeight="1">
      <c r="C427" s="45"/>
    </row>
    <row r="428" ht="12.75" customHeight="1">
      <c r="C428" s="45"/>
    </row>
    <row r="429" ht="12.75" customHeight="1">
      <c r="C429" s="45"/>
    </row>
    <row r="430" ht="12.75" customHeight="1">
      <c r="C430" s="45"/>
    </row>
    <row r="431" ht="12.75" customHeight="1">
      <c r="C431" s="45"/>
    </row>
    <row r="432" ht="12.75" customHeight="1">
      <c r="C432" s="45"/>
    </row>
    <row r="433" ht="12.75" customHeight="1">
      <c r="C433" s="45"/>
    </row>
    <row r="434" ht="12.75" customHeight="1">
      <c r="C434" s="45"/>
    </row>
    <row r="435" ht="12.75" customHeight="1">
      <c r="C435" s="45"/>
    </row>
    <row r="436" ht="12.75" customHeight="1">
      <c r="C436" s="45"/>
    </row>
    <row r="437" ht="12.75" customHeight="1">
      <c r="C437" s="45"/>
    </row>
    <row r="438" ht="12.75" customHeight="1">
      <c r="C438" s="45"/>
    </row>
    <row r="439" ht="12.75" customHeight="1">
      <c r="C439" s="45"/>
    </row>
    <row r="440" ht="12.75" customHeight="1">
      <c r="C440" s="45"/>
    </row>
    <row r="441" ht="12.75" customHeight="1">
      <c r="C441" s="45"/>
    </row>
    <row r="442" ht="12.75" customHeight="1">
      <c r="C442" s="45"/>
    </row>
    <row r="443" ht="12.75" customHeight="1">
      <c r="C443" s="45"/>
    </row>
    <row r="444" ht="12.75" customHeight="1">
      <c r="C444" s="45"/>
    </row>
    <row r="445" ht="12.75" customHeight="1">
      <c r="C445" s="45"/>
    </row>
    <row r="446" ht="12.75" customHeight="1">
      <c r="C446" s="45"/>
    </row>
    <row r="447" ht="12.75" customHeight="1">
      <c r="C447" s="45"/>
    </row>
    <row r="448" ht="12.75" customHeight="1">
      <c r="C448" s="45"/>
    </row>
    <row r="449" ht="12.75" customHeight="1">
      <c r="C449" s="45"/>
    </row>
    <row r="450" ht="12.75" customHeight="1">
      <c r="C450" s="45"/>
    </row>
    <row r="451" ht="12.75" customHeight="1">
      <c r="C451" s="45"/>
    </row>
    <row r="452" ht="12.75" customHeight="1">
      <c r="C452" s="45"/>
    </row>
    <row r="453" ht="12.75" customHeight="1">
      <c r="C453" s="45"/>
    </row>
    <row r="454" ht="12.75" customHeight="1">
      <c r="C454" s="45"/>
    </row>
    <row r="455" ht="12.75" customHeight="1">
      <c r="C455" s="45"/>
    </row>
    <row r="456" ht="12.75" customHeight="1">
      <c r="C456" s="45"/>
    </row>
    <row r="457" ht="12.75" customHeight="1">
      <c r="C457" s="45"/>
    </row>
    <row r="458" ht="12.75" customHeight="1">
      <c r="C458" s="45"/>
    </row>
    <row r="459" ht="12.75" customHeight="1">
      <c r="C459" s="45"/>
    </row>
    <row r="460" ht="12.75" customHeight="1">
      <c r="C460" s="45"/>
    </row>
    <row r="461" ht="12.75" customHeight="1">
      <c r="C461" s="45"/>
    </row>
    <row r="462" ht="12.75" customHeight="1">
      <c r="C462" s="45"/>
    </row>
    <row r="463" ht="12.75" customHeight="1">
      <c r="C463" s="45"/>
    </row>
    <row r="464" ht="12.75" customHeight="1">
      <c r="C464" s="45"/>
    </row>
    <row r="465" ht="12.75" customHeight="1">
      <c r="C465" s="45"/>
    </row>
    <row r="466" ht="12.75" customHeight="1">
      <c r="C466" s="45"/>
    </row>
    <row r="467" ht="12.75" customHeight="1">
      <c r="C467" s="45"/>
    </row>
    <row r="468" ht="12.75" customHeight="1">
      <c r="C468" s="45"/>
    </row>
    <row r="469" ht="12.75" customHeight="1">
      <c r="C469" s="45"/>
    </row>
    <row r="470" ht="12.75" customHeight="1">
      <c r="C470" s="45"/>
    </row>
    <row r="471" ht="12.75" customHeight="1">
      <c r="C471" s="45"/>
    </row>
    <row r="472" ht="12.75" customHeight="1">
      <c r="C472" s="45"/>
    </row>
    <row r="473" ht="12.75" customHeight="1">
      <c r="C473" s="45"/>
    </row>
    <row r="474" ht="12.75" customHeight="1">
      <c r="C474" s="45"/>
    </row>
    <row r="475" ht="12.75" customHeight="1">
      <c r="C475" s="45"/>
    </row>
    <row r="476" ht="12.75" customHeight="1">
      <c r="C476" s="45"/>
    </row>
    <row r="477" ht="12.75" customHeight="1">
      <c r="C477" s="45"/>
    </row>
    <row r="478" ht="12.75" customHeight="1">
      <c r="C478" s="45"/>
    </row>
    <row r="479" ht="12.75" customHeight="1">
      <c r="C479" s="45"/>
    </row>
    <row r="480" ht="12.75" customHeight="1">
      <c r="C480" s="45"/>
    </row>
    <row r="481" ht="12.75" customHeight="1">
      <c r="C481" s="45"/>
    </row>
    <row r="482" ht="12.75" customHeight="1">
      <c r="C482" s="45"/>
    </row>
    <row r="483" ht="12.75" customHeight="1">
      <c r="C483" s="45"/>
    </row>
    <row r="484" ht="12.75" customHeight="1">
      <c r="C484" s="45"/>
    </row>
    <row r="485" ht="12.75" customHeight="1">
      <c r="C485" s="45"/>
    </row>
    <row r="486" ht="12.75" customHeight="1">
      <c r="C486" s="45"/>
    </row>
    <row r="487" ht="12.75" customHeight="1">
      <c r="C487" s="45"/>
    </row>
    <row r="488" ht="12.75" customHeight="1">
      <c r="C488" s="45"/>
    </row>
    <row r="489" ht="12.75" customHeight="1">
      <c r="C489" s="45"/>
    </row>
    <row r="490" ht="12.75" customHeight="1">
      <c r="C490" s="45"/>
    </row>
    <row r="491" ht="12.75" customHeight="1">
      <c r="C491" s="45"/>
    </row>
    <row r="492" ht="12.75" customHeight="1">
      <c r="C492" s="45"/>
    </row>
    <row r="493" ht="12.75" customHeight="1">
      <c r="C493" s="45"/>
    </row>
    <row r="494" ht="12.75" customHeight="1">
      <c r="C494" s="45"/>
    </row>
    <row r="495" ht="12.75" customHeight="1">
      <c r="C495" s="45"/>
    </row>
    <row r="496" ht="12.75" customHeight="1">
      <c r="C496" s="45"/>
    </row>
    <row r="497" ht="12.75" customHeight="1">
      <c r="C497" s="45"/>
    </row>
    <row r="498" ht="12.75" customHeight="1">
      <c r="C498" s="45"/>
    </row>
    <row r="499" ht="12.75" customHeight="1">
      <c r="C499" s="45"/>
    </row>
    <row r="500" ht="12.75" customHeight="1">
      <c r="C500" s="45"/>
    </row>
    <row r="501" ht="12.75" customHeight="1">
      <c r="C501" s="45"/>
    </row>
    <row r="502" ht="12.75" customHeight="1">
      <c r="C502" s="45"/>
    </row>
    <row r="503" ht="12.75" customHeight="1">
      <c r="C503" s="45"/>
    </row>
    <row r="504" ht="12.75" customHeight="1">
      <c r="C504" s="45"/>
    </row>
    <row r="505" ht="12.75" customHeight="1">
      <c r="C505" s="45"/>
    </row>
    <row r="506" ht="12.75" customHeight="1">
      <c r="C506" s="45"/>
    </row>
    <row r="507" ht="12.75" customHeight="1">
      <c r="C507" s="45"/>
    </row>
    <row r="508" ht="12.75" customHeight="1">
      <c r="C508" s="45"/>
    </row>
    <row r="509" ht="12.75" customHeight="1">
      <c r="C509" s="45"/>
    </row>
    <row r="510" ht="12.75" customHeight="1">
      <c r="C510" s="45"/>
    </row>
    <row r="511" ht="12.75" customHeight="1">
      <c r="C511" s="45"/>
    </row>
    <row r="512" ht="12.75" customHeight="1">
      <c r="C512" s="45"/>
    </row>
    <row r="513" ht="12.75" customHeight="1">
      <c r="C513" s="45"/>
    </row>
    <row r="514" ht="12.75" customHeight="1">
      <c r="C514" s="45"/>
    </row>
    <row r="515" ht="12.75" customHeight="1">
      <c r="C515" s="45"/>
    </row>
    <row r="516" ht="12.75" customHeight="1">
      <c r="C516" s="45"/>
    </row>
    <row r="517" ht="12.75" customHeight="1">
      <c r="C517" s="45"/>
    </row>
    <row r="518" ht="12.75" customHeight="1">
      <c r="C518" s="45"/>
    </row>
    <row r="519" ht="12.75" customHeight="1">
      <c r="C519" s="45"/>
    </row>
    <row r="520" ht="12.75" customHeight="1">
      <c r="C520" s="45"/>
    </row>
    <row r="521" ht="12.75" customHeight="1">
      <c r="C521" s="45"/>
    </row>
    <row r="522" ht="12.75" customHeight="1">
      <c r="C522" s="45"/>
    </row>
    <row r="523" ht="12.75" customHeight="1">
      <c r="C523" s="45"/>
    </row>
    <row r="524" ht="12.75" customHeight="1">
      <c r="C524" s="45"/>
    </row>
    <row r="525" ht="12.75" customHeight="1">
      <c r="C525" s="45"/>
    </row>
    <row r="526" ht="12.75" customHeight="1">
      <c r="C526" s="45"/>
    </row>
    <row r="527" ht="12.75" customHeight="1">
      <c r="C527" s="45"/>
    </row>
    <row r="528" ht="12.75" customHeight="1">
      <c r="C528" s="45"/>
    </row>
    <row r="529" ht="12.75" customHeight="1">
      <c r="C529" s="45"/>
    </row>
    <row r="530" ht="12.75" customHeight="1">
      <c r="C530" s="45"/>
    </row>
    <row r="531" ht="12.75" customHeight="1">
      <c r="C531" s="45"/>
    </row>
    <row r="532" ht="12.75" customHeight="1">
      <c r="C532" s="45"/>
    </row>
    <row r="533" ht="12.75" customHeight="1">
      <c r="C533" s="45"/>
    </row>
    <row r="534" ht="12.75" customHeight="1">
      <c r="C534" s="45"/>
    </row>
    <row r="535" ht="12.75" customHeight="1">
      <c r="C535" s="45"/>
    </row>
    <row r="536" ht="12.75" customHeight="1">
      <c r="C536" s="45"/>
    </row>
    <row r="537" ht="12.75" customHeight="1">
      <c r="C537" s="45"/>
    </row>
    <row r="538" ht="12.75" customHeight="1">
      <c r="C538" s="45"/>
    </row>
    <row r="539" ht="12.75" customHeight="1">
      <c r="C539" s="45"/>
    </row>
    <row r="540" ht="12.75" customHeight="1">
      <c r="C540" s="45"/>
    </row>
    <row r="541" ht="12.75" customHeight="1">
      <c r="C541" s="45"/>
    </row>
    <row r="542" ht="12.75" customHeight="1">
      <c r="C542" s="45"/>
    </row>
    <row r="543" ht="12.75" customHeight="1">
      <c r="C543" s="45"/>
    </row>
    <row r="544" ht="12.75" customHeight="1">
      <c r="C544" s="45"/>
    </row>
    <row r="545" ht="12.75" customHeight="1">
      <c r="C545" s="45"/>
    </row>
    <row r="546" ht="12.75" customHeight="1">
      <c r="C546" s="45"/>
    </row>
    <row r="547" ht="12.75" customHeight="1">
      <c r="C547" s="45"/>
    </row>
    <row r="548" ht="12.75" customHeight="1">
      <c r="C548" s="45"/>
    </row>
    <row r="549" ht="12.75" customHeight="1">
      <c r="C549" s="45"/>
    </row>
    <row r="550" ht="12.75" customHeight="1">
      <c r="C550" s="45"/>
    </row>
    <row r="551" ht="12.75" customHeight="1">
      <c r="C551" s="45"/>
    </row>
    <row r="552" ht="12.75" customHeight="1">
      <c r="C552" s="45"/>
    </row>
    <row r="553" ht="12.75" customHeight="1">
      <c r="C553" s="45"/>
    </row>
    <row r="554" ht="12.75" customHeight="1">
      <c r="C554" s="45"/>
    </row>
    <row r="555" ht="12.75" customHeight="1">
      <c r="C555" s="45"/>
    </row>
    <row r="556" ht="12.75" customHeight="1">
      <c r="C556" s="45"/>
    </row>
    <row r="557" ht="12.75" customHeight="1">
      <c r="C557" s="45"/>
    </row>
    <row r="558" ht="12.75" customHeight="1">
      <c r="C558" s="45"/>
    </row>
    <row r="559" ht="12.75" customHeight="1">
      <c r="C559" s="45"/>
    </row>
    <row r="560" ht="12.75" customHeight="1">
      <c r="C560" s="45"/>
    </row>
    <row r="561" ht="12.75" customHeight="1">
      <c r="C561" s="45"/>
    </row>
    <row r="562" ht="12.75" customHeight="1">
      <c r="C562" s="45"/>
    </row>
    <row r="563" ht="12.75" customHeight="1">
      <c r="C563" s="45"/>
    </row>
    <row r="564" ht="12.75" customHeight="1">
      <c r="C564" s="45"/>
    </row>
    <row r="565" ht="12.75" customHeight="1">
      <c r="C565" s="45"/>
    </row>
    <row r="566" ht="12.75" customHeight="1">
      <c r="C566" s="45"/>
    </row>
    <row r="567" ht="12.75" customHeight="1">
      <c r="C567" s="45"/>
    </row>
    <row r="568" ht="12.75" customHeight="1">
      <c r="C568" s="45"/>
    </row>
    <row r="569" ht="12.75" customHeight="1">
      <c r="C569" s="45"/>
    </row>
    <row r="570" ht="12.75" customHeight="1">
      <c r="C570" s="45"/>
    </row>
    <row r="571" ht="12.75" customHeight="1">
      <c r="C571" s="45"/>
    </row>
    <row r="572" ht="12.75" customHeight="1">
      <c r="C572" s="45"/>
    </row>
    <row r="573" ht="12.75" customHeight="1">
      <c r="C573" s="45"/>
    </row>
    <row r="574" ht="12.75" customHeight="1">
      <c r="C574" s="45"/>
    </row>
    <row r="575" ht="12.75" customHeight="1">
      <c r="C575" s="45"/>
    </row>
    <row r="576" ht="12.75" customHeight="1">
      <c r="C576" s="45"/>
    </row>
    <row r="577" ht="12.75" customHeight="1">
      <c r="C577" s="45"/>
    </row>
    <row r="578" ht="12.75" customHeight="1">
      <c r="C578" s="45"/>
    </row>
    <row r="579" ht="12.75" customHeight="1">
      <c r="C579" s="45"/>
    </row>
    <row r="580" ht="12.75" customHeight="1">
      <c r="C580" s="45"/>
    </row>
    <row r="581" ht="12.75" customHeight="1">
      <c r="C581" s="45"/>
    </row>
    <row r="582" ht="12.75" customHeight="1">
      <c r="C582" s="45"/>
    </row>
    <row r="583" ht="12.75" customHeight="1">
      <c r="C583" s="45"/>
    </row>
    <row r="584" ht="12.75" customHeight="1">
      <c r="C584" s="45"/>
    </row>
    <row r="585" ht="12.75" customHeight="1">
      <c r="C585" s="45"/>
    </row>
    <row r="586" ht="12.75" customHeight="1">
      <c r="C586" s="45"/>
    </row>
    <row r="587" ht="12.75" customHeight="1">
      <c r="C587" s="45"/>
    </row>
    <row r="588" ht="12.75" customHeight="1">
      <c r="C588" s="45"/>
    </row>
    <row r="589" ht="12.75" customHeight="1">
      <c r="C589" s="45"/>
    </row>
    <row r="590" ht="12.75" customHeight="1">
      <c r="C590" s="45"/>
    </row>
    <row r="591" ht="12.75" customHeight="1">
      <c r="C591" s="45"/>
    </row>
    <row r="592" ht="12.75" customHeight="1">
      <c r="C592" s="45"/>
    </row>
    <row r="593" ht="12.75" customHeight="1">
      <c r="C593" s="45"/>
    </row>
    <row r="594" ht="12.75" customHeight="1">
      <c r="C594" s="45"/>
    </row>
    <row r="595" ht="12.75" customHeight="1">
      <c r="C595" s="45"/>
    </row>
    <row r="596" ht="12.75" customHeight="1">
      <c r="C596" s="45"/>
    </row>
    <row r="597" ht="12.75" customHeight="1">
      <c r="C597" s="45"/>
    </row>
    <row r="598" ht="12.75" customHeight="1">
      <c r="C598" s="45"/>
    </row>
    <row r="599" ht="12.75" customHeight="1">
      <c r="C599" s="45"/>
    </row>
    <row r="600" ht="12.75" customHeight="1">
      <c r="C600" s="45"/>
    </row>
    <row r="601" ht="12.75" customHeight="1">
      <c r="C601" s="45"/>
    </row>
    <row r="602" ht="12.75" customHeight="1">
      <c r="C602" s="45"/>
    </row>
    <row r="603" ht="12.75" customHeight="1">
      <c r="C603" s="45"/>
    </row>
    <row r="604" ht="12.75" customHeight="1">
      <c r="C604" s="45"/>
    </row>
    <row r="605" ht="12.75" customHeight="1">
      <c r="C605" s="45"/>
    </row>
    <row r="606" ht="12.75" customHeight="1">
      <c r="C606" s="45"/>
    </row>
    <row r="607" ht="12.75" customHeight="1">
      <c r="C607" s="45"/>
    </row>
    <row r="608" ht="12.75" customHeight="1">
      <c r="C608" s="45"/>
    </row>
    <row r="609" ht="12.75" customHeight="1">
      <c r="C609" s="45"/>
    </row>
    <row r="610" ht="12.75" customHeight="1">
      <c r="C610" s="45"/>
    </row>
    <row r="611" ht="12.75" customHeight="1">
      <c r="C611" s="45"/>
    </row>
    <row r="612" ht="12.75" customHeight="1">
      <c r="C612" s="45"/>
    </row>
    <row r="613" ht="12.75" customHeight="1">
      <c r="C613" s="45"/>
    </row>
    <row r="614" ht="12.75" customHeight="1">
      <c r="C614" s="45"/>
    </row>
    <row r="615" ht="12.75" customHeight="1">
      <c r="C615" s="45"/>
    </row>
    <row r="616" ht="12.75" customHeight="1">
      <c r="C616" s="45"/>
    </row>
    <row r="617" ht="12.75" customHeight="1">
      <c r="C617" s="45"/>
    </row>
    <row r="618" ht="12.75" customHeight="1">
      <c r="C618" s="45"/>
    </row>
    <row r="619" ht="12.75" customHeight="1">
      <c r="C619" s="45"/>
    </row>
    <row r="620" ht="12.75" customHeight="1">
      <c r="C620" s="45"/>
    </row>
    <row r="621" ht="12.75" customHeight="1">
      <c r="C621" s="45"/>
    </row>
    <row r="622" ht="12.75" customHeight="1">
      <c r="C622" s="45"/>
    </row>
    <row r="623" ht="12.75" customHeight="1">
      <c r="C623" s="45"/>
    </row>
    <row r="624" ht="12.75" customHeight="1">
      <c r="C624" s="45"/>
    </row>
    <row r="625" ht="12.75" customHeight="1">
      <c r="C625" s="45"/>
    </row>
    <row r="626" ht="12.75" customHeight="1">
      <c r="C626" s="45"/>
    </row>
    <row r="627" ht="12.75" customHeight="1">
      <c r="C627" s="45"/>
    </row>
    <row r="628" ht="12.75" customHeight="1">
      <c r="C628" s="45"/>
    </row>
    <row r="629" ht="12.75" customHeight="1">
      <c r="C629" s="45"/>
    </row>
    <row r="630" ht="12.75" customHeight="1">
      <c r="C630" s="45"/>
    </row>
    <row r="631" ht="12.75" customHeight="1">
      <c r="C631" s="45"/>
    </row>
    <row r="632" ht="12.75" customHeight="1">
      <c r="C632" s="45"/>
    </row>
    <row r="633" ht="12.75" customHeight="1">
      <c r="C633" s="45"/>
    </row>
    <row r="634" ht="12.75" customHeight="1">
      <c r="C634" s="45"/>
    </row>
    <row r="635" ht="12.75" customHeight="1">
      <c r="C635" s="45"/>
    </row>
    <row r="636" ht="12.75" customHeight="1">
      <c r="C636" s="45"/>
    </row>
    <row r="637" ht="12.75" customHeight="1">
      <c r="C637" s="45"/>
    </row>
    <row r="638" ht="12.75" customHeight="1">
      <c r="C638" s="45"/>
    </row>
    <row r="639" ht="12.75" customHeight="1">
      <c r="C639" s="45"/>
    </row>
    <row r="640" ht="12.75" customHeight="1">
      <c r="C640" s="45"/>
    </row>
    <row r="641" ht="12.75" customHeight="1">
      <c r="C641" s="45"/>
    </row>
    <row r="642" ht="12.75" customHeight="1">
      <c r="C642" s="45"/>
    </row>
    <row r="643" ht="12.75" customHeight="1">
      <c r="C643" s="45"/>
    </row>
    <row r="644" ht="12.75" customHeight="1">
      <c r="C644" s="45"/>
    </row>
    <row r="645" ht="12.75" customHeight="1">
      <c r="C645" s="45"/>
    </row>
    <row r="646" ht="12.75" customHeight="1">
      <c r="C646" s="45"/>
    </row>
    <row r="647" ht="12.75" customHeight="1">
      <c r="C647" s="45"/>
    </row>
    <row r="648" ht="12.75" customHeight="1">
      <c r="C648" s="45"/>
    </row>
    <row r="649" ht="12.75" customHeight="1">
      <c r="C649" s="45"/>
    </row>
    <row r="650" ht="12.75" customHeight="1">
      <c r="C650" s="45"/>
    </row>
    <row r="651" ht="12.75" customHeight="1">
      <c r="C651" s="45"/>
    </row>
    <row r="652" ht="12.75" customHeight="1">
      <c r="C652" s="45"/>
    </row>
    <row r="653" ht="12.75" customHeight="1">
      <c r="C653" s="45"/>
    </row>
    <row r="654" ht="12.75" customHeight="1">
      <c r="C654" s="45"/>
    </row>
    <row r="655" ht="12.75" customHeight="1">
      <c r="C655" s="45"/>
    </row>
    <row r="656" ht="12.75" customHeight="1">
      <c r="C656" s="45"/>
    </row>
    <row r="657" ht="12.75" customHeight="1">
      <c r="C657" s="45"/>
    </row>
    <row r="658" ht="12.75" customHeight="1">
      <c r="C658" s="45"/>
    </row>
    <row r="659" ht="12.75" customHeight="1">
      <c r="C659" s="45"/>
    </row>
    <row r="660" ht="12.75" customHeight="1">
      <c r="C660" s="45"/>
    </row>
    <row r="661" ht="12.75" customHeight="1">
      <c r="C661" s="45"/>
    </row>
    <row r="662" ht="12.75" customHeight="1">
      <c r="C662" s="45"/>
    </row>
    <row r="663" ht="12.75" customHeight="1">
      <c r="C663" s="45"/>
    </row>
    <row r="664" ht="12.75" customHeight="1">
      <c r="C664" s="45"/>
    </row>
    <row r="665" ht="12.75" customHeight="1">
      <c r="C665" s="45"/>
    </row>
    <row r="666" ht="12.75" customHeight="1">
      <c r="C666" s="45"/>
    </row>
    <row r="667" ht="12.75" customHeight="1">
      <c r="C667" s="45"/>
    </row>
    <row r="668" ht="12.75" customHeight="1">
      <c r="C668" s="45"/>
    </row>
    <row r="669" ht="12.75" customHeight="1">
      <c r="C669" s="45"/>
    </row>
    <row r="670" ht="12.75" customHeight="1">
      <c r="C670" s="45"/>
    </row>
    <row r="671" ht="12.75" customHeight="1">
      <c r="C671" s="45"/>
    </row>
    <row r="672" ht="12.75" customHeight="1">
      <c r="C672" s="45"/>
    </row>
    <row r="673" ht="12.75" customHeight="1">
      <c r="C673" s="45"/>
    </row>
    <row r="674" ht="12.75" customHeight="1">
      <c r="C674" s="45"/>
    </row>
    <row r="675" ht="12.75" customHeight="1">
      <c r="C675" s="45"/>
    </row>
    <row r="676" ht="12.75" customHeight="1">
      <c r="C676" s="45"/>
    </row>
    <row r="677" ht="12.75" customHeight="1">
      <c r="C677" s="45"/>
    </row>
    <row r="678" ht="12.75" customHeight="1">
      <c r="C678" s="45"/>
    </row>
    <row r="679" ht="12.75" customHeight="1">
      <c r="C679" s="45"/>
    </row>
    <row r="680" ht="12.75" customHeight="1">
      <c r="C680" s="45"/>
    </row>
    <row r="681" ht="12.75" customHeight="1">
      <c r="C681" s="45"/>
    </row>
    <row r="682" ht="12.75" customHeight="1">
      <c r="C682" s="45"/>
    </row>
    <row r="683" ht="12.75" customHeight="1">
      <c r="C683" s="45"/>
    </row>
    <row r="684" ht="12.75" customHeight="1">
      <c r="C684" s="45"/>
    </row>
    <row r="685" ht="12.75" customHeight="1">
      <c r="C685" s="45"/>
    </row>
    <row r="686" ht="12.75" customHeight="1">
      <c r="C686" s="45"/>
    </row>
    <row r="687" ht="12.75" customHeight="1">
      <c r="C687" s="45"/>
    </row>
    <row r="688" ht="12.75" customHeight="1">
      <c r="C688" s="45"/>
    </row>
    <row r="689" ht="12.75" customHeight="1">
      <c r="C689" s="45"/>
    </row>
    <row r="690" ht="12.75" customHeight="1">
      <c r="C690" s="45"/>
    </row>
    <row r="691" ht="12.75" customHeight="1">
      <c r="C691" s="45"/>
    </row>
    <row r="692" ht="12.75" customHeight="1">
      <c r="C692" s="45"/>
    </row>
    <row r="693" ht="12.75" customHeight="1">
      <c r="C693" s="45"/>
    </row>
    <row r="694" ht="12.75" customHeight="1">
      <c r="C694" s="45"/>
    </row>
    <row r="695" ht="12.75" customHeight="1">
      <c r="C695" s="45"/>
    </row>
    <row r="696" ht="12.75" customHeight="1">
      <c r="C696" s="45"/>
    </row>
    <row r="697" ht="12.75" customHeight="1">
      <c r="C697" s="45"/>
    </row>
    <row r="698" ht="12.75" customHeight="1">
      <c r="C698" s="45"/>
    </row>
    <row r="699" ht="12.75" customHeight="1">
      <c r="C699" s="45"/>
    </row>
    <row r="700" ht="12.75" customHeight="1">
      <c r="C700" s="45"/>
    </row>
    <row r="701" ht="12.75" customHeight="1">
      <c r="C701" s="45"/>
    </row>
    <row r="702" ht="12.75" customHeight="1">
      <c r="C702" s="45"/>
    </row>
    <row r="703" ht="12.75" customHeight="1">
      <c r="C703" s="45"/>
    </row>
    <row r="704" ht="12.75" customHeight="1">
      <c r="C704" s="45"/>
    </row>
    <row r="705" ht="12.75" customHeight="1">
      <c r="C705" s="45"/>
    </row>
    <row r="706" ht="12.75" customHeight="1">
      <c r="C706" s="45"/>
    </row>
    <row r="707" ht="12.75" customHeight="1">
      <c r="C707" s="45"/>
    </row>
    <row r="708" ht="12.75" customHeight="1">
      <c r="C708" s="45"/>
    </row>
    <row r="709" ht="12.75" customHeight="1">
      <c r="C709" s="45"/>
    </row>
    <row r="710" ht="12.75" customHeight="1">
      <c r="C710" s="45"/>
    </row>
    <row r="711" ht="12.75" customHeight="1">
      <c r="C711" s="45"/>
    </row>
    <row r="712" ht="12.75" customHeight="1">
      <c r="C712" s="45"/>
    </row>
    <row r="713" ht="12.75" customHeight="1">
      <c r="C713" s="45"/>
    </row>
    <row r="714" ht="12.75" customHeight="1">
      <c r="C714" s="45"/>
    </row>
    <row r="715" ht="12.75" customHeight="1">
      <c r="C715" s="45"/>
    </row>
    <row r="716" ht="12.75" customHeight="1">
      <c r="C716" s="45"/>
    </row>
    <row r="717" ht="12.75" customHeight="1">
      <c r="C717" s="45"/>
    </row>
    <row r="718" ht="12.75" customHeight="1">
      <c r="C718" s="45"/>
    </row>
    <row r="719" ht="12.75" customHeight="1">
      <c r="C719" s="45"/>
    </row>
    <row r="720" ht="12.75" customHeight="1">
      <c r="C720" s="45"/>
    </row>
    <row r="721" ht="12.75" customHeight="1">
      <c r="C721" s="45"/>
    </row>
    <row r="722" ht="12.75" customHeight="1">
      <c r="C722" s="45"/>
    </row>
    <row r="723" ht="12.75" customHeight="1">
      <c r="C723" s="45"/>
    </row>
    <row r="724" ht="12.75" customHeight="1">
      <c r="C724" s="45"/>
    </row>
    <row r="725" ht="12.75" customHeight="1">
      <c r="C725" s="45"/>
    </row>
    <row r="726" ht="12.75" customHeight="1">
      <c r="C726" s="45"/>
    </row>
    <row r="727" ht="12.75" customHeight="1">
      <c r="C727" s="45"/>
    </row>
    <row r="728" ht="12.75" customHeight="1">
      <c r="C728" s="45"/>
    </row>
    <row r="729" ht="12.75" customHeight="1">
      <c r="C729" s="45"/>
    </row>
    <row r="730" ht="12.75" customHeight="1">
      <c r="C730" s="45"/>
    </row>
    <row r="731" ht="12.75" customHeight="1">
      <c r="C731" s="45"/>
    </row>
    <row r="732" ht="12.75" customHeight="1">
      <c r="C732" s="45"/>
    </row>
    <row r="733" ht="12.75" customHeight="1">
      <c r="C733" s="45"/>
    </row>
    <row r="734" ht="12.75" customHeight="1">
      <c r="C734" s="45"/>
    </row>
    <row r="735" ht="12.75" customHeight="1">
      <c r="C735" s="45"/>
    </row>
    <row r="736" ht="12.75" customHeight="1">
      <c r="C736" s="45"/>
    </row>
    <row r="737" ht="12.75" customHeight="1">
      <c r="C737" s="45"/>
    </row>
    <row r="738" ht="12.75" customHeight="1">
      <c r="C738" s="45"/>
    </row>
    <row r="739" ht="12.75" customHeight="1">
      <c r="C739" s="45"/>
    </row>
    <row r="740" ht="12.75" customHeight="1">
      <c r="C740" s="45"/>
    </row>
    <row r="741" ht="12.75" customHeight="1">
      <c r="C741" s="45"/>
    </row>
    <row r="742" ht="12.75" customHeight="1">
      <c r="C742" s="45"/>
    </row>
    <row r="743" ht="12.75" customHeight="1">
      <c r="C743" s="45"/>
    </row>
    <row r="744" ht="12.75" customHeight="1">
      <c r="C744" s="45"/>
    </row>
    <row r="745" ht="12.75" customHeight="1">
      <c r="C745" s="45"/>
    </row>
    <row r="746" ht="12.75" customHeight="1">
      <c r="C746" s="45"/>
    </row>
    <row r="747" ht="12.75" customHeight="1">
      <c r="C747" s="45"/>
    </row>
    <row r="748" ht="12.75" customHeight="1">
      <c r="C748" s="45"/>
    </row>
    <row r="749" ht="12.75" customHeight="1">
      <c r="C749" s="45"/>
    </row>
    <row r="750" ht="12.75" customHeight="1">
      <c r="C750" s="45"/>
    </row>
    <row r="751" ht="12.75" customHeight="1">
      <c r="C751" s="45"/>
    </row>
    <row r="752" ht="12.75" customHeight="1">
      <c r="C752" s="45"/>
    </row>
    <row r="753" ht="12.75" customHeight="1">
      <c r="C753" s="45"/>
    </row>
    <row r="754" ht="12.75" customHeight="1">
      <c r="C754" s="45"/>
    </row>
    <row r="755" ht="12.75" customHeight="1">
      <c r="C755" s="45"/>
    </row>
    <row r="756" ht="12.75" customHeight="1">
      <c r="C756" s="45"/>
    </row>
    <row r="757" ht="12.75" customHeight="1">
      <c r="C757" s="45"/>
    </row>
    <row r="758" ht="12.75" customHeight="1">
      <c r="C758" s="45"/>
    </row>
    <row r="759" ht="12.75" customHeight="1">
      <c r="C759" s="45"/>
    </row>
    <row r="760" ht="12.75" customHeight="1">
      <c r="C760" s="45"/>
    </row>
    <row r="761" ht="12.75" customHeight="1">
      <c r="C761" s="45"/>
    </row>
    <row r="762" ht="12.75" customHeight="1">
      <c r="C762" s="45"/>
    </row>
    <row r="763" ht="12.75" customHeight="1">
      <c r="C763" s="45"/>
    </row>
    <row r="764" ht="12.75" customHeight="1">
      <c r="C764" s="45"/>
    </row>
    <row r="765" ht="12.75" customHeight="1">
      <c r="C765" s="45"/>
    </row>
    <row r="766" ht="12.75" customHeight="1">
      <c r="C766" s="45"/>
    </row>
    <row r="767" ht="12.75" customHeight="1">
      <c r="C767" s="45"/>
    </row>
    <row r="768" ht="12.75" customHeight="1">
      <c r="C768" s="45"/>
    </row>
    <row r="769" ht="12.75" customHeight="1">
      <c r="C769" s="45"/>
    </row>
    <row r="770" ht="12.75" customHeight="1">
      <c r="C770" s="45"/>
    </row>
    <row r="771" ht="12.75" customHeight="1">
      <c r="C771" s="45"/>
    </row>
    <row r="772" ht="12.75" customHeight="1">
      <c r="C772" s="45"/>
    </row>
    <row r="773" ht="12.75" customHeight="1">
      <c r="C773" s="45"/>
    </row>
    <row r="774" ht="12.75" customHeight="1">
      <c r="C774" s="45"/>
    </row>
    <row r="775" ht="12.75" customHeight="1">
      <c r="C775" s="45"/>
    </row>
    <row r="776" ht="12.75" customHeight="1">
      <c r="C776" s="45"/>
    </row>
    <row r="777" ht="12.75" customHeight="1">
      <c r="C777" s="45"/>
    </row>
    <row r="778" ht="12.75" customHeight="1">
      <c r="C778" s="45"/>
    </row>
    <row r="779" ht="12.75" customHeight="1">
      <c r="C779" s="45"/>
    </row>
    <row r="780" ht="12.75" customHeight="1">
      <c r="C780" s="45"/>
    </row>
    <row r="781" ht="12.75" customHeight="1">
      <c r="C781" s="45"/>
    </row>
    <row r="782" ht="12.75" customHeight="1">
      <c r="C782" s="45"/>
    </row>
    <row r="783" ht="12.75" customHeight="1">
      <c r="C783" s="45"/>
    </row>
    <row r="784" ht="12.75" customHeight="1">
      <c r="C784" s="45"/>
    </row>
    <row r="785" ht="12.75" customHeight="1">
      <c r="C785" s="45"/>
    </row>
    <row r="786" ht="12.75" customHeight="1">
      <c r="C786" s="45"/>
    </row>
    <row r="787" ht="12.75" customHeight="1">
      <c r="C787" s="45"/>
    </row>
    <row r="788" ht="12.75" customHeight="1">
      <c r="C788" s="45"/>
    </row>
    <row r="789" ht="12.75" customHeight="1">
      <c r="C789" s="45"/>
    </row>
    <row r="790" ht="12.75" customHeight="1">
      <c r="C790" s="45"/>
    </row>
    <row r="791" ht="12.75" customHeight="1">
      <c r="C791" s="45"/>
    </row>
    <row r="792" ht="12.75" customHeight="1">
      <c r="C792" s="45"/>
    </row>
    <row r="793" ht="12.75" customHeight="1">
      <c r="C793" s="45"/>
    </row>
    <row r="794" ht="12.75" customHeight="1">
      <c r="C794" s="45"/>
    </row>
    <row r="795" ht="12.75" customHeight="1">
      <c r="C795" s="45"/>
    </row>
    <row r="796" ht="12.75" customHeight="1">
      <c r="C796" s="45"/>
    </row>
    <row r="797" ht="12.75" customHeight="1">
      <c r="C797" s="45"/>
    </row>
    <row r="798" ht="12.75" customHeight="1">
      <c r="C798" s="45"/>
    </row>
    <row r="799" ht="12.75" customHeight="1">
      <c r="C799" s="45"/>
    </row>
    <row r="800" ht="12.75" customHeight="1">
      <c r="C800" s="45"/>
    </row>
    <row r="801" ht="12.75" customHeight="1">
      <c r="C801" s="45"/>
    </row>
    <row r="802" ht="12.75" customHeight="1">
      <c r="C802" s="45"/>
    </row>
    <row r="803" ht="12.75" customHeight="1">
      <c r="C803" s="45"/>
    </row>
    <row r="804" ht="12.75" customHeight="1">
      <c r="C804" s="45"/>
    </row>
    <row r="805" ht="12.75" customHeight="1">
      <c r="C805" s="45"/>
    </row>
    <row r="806" ht="12.75" customHeight="1">
      <c r="C806" s="45"/>
    </row>
    <row r="807" ht="12.75" customHeight="1">
      <c r="C807" s="45"/>
    </row>
    <row r="808" ht="12.75" customHeight="1">
      <c r="C808" s="45"/>
    </row>
    <row r="809" ht="12.75" customHeight="1">
      <c r="C809" s="45"/>
    </row>
    <row r="810" ht="12.75" customHeight="1">
      <c r="C810" s="45"/>
    </row>
    <row r="811" ht="12.75" customHeight="1">
      <c r="C811" s="45"/>
    </row>
    <row r="812" ht="12.75" customHeight="1">
      <c r="C812" s="45"/>
    </row>
    <row r="813" ht="12.75" customHeight="1">
      <c r="C813" s="45"/>
    </row>
    <row r="814" ht="12.75" customHeight="1">
      <c r="C814" s="45"/>
    </row>
    <row r="815" ht="12.75" customHeight="1">
      <c r="C815" s="45"/>
    </row>
    <row r="816" ht="12.75" customHeight="1">
      <c r="C816" s="45"/>
    </row>
    <row r="817" ht="12.75" customHeight="1">
      <c r="C817" s="45"/>
    </row>
    <row r="818" ht="12.75" customHeight="1">
      <c r="C818" s="45"/>
    </row>
    <row r="819" ht="12.75" customHeight="1">
      <c r="C819" s="45"/>
    </row>
    <row r="820" ht="12.75" customHeight="1">
      <c r="C820" s="45"/>
    </row>
    <row r="821" ht="12.75" customHeight="1">
      <c r="C821" s="45"/>
    </row>
    <row r="822" ht="12.75" customHeight="1">
      <c r="C822" s="45"/>
    </row>
    <row r="823" ht="12.75" customHeight="1">
      <c r="C823" s="45"/>
    </row>
    <row r="824" ht="12.75" customHeight="1">
      <c r="C824" s="45"/>
    </row>
    <row r="825" ht="12.75" customHeight="1">
      <c r="C825" s="45"/>
    </row>
    <row r="826" ht="12.75" customHeight="1">
      <c r="C826" s="45"/>
    </row>
    <row r="827" ht="12.75" customHeight="1">
      <c r="C827" s="45"/>
    </row>
    <row r="828" ht="12.75" customHeight="1">
      <c r="C828" s="45"/>
    </row>
    <row r="829" ht="12.75" customHeight="1">
      <c r="C829" s="45"/>
    </row>
    <row r="830" ht="12.75" customHeight="1">
      <c r="C830" s="45"/>
    </row>
    <row r="831" ht="12.75" customHeight="1">
      <c r="C831" s="45"/>
    </row>
    <row r="832" ht="12.75" customHeight="1">
      <c r="C832" s="45"/>
    </row>
    <row r="833" ht="12.75" customHeight="1">
      <c r="C833" s="45"/>
    </row>
    <row r="834" ht="12.75" customHeight="1">
      <c r="C834" s="45"/>
    </row>
    <row r="835" ht="12.75" customHeight="1">
      <c r="C835" s="45"/>
    </row>
    <row r="836" ht="12.75" customHeight="1">
      <c r="C836" s="45"/>
    </row>
    <row r="837" ht="12.75" customHeight="1">
      <c r="C837" s="45"/>
    </row>
    <row r="838" ht="12.75" customHeight="1">
      <c r="C838" s="45"/>
    </row>
    <row r="839" ht="12.75" customHeight="1">
      <c r="C839" s="45"/>
    </row>
    <row r="840" ht="12.75" customHeight="1">
      <c r="C840" s="45"/>
    </row>
    <row r="841" ht="12.75" customHeight="1">
      <c r="C841" s="45"/>
    </row>
    <row r="842" ht="12.75" customHeight="1">
      <c r="C842" s="45"/>
    </row>
    <row r="843" ht="12.75" customHeight="1">
      <c r="C843" s="45"/>
    </row>
    <row r="844" ht="12.75" customHeight="1">
      <c r="C844" s="45"/>
    </row>
    <row r="845" ht="12.75" customHeight="1">
      <c r="C845" s="45"/>
    </row>
    <row r="846" ht="12.75" customHeight="1">
      <c r="C846" s="45"/>
    </row>
    <row r="847" ht="12.75" customHeight="1">
      <c r="C847" s="45"/>
    </row>
    <row r="848" ht="12.75" customHeight="1">
      <c r="C848" s="45"/>
    </row>
    <row r="849" ht="12.75" customHeight="1">
      <c r="C849" s="45"/>
    </row>
    <row r="850" ht="12.75" customHeight="1">
      <c r="C850" s="45"/>
    </row>
    <row r="851" ht="12.75" customHeight="1">
      <c r="C851" s="45"/>
    </row>
    <row r="852" ht="12.75" customHeight="1">
      <c r="C852" s="45"/>
    </row>
    <row r="853" ht="12.75" customHeight="1">
      <c r="C853" s="45"/>
    </row>
    <row r="854" ht="12.75" customHeight="1">
      <c r="C854" s="45"/>
    </row>
    <row r="855" ht="12.75" customHeight="1">
      <c r="C855" s="45"/>
    </row>
    <row r="856" ht="12.75" customHeight="1">
      <c r="C856" s="45"/>
    </row>
    <row r="857" ht="12.75" customHeight="1">
      <c r="C857" s="45"/>
    </row>
    <row r="858" ht="12.75" customHeight="1">
      <c r="C858" s="45"/>
    </row>
    <row r="859" ht="12.75" customHeight="1">
      <c r="C859" s="45"/>
    </row>
    <row r="860" ht="12.75" customHeight="1">
      <c r="C860" s="45"/>
    </row>
    <row r="861" ht="12.75" customHeight="1">
      <c r="C861" s="45"/>
    </row>
    <row r="862" ht="12.75" customHeight="1">
      <c r="C862" s="45"/>
    </row>
    <row r="863" ht="12.75" customHeight="1">
      <c r="C863" s="45"/>
    </row>
    <row r="864" ht="12.75" customHeight="1">
      <c r="C864" s="45"/>
    </row>
    <row r="865" ht="12.75" customHeight="1">
      <c r="C865" s="45"/>
    </row>
    <row r="866" ht="12.75" customHeight="1">
      <c r="C866" s="45"/>
    </row>
    <row r="867" ht="12.75" customHeight="1">
      <c r="C867" s="45"/>
    </row>
    <row r="868" ht="12.75" customHeight="1">
      <c r="C868" s="45"/>
    </row>
    <row r="869" ht="12.75" customHeight="1">
      <c r="C869" s="45"/>
    </row>
    <row r="870" ht="12.75" customHeight="1">
      <c r="C870" s="45"/>
    </row>
    <row r="871" ht="12.75" customHeight="1">
      <c r="C871" s="45"/>
    </row>
    <row r="872" ht="12.75" customHeight="1">
      <c r="C872" s="45"/>
    </row>
    <row r="873" ht="12.75" customHeight="1">
      <c r="C873" s="45"/>
    </row>
    <row r="874" ht="12.75" customHeight="1">
      <c r="C874" s="45"/>
    </row>
    <row r="875" ht="12.75" customHeight="1">
      <c r="C875" s="45"/>
    </row>
    <row r="876" ht="12.75" customHeight="1">
      <c r="C876" s="45"/>
    </row>
    <row r="877" ht="12.75" customHeight="1">
      <c r="C877" s="45"/>
    </row>
    <row r="878" ht="12.75" customHeight="1">
      <c r="C878" s="45"/>
    </row>
    <row r="879" ht="12.75" customHeight="1">
      <c r="C879" s="45"/>
    </row>
    <row r="880" ht="12.75" customHeight="1">
      <c r="C880" s="45"/>
    </row>
    <row r="881" ht="12.75" customHeight="1">
      <c r="C881" s="45"/>
    </row>
    <row r="882" ht="12.75" customHeight="1">
      <c r="C882" s="45"/>
    </row>
    <row r="883" ht="12.75" customHeight="1">
      <c r="C883" s="45"/>
    </row>
    <row r="884" ht="12.75" customHeight="1">
      <c r="C884" s="45"/>
    </row>
    <row r="885" ht="12.75" customHeight="1">
      <c r="C885" s="45"/>
    </row>
    <row r="886" ht="12.75" customHeight="1">
      <c r="C886" s="45"/>
    </row>
    <row r="887" ht="12.75" customHeight="1">
      <c r="C887" s="45"/>
    </row>
    <row r="888" ht="12.75" customHeight="1">
      <c r="C888" s="45"/>
    </row>
    <row r="889" ht="12.75" customHeight="1">
      <c r="C889" s="45"/>
    </row>
    <row r="890" ht="12.75" customHeight="1">
      <c r="C890" s="45"/>
    </row>
    <row r="891" ht="12.75" customHeight="1">
      <c r="C891" s="45"/>
    </row>
    <row r="892" ht="12.75" customHeight="1">
      <c r="C892" s="45"/>
    </row>
    <row r="893" ht="12.75" customHeight="1">
      <c r="C893" s="45"/>
    </row>
    <row r="894" ht="12.75" customHeight="1">
      <c r="C894" s="45"/>
    </row>
    <row r="895" ht="12.75" customHeight="1">
      <c r="C895" s="45"/>
    </row>
    <row r="896" ht="12.75" customHeight="1">
      <c r="C896" s="45"/>
    </row>
    <row r="897" ht="12.75" customHeight="1">
      <c r="C897" s="45"/>
    </row>
    <row r="898" ht="12.75" customHeight="1">
      <c r="C898" s="45"/>
    </row>
    <row r="899" ht="12.75" customHeight="1">
      <c r="C899" s="45"/>
    </row>
    <row r="900" ht="12.75" customHeight="1">
      <c r="C900" s="45"/>
    </row>
    <row r="901" ht="12.75" customHeight="1">
      <c r="C901" s="45"/>
    </row>
    <row r="902" ht="12.75" customHeight="1">
      <c r="C902" s="45"/>
    </row>
    <row r="903" ht="12.75" customHeight="1">
      <c r="C903" s="45"/>
    </row>
    <row r="904" ht="12.75" customHeight="1">
      <c r="C904" s="45"/>
    </row>
    <row r="905" ht="12.75" customHeight="1">
      <c r="C905" s="45"/>
    </row>
    <row r="906" ht="12.75" customHeight="1">
      <c r="C906" s="45"/>
    </row>
    <row r="907" ht="12.75" customHeight="1">
      <c r="C907" s="45"/>
    </row>
    <row r="908" ht="12.75" customHeight="1">
      <c r="C908" s="45"/>
    </row>
    <row r="909" ht="12.75" customHeight="1">
      <c r="C909" s="45"/>
    </row>
    <row r="910" ht="12.75" customHeight="1">
      <c r="C910" s="45"/>
    </row>
    <row r="911" ht="12.75" customHeight="1">
      <c r="C911" s="45"/>
    </row>
    <row r="912" ht="12.75" customHeight="1">
      <c r="C912" s="45"/>
    </row>
    <row r="913" ht="12.75" customHeight="1">
      <c r="C913" s="45"/>
    </row>
    <row r="914" ht="12.75" customHeight="1">
      <c r="C914" s="45"/>
    </row>
    <row r="915" ht="12.75" customHeight="1">
      <c r="C915" s="45"/>
    </row>
    <row r="916" ht="12.75" customHeight="1">
      <c r="C916" s="45"/>
    </row>
    <row r="917" ht="12.75" customHeight="1">
      <c r="C917" s="45"/>
    </row>
    <row r="918" ht="12.75" customHeight="1">
      <c r="C918" s="45"/>
    </row>
    <row r="919" ht="12.75" customHeight="1">
      <c r="C919" s="45"/>
    </row>
    <row r="920" ht="12.75" customHeight="1">
      <c r="C920" s="45"/>
    </row>
    <row r="921" ht="12.75" customHeight="1">
      <c r="C921" s="45"/>
    </row>
    <row r="922" ht="12.75" customHeight="1">
      <c r="C922" s="45"/>
    </row>
    <row r="923" ht="12.75" customHeight="1">
      <c r="C923" s="45"/>
    </row>
    <row r="924" ht="12.75" customHeight="1">
      <c r="C924" s="45"/>
    </row>
    <row r="925" ht="12.75" customHeight="1">
      <c r="C925" s="45"/>
    </row>
    <row r="926" ht="12.75" customHeight="1">
      <c r="C926" s="45"/>
    </row>
    <row r="927" ht="12.75" customHeight="1">
      <c r="C927" s="45"/>
    </row>
    <row r="928" ht="12.75" customHeight="1">
      <c r="C928" s="45"/>
    </row>
    <row r="929" ht="12.75" customHeight="1">
      <c r="C929" s="45"/>
    </row>
    <row r="930" ht="12.75" customHeight="1">
      <c r="C930" s="45"/>
    </row>
    <row r="931" ht="12.75" customHeight="1">
      <c r="C931" s="45"/>
    </row>
    <row r="932" ht="12.75" customHeight="1">
      <c r="C932" s="45"/>
    </row>
    <row r="933" ht="12.75" customHeight="1">
      <c r="C933" s="45"/>
    </row>
    <row r="934" ht="12.75" customHeight="1">
      <c r="C934" s="45"/>
    </row>
    <row r="935" ht="12.75" customHeight="1">
      <c r="C935" s="45"/>
    </row>
    <row r="936" ht="12.75" customHeight="1">
      <c r="C936" s="45"/>
    </row>
    <row r="937" ht="12.75" customHeight="1">
      <c r="C937" s="45"/>
    </row>
    <row r="938" ht="12.75" customHeight="1">
      <c r="C938" s="45"/>
    </row>
    <row r="939" ht="12.75" customHeight="1">
      <c r="C939" s="45"/>
    </row>
    <row r="940" ht="12.75" customHeight="1">
      <c r="C940" s="45"/>
    </row>
    <row r="941" ht="12.75" customHeight="1">
      <c r="C941" s="45"/>
    </row>
    <row r="942" ht="12.75" customHeight="1">
      <c r="C942" s="45"/>
    </row>
    <row r="943" ht="12.75" customHeight="1">
      <c r="C943" s="45"/>
    </row>
    <row r="944" ht="12.75" customHeight="1">
      <c r="C944" s="45"/>
    </row>
    <row r="945" ht="12.75" customHeight="1">
      <c r="C945" s="45"/>
    </row>
    <row r="946" ht="12.75" customHeight="1">
      <c r="C946" s="45"/>
    </row>
    <row r="947" ht="12.75" customHeight="1">
      <c r="C947" s="45"/>
    </row>
    <row r="948" ht="12.75" customHeight="1">
      <c r="C948" s="45"/>
    </row>
    <row r="949" ht="12.75" customHeight="1">
      <c r="C949" s="45"/>
    </row>
    <row r="950" ht="12.75" customHeight="1">
      <c r="C950" s="45"/>
    </row>
    <row r="951" ht="12.75" customHeight="1">
      <c r="C951" s="45"/>
    </row>
    <row r="952" ht="12.75" customHeight="1">
      <c r="C952" s="45"/>
    </row>
    <row r="953" ht="12.75" customHeight="1">
      <c r="C953" s="45"/>
    </row>
    <row r="954" ht="12.75" customHeight="1">
      <c r="C954" s="45"/>
    </row>
    <row r="955" ht="12.75" customHeight="1">
      <c r="C955" s="45"/>
    </row>
    <row r="956" ht="12.75" customHeight="1">
      <c r="C956" s="45"/>
    </row>
    <row r="957" ht="12.75" customHeight="1">
      <c r="C957" s="45"/>
    </row>
    <row r="958" ht="12.75" customHeight="1">
      <c r="C958" s="45"/>
    </row>
    <row r="959" ht="12.75" customHeight="1">
      <c r="C959" s="45"/>
    </row>
    <row r="960" ht="12.75" customHeight="1">
      <c r="C960" s="45"/>
    </row>
    <row r="961" ht="12.75" customHeight="1">
      <c r="C961" s="45"/>
    </row>
    <row r="962" ht="12.75" customHeight="1">
      <c r="C962" s="45"/>
    </row>
    <row r="963" ht="12.75" customHeight="1">
      <c r="C963" s="45"/>
    </row>
    <row r="964" ht="12.75" customHeight="1">
      <c r="C964" s="45"/>
    </row>
    <row r="965" ht="12.75" customHeight="1">
      <c r="C965" s="45"/>
    </row>
    <row r="966" ht="12.75" customHeight="1">
      <c r="C966" s="45"/>
    </row>
    <row r="967" ht="12.75" customHeight="1">
      <c r="C967" s="45"/>
    </row>
    <row r="968" ht="12.75" customHeight="1">
      <c r="C968" s="45"/>
    </row>
    <row r="969" ht="12.75" customHeight="1">
      <c r="C969" s="45"/>
    </row>
    <row r="970" ht="12.75" customHeight="1">
      <c r="C970" s="45"/>
    </row>
    <row r="971" ht="12.75" customHeight="1">
      <c r="C971" s="45"/>
    </row>
    <row r="972" ht="12.75" customHeight="1">
      <c r="C972" s="45"/>
    </row>
    <row r="973" ht="12.75" customHeight="1">
      <c r="C973" s="45"/>
    </row>
    <row r="974" ht="12.75" customHeight="1">
      <c r="C974" s="45"/>
    </row>
    <row r="975" ht="12.75" customHeight="1">
      <c r="C975" s="45"/>
    </row>
    <row r="976" ht="12.75" customHeight="1">
      <c r="C976" s="45"/>
    </row>
    <row r="977" ht="12.75" customHeight="1">
      <c r="C977" s="45"/>
    </row>
    <row r="978" ht="12.75" customHeight="1">
      <c r="C978" s="45"/>
    </row>
    <row r="979" ht="12.75" customHeight="1">
      <c r="C979" s="45"/>
    </row>
    <row r="980" ht="12.75" customHeight="1">
      <c r="C980" s="45"/>
    </row>
    <row r="981" ht="12.75" customHeight="1">
      <c r="C981" s="45"/>
    </row>
    <row r="982" ht="12.75" customHeight="1">
      <c r="C982" s="45"/>
    </row>
    <row r="983" ht="12.75" customHeight="1">
      <c r="C983" s="45"/>
    </row>
    <row r="984" ht="12.75" customHeight="1">
      <c r="C984" s="45"/>
    </row>
    <row r="985" ht="12.75" customHeight="1">
      <c r="C985" s="45"/>
    </row>
    <row r="986" ht="12.75" customHeight="1">
      <c r="C986" s="45"/>
    </row>
    <row r="987" ht="12.75" customHeight="1">
      <c r="C987" s="45"/>
    </row>
    <row r="988" ht="12.75" customHeight="1">
      <c r="C988" s="45"/>
    </row>
    <row r="989" ht="12.75" customHeight="1">
      <c r="C989" s="45"/>
    </row>
    <row r="990" ht="12.75" customHeight="1">
      <c r="C990" s="45"/>
    </row>
    <row r="991" ht="12.75" customHeight="1">
      <c r="C991" s="45"/>
    </row>
    <row r="992" ht="12.75" customHeight="1">
      <c r="C992" s="45"/>
    </row>
    <row r="993" ht="12.75" customHeight="1">
      <c r="C993" s="45"/>
    </row>
    <row r="994" ht="12.75" customHeight="1">
      <c r="C994" s="45"/>
    </row>
    <row r="995" ht="12.75" customHeight="1">
      <c r="C995" s="45"/>
    </row>
    <row r="996" ht="12.75" customHeight="1">
      <c r="C996" s="45"/>
    </row>
    <row r="997" ht="12.75" customHeight="1">
      <c r="C997" s="45"/>
    </row>
    <row r="998" ht="12.75" customHeight="1">
      <c r="C998" s="45"/>
    </row>
    <row r="999" ht="12.75" customHeight="1">
      <c r="C999" s="45"/>
    </row>
    <row r="1000" ht="12.75" customHeight="1">
      <c r="C1000" s="45"/>
    </row>
  </sheetData>
  <hyperlinks>
    <hyperlink display="← Back to Cube Index" location="'Cube Index'!A1" ref="F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1.5"/>
    <col customWidth="1" min="2" max="2" width="5.88"/>
    <col customWidth="1" min="3" max="3" width="20.0"/>
    <col customWidth="1" min="4" max="4" width="9.13"/>
    <col customWidth="1" min="5" max="11" width="4.38"/>
    <col customWidth="1" min="12" max="30" width="3.88"/>
    <col customWidth="1" hidden="1" min="31" max="60" width="3.88"/>
    <col customWidth="1" min="61" max="62" width="3.88"/>
    <col customWidth="1" min="63" max="116" width="8.0"/>
  </cols>
  <sheetData>
    <row r="1" ht="15.75" customHeight="1">
      <c r="A1" s="51"/>
    </row>
    <row r="2" ht="15.75" customHeight="1">
      <c r="A2" s="51"/>
      <c r="B2" s="52"/>
      <c r="C2" s="52"/>
      <c r="D2" s="52" t="s">
        <v>1721</v>
      </c>
      <c r="E2" s="52"/>
      <c r="F2" s="52"/>
      <c r="G2" s="52"/>
      <c r="H2" s="52"/>
      <c r="I2" s="52"/>
      <c r="J2" s="52"/>
      <c r="K2" s="52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>
        <v>46026.0</v>
      </c>
      <c r="BL2" s="53">
        <v>46033.0</v>
      </c>
      <c r="BM2" s="53">
        <v>46040.0</v>
      </c>
      <c r="BN2" s="53">
        <v>46047.0</v>
      </c>
      <c r="BO2" s="53">
        <v>46054.0</v>
      </c>
      <c r="BP2" s="53">
        <v>46061.0</v>
      </c>
      <c r="BQ2" s="53">
        <v>46068.0</v>
      </c>
      <c r="BR2" s="53">
        <v>46075.0</v>
      </c>
      <c r="BS2" s="53">
        <v>46082.0</v>
      </c>
      <c r="BT2" s="53">
        <v>46089.0</v>
      </c>
      <c r="BU2" s="53">
        <v>46096.0</v>
      </c>
      <c r="BV2" s="53">
        <v>46103.0</v>
      </c>
      <c r="BW2" s="53">
        <v>46110.0</v>
      </c>
      <c r="BX2" s="53">
        <v>46117.0</v>
      </c>
      <c r="BY2" s="53">
        <v>46124.0</v>
      </c>
      <c r="BZ2" s="53">
        <v>46131.0</v>
      </c>
      <c r="CA2" s="53">
        <v>46138.0</v>
      </c>
      <c r="CB2" s="53">
        <v>46145.0</v>
      </c>
      <c r="CC2" s="53">
        <v>46152.0</v>
      </c>
      <c r="CD2" s="53">
        <v>46159.0</v>
      </c>
      <c r="CE2" s="53">
        <v>46166.0</v>
      </c>
      <c r="CF2" s="53">
        <v>46173.0</v>
      </c>
      <c r="CG2" s="53">
        <v>46180.0</v>
      </c>
      <c r="CH2" s="53">
        <v>46187.0</v>
      </c>
      <c r="CI2" s="53">
        <v>46194.0</v>
      </c>
      <c r="CJ2" s="53">
        <v>46201.0</v>
      </c>
      <c r="CK2" s="53">
        <v>46208.0</v>
      </c>
      <c r="CL2" s="53">
        <v>46215.0</v>
      </c>
      <c r="CM2" s="53">
        <v>46222.0</v>
      </c>
      <c r="CN2" s="53">
        <v>46229.0</v>
      </c>
      <c r="CO2" s="53">
        <v>46236.0</v>
      </c>
      <c r="CP2" s="53">
        <v>46243.0</v>
      </c>
      <c r="CQ2" s="53">
        <v>46250.0</v>
      </c>
      <c r="CR2" s="53">
        <v>46260.0</v>
      </c>
      <c r="CS2" s="53">
        <v>46264.0</v>
      </c>
      <c r="CT2" s="53">
        <v>46271.0</v>
      </c>
      <c r="CU2" s="53">
        <v>46278.0</v>
      </c>
      <c r="CV2" s="53">
        <v>46285.0</v>
      </c>
      <c r="CW2" s="53">
        <v>46292.0</v>
      </c>
      <c r="CX2" s="53">
        <v>46299.0</v>
      </c>
      <c r="CY2" s="53">
        <v>46306.0</v>
      </c>
      <c r="CZ2" s="53">
        <v>46313.0</v>
      </c>
      <c r="DA2" s="53">
        <v>46320.0</v>
      </c>
      <c r="DB2" s="53">
        <v>46327.0</v>
      </c>
      <c r="DC2" s="53">
        <v>46334.0</v>
      </c>
      <c r="DD2" s="53">
        <v>46341.0</v>
      </c>
      <c r="DE2" s="53">
        <v>46348.0</v>
      </c>
      <c r="DF2" s="53">
        <v>46355.0</v>
      </c>
      <c r="DG2" s="53">
        <v>46362.0</v>
      </c>
      <c r="DH2" s="53">
        <v>46369.0</v>
      </c>
      <c r="DI2" s="53">
        <v>46376.0</v>
      </c>
      <c r="DJ2" s="53">
        <v>46383.0</v>
      </c>
      <c r="DK2" s="53"/>
      <c r="DL2" s="53"/>
    </row>
    <row r="3" ht="15.75" customHeight="1"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 t="s">
        <v>1722</v>
      </c>
      <c r="BL3" s="54" t="s">
        <v>1723</v>
      </c>
      <c r="BM3" s="54" t="s">
        <v>1724</v>
      </c>
      <c r="BN3" s="54" t="s">
        <v>1725</v>
      </c>
      <c r="BO3" s="54" t="s">
        <v>1726</v>
      </c>
      <c r="BP3" s="54" t="s">
        <v>1727</v>
      </c>
      <c r="BQ3" s="54" t="s">
        <v>1728</v>
      </c>
      <c r="BR3" s="54" t="s">
        <v>1729</v>
      </c>
      <c r="BS3" s="54" t="s">
        <v>1730</v>
      </c>
      <c r="BT3" s="54" t="s">
        <v>1731</v>
      </c>
      <c r="BU3" s="54" t="s">
        <v>1732</v>
      </c>
      <c r="BV3" s="54" t="s">
        <v>1733</v>
      </c>
      <c r="BW3" s="54" t="s">
        <v>1734</v>
      </c>
      <c r="BX3" s="54" t="s">
        <v>1735</v>
      </c>
      <c r="BY3" s="54" t="s">
        <v>1736</v>
      </c>
      <c r="BZ3" s="54" t="s">
        <v>1737</v>
      </c>
      <c r="CA3" s="54" t="s">
        <v>1738</v>
      </c>
      <c r="CB3" s="54" t="s">
        <v>1739</v>
      </c>
      <c r="CC3" s="54" t="s">
        <v>1740</v>
      </c>
      <c r="CD3" s="54" t="s">
        <v>1741</v>
      </c>
      <c r="CE3" s="54" t="s">
        <v>1742</v>
      </c>
      <c r="CF3" s="54" t="s">
        <v>1743</v>
      </c>
      <c r="CG3" s="54" t="s">
        <v>1744</v>
      </c>
      <c r="CH3" s="54" t="s">
        <v>1745</v>
      </c>
      <c r="CI3" s="54" t="s">
        <v>1746</v>
      </c>
      <c r="CJ3" s="54" t="s">
        <v>1747</v>
      </c>
      <c r="CK3" s="54" t="s">
        <v>1748</v>
      </c>
      <c r="CL3" s="54" t="s">
        <v>1749</v>
      </c>
      <c r="CM3" s="54" t="s">
        <v>1750</v>
      </c>
      <c r="CN3" s="54" t="s">
        <v>1751</v>
      </c>
      <c r="CO3" s="54" t="s">
        <v>1752</v>
      </c>
      <c r="CP3" s="54" t="s">
        <v>1753</v>
      </c>
      <c r="CQ3" s="54" t="s">
        <v>1754</v>
      </c>
      <c r="CR3" s="54" t="s">
        <v>1755</v>
      </c>
      <c r="CS3" s="54" t="s">
        <v>1756</v>
      </c>
      <c r="CT3" s="54" t="s">
        <v>1757</v>
      </c>
      <c r="CU3" s="54" t="s">
        <v>1758</v>
      </c>
      <c r="CV3" s="54" t="s">
        <v>1759</v>
      </c>
      <c r="CW3" s="54" t="s">
        <v>1760</v>
      </c>
      <c r="CX3" s="54" t="s">
        <v>1761</v>
      </c>
      <c r="CY3" s="54" t="s">
        <v>1762</v>
      </c>
      <c r="CZ3" s="54" t="s">
        <v>1763</v>
      </c>
      <c r="DA3" s="54" t="s">
        <v>1764</v>
      </c>
      <c r="DB3" s="54" t="s">
        <v>1765</v>
      </c>
      <c r="DC3" s="54" t="s">
        <v>1766</v>
      </c>
      <c r="DD3" s="54" t="s">
        <v>1767</v>
      </c>
      <c r="DE3" s="54" t="s">
        <v>1768</v>
      </c>
      <c r="DF3" s="54" t="s">
        <v>1769</v>
      </c>
      <c r="DG3" s="54" t="s">
        <v>1770</v>
      </c>
      <c r="DH3" s="54" t="s">
        <v>1771</v>
      </c>
      <c r="DI3" s="54" t="s">
        <v>1772</v>
      </c>
      <c r="DJ3" s="54" t="s">
        <v>1773</v>
      </c>
      <c r="DK3" s="54" t="s">
        <v>143</v>
      </c>
      <c r="DL3" s="54" t="s">
        <v>1774</v>
      </c>
    </row>
    <row r="4" ht="15.75" customHeight="1"/>
    <row r="5" ht="15.75" customHeight="1">
      <c r="B5" s="52"/>
      <c r="C5" s="52" t="s">
        <v>1775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>
        <v>5000.0</v>
      </c>
      <c r="BW5" s="55">
        <v>5000.0</v>
      </c>
      <c r="BX5" s="55">
        <v>20000.0</v>
      </c>
      <c r="BY5" s="55"/>
      <c r="BZ5" s="55">
        <v>10000.0</v>
      </c>
      <c r="CA5" s="55"/>
      <c r="CB5" s="55">
        <v>20000.0</v>
      </c>
      <c r="CC5" s="55"/>
      <c r="CD5" s="55">
        <v>10000.0</v>
      </c>
      <c r="CE5" s="55">
        <v>5000.0</v>
      </c>
      <c r="CF5" s="55"/>
      <c r="CG5" s="55">
        <v>20000.0</v>
      </c>
      <c r="CH5" s="55"/>
      <c r="CI5" s="55">
        <v>5000.0</v>
      </c>
      <c r="CJ5" s="55"/>
      <c r="CK5" s="55">
        <v>40000.0</v>
      </c>
      <c r="CL5" s="55"/>
      <c r="CM5" s="55">
        <v>5000.0</v>
      </c>
      <c r="CN5" s="55"/>
      <c r="CO5" s="55">
        <v>10000.0</v>
      </c>
      <c r="CP5" s="55"/>
      <c r="CQ5" s="55">
        <v>5000.0</v>
      </c>
      <c r="CR5" s="55"/>
      <c r="CS5" s="55">
        <v>10000.0</v>
      </c>
      <c r="CT5" s="55">
        <v>10000.0</v>
      </c>
      <c r="CU5" s="55"/>
      <c r="CV5" s="55">
        <v>5000.0</v>
      </c>
      <c r="CW5" s="55">
        <v>10000.0</v>
      </c>
      <c r="CX5" s="55"/>
      <c r="CY5" s="55">
        <v>10000.0</v>
      </c>
      <c r="CZ5" s="55">
        <v>10000.0</v>
      </c>
      <c r="DA5" s="55"/>
      <c r="DB5" s="55">
        <v>40000.0</v>
      </c>
      <c r="DC5" s="55"/>
      <c r="DD5" s="55">
        <v>5000.0</v>
      </c>
      <c r="DE5" s="55"/>
      <c r="DF5" s="55">
        <v>5000.0</v>
      </c>
      <c r="DG5" s="55"/>
      <c r="DH5" s="55"/>
      <c r="DI5" s="55"/>
      <c r="DJ5" s="55"/>
      <c r="DK5" s="55"/>
      <c r="DL5" s="55"/>
    </row>
    <row r="6" ht="15.75" customHeight="1">
      <c r="B6" s="52"/>
      <c r="C6" s="52" t="s">
        <v>1776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>
        <v>3000.0</v>
      </c>
      <c r="BW6" s="55">
        <v>2500.0</v>
      </c>
      <c r="BX6" s="55">
        <v>10000.0</v>
      </c>
      <c r="BY6" s="55">
        <v>5000.0</v>
      </c>
      <c r="BZ6" s="55">
        <v>7500.0</v>
      </c>
      <c r="CA6" s="55">
        <v>10000.0</v>
      </c>
      <c r="CB6" s="55">
        <v>10000.0</v>
      </c>
      <c r="CC6" s="55">
        <v>2500.0</v>
      </c>
      <c r="CD6" s="55">
        <v>10000.0</v>
      </c>
      <c r="CE6" s="55">
        <v>5000.0</v>
      </c>
      <c r="CF6" s="55">
        <v>5000.0</v>
      </c>
      <c r="CG6" s="55">
        <v>10000.0</v>
      </c>
      <c r="CH6" s="55">
        <v>5000.0</v>
      </c>
      <c r="CI6" s="55">
        <v>5000.0</v>
      </c>
      <c r="CJ6" s="55">
        <v>5000.0</v>
      </c>
      <c r="CK6" s="55">
        <v>40000.0</v>
      </c>
      <c r="CL6" s="55">
        <v>5000.0</v>
      </c>
      <c r="CM6" s="55">
        <v>5000.0</v>
      </c>
      <c r="CN6" s="55">
        <v>2500.0</v>
      </c>
      <c r="CO6" s="55">
        <v>10000.0</v>
      </c>
      <c r="CP6" s="55">
        <v>2500.0</v>
      </c>
      <c r="CQ6" s="55">
        <v>2500.0</v>
      </c>
      <c r="CR6" s="55">
        <v>5000.0</v>
      </c>
      <c r="CS6" s="55">
        <v>5000.0</v>
      </c>
      <c r="CT6" s="55">
        <v>1000.0</v>
      </c>
      <c r="CU6" s="55">
        <v>2000.0</v>
      </c>
      <c r="CV6" s="55">
        <v>5000.0</v>
      </c>
      <c r="CW6" s="55">
        <v>10000.0</v>
      </c>
      <c r="CX6" s="55">
        <v>2500.0</v>
      </c>
      <c r="CY6" s="55">
        <v>2500.0</v>
      </c>
      <c r="CZ6" s="55">
        <v>10000.0</v>
      </c>
      <c r="DA6" s="55">
        <v>2500.0</v>
      </c>
      <c r="DB6" s="55">
        <v>40000.0</v>
      </c>
      <c r="DC6" s="55">
        <v>5000.0</v>
      </c>
      <c r="DD6" s="55">
        <v>2500.0</v>
      </c>
      <c r="DE6" s="55">
        <v>2500.0</v>
      </c>
      <c r="DF6" s="55">
        <v>5000.0</v>
      </c>
      <c r="DG6" s="55">
        <v>5000.0</v>
      </c>
      <c r="DH6" s="55">
        <v>5000.0</v>
      </c>
      <c r="DI6" s="55">
        <v>2500.0</v>
      </c>
      <c r="DJ6" s="55">
        <v>2500.0</v>
      </c>
      <c r="DK6" s="55"/>
      <c r="DL6" s="55"/>
    </row>
    <row r="7" ht="15.75" customHeight="1">
      <c r="B7" s="52"/>
      <c r="C7" s="52" t="s">
        <v>1777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>
        <v>10500.0</v>
      </c>
      <c r="BS7" s="55">
        <v>21592.0</v>
      </c>
      <c r="BT7" s="55">
        <f t="shared" ref="BT7:DJ7" si="1">BS7+BT5-BT6</f>
        <v>21592</v>
      </c>
      <c r="BU7" s="55">
        <f t="shared" si="1"/>
        <v>21592</v>
      </c>
      <c r="BV7" s="55">
        <f t="shared" si="1"/>
        <v>23592</v>
      </c>
      <c r="BW7" s="55">
        <f t="shared" si="1"/>
        <v>26092</v>
      </c>
      <c r="BX7" s="55">
        <f t="shared" si="1"/>
        <v>36092</v>
      </c>
      <c r="BY7" s="55">
        <f t="shared" si="1"/>
        <v>31092</v>
      </c>
      <c r="BZ7" s="55">
        <f t="shared" si="1"/>
        <v>33592</v>
      </c>
      <c r="CA7" s="55">
        <f t="shared" si="1"/>
        <v>23592</v>
      </c>
      <c r="CB7" s="55">
        <f t="shared" si="1"/>
        <v>33592</v>
      </c>
      <c r="CC7" s="55">
        <f t="shared" si="1"/>
        <v>31092</v>
      </c>
      <c r="CD7" s="55">
        <f t="shared" si="1"/>
        <v>31092</v>
      </c>
      <c r="CE7" s="55">
        <f t="shared" si="1"/>
        <v>31092</v>
      </c>
      <c r="CF7" s="55">
        <f t="shared" si="1"/>
        <v>26092</v>
      </c>
      <c r="CG7" s="55">
        <f t="shared" si="1"/>
        <v>36092</v>
      </c>
      <c r="CH7" s="55">
        <f t="shared" si="1"/>
        <v>31092</v>
      </c>
      <c r="CI7" s="55">
        <f t="shared" si="1"/>
        <v>31092</v>
      </c>
      <c r="CJ7" s="55">
        <f t="shared" si="1"/>
        <v>26092</v>
      </c>
      <c r="CK7" s="55">
        <f t="shared" si="1"/>
        <v>26092</v>
      </c>
      <c r="CL7" s="55">
        <f t="shared" si="1"/>
        <v>21092</v>
      </c>
      <c r="CM7" s="55">
        <f t="shared" si="1"/>
        <v>21092</v>
      </c>
      <c r="CN7" s="55">
        <f t="shared" si="1"/>
        <v>18592</v>
      </c>
      <c r="CO7" s="55">
        <f t="shared" si="1"/>
        <v>18592</v>
      </c>
      <c r="CP7" s="55">
        <f t="shared" si="1"/>
        <v>16092</v>
      </c>
      <c r="CQ7" s="55">
        <f t="shared" si="1"/>
        <v>18592</v>
      </c>
      <c r="CR7" s="55">
        <f t="shared" si="1"/>
        <v>13592</v>
      </c>
      <c r="CS7" s="55">
        <f t="shared" si="1"/>
        <v>18592</v>
      </c>
      <c r="CT7" s="55">
        <f t="shared" si="1"/>
        <v>27592</v>
      </c>
      <c r="CU7" s="55">
        <f t="shared" si="1"/>
        <v>25592</v>
      </c>
      <c r="CV7" s="55">
        <f t="shared" si="1"/>
        <v>25592</v>
      </c>
      <c r="CW7" s="55">
        <f t="shared" si="1"/>
        <v>25592</v>
      </c>
      <c r="CX7" s="55">
        <f t="shared" si="1"/>
        <v>23092</v>
      </c>
      <c r="CY7" s="55">
        <f t="shared" si="1"/>
        <v>30592</v>
      </c>
      <c r="CZ7" s="55">
        <f t="shared" si="1"/>
        <v>30592</v>
      </c>
      <c r="DA7" s="55">
        <f t="shared" si="1"/>
        <v>28092</v>
      </c>
      <c r="DB7" s="55">
        <f t="shared" si="1"/>
        <v>28092</v>
      </c>
      <c r="DC7" s="55">
        <f t="shared" si="1"/>
        <v>23092</v>
      </c>
      <c r="DD7" s="55">
        <f t="shared" si="1"/>
        <v>25592</v>
      </c>
      <c r="DE7" s="55">
        <f t="shared" si="1"/>
        <v>23092</v>
      </c>
      <c r="DF7" s="55">
        <f t="shared" si="1"/>
        <v>23092</v>
      </c>
      <c r="DG7" s="55">
        <f t="shared" si="1"/>
        <v>18092</v>
      </c>
      <c r="DH7" s="55">
        <f t="shared" si="1"/>
        <v>13092</v>
      </c>
      <c r="DI7" s="55">
        <f t="shared" si="1"/>
        <v>10592</v>
      </c>
      <c r="DJ7" s="55">
        <f t="shared" si="1"/>
        <v>8092</v>
      </c>
      <c r="DK7" s="55"/>
      <c r="DL7" s="55"/>
    </row>
    <row r="8" ht="15.75" customHeight="1">
      <c r="B8" s="52"/>
      <c r="C8" s="52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</row>
    <row r="9" ht="15.75" customHeight="1">
      <c r="B9" s="52"/>
      <c r="C9" s="52" t="s">
        <v>1778</v>
      </c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6">
        <v>0.4</v>
      </c>
      <c r="BS9" s="56">
        <v>0.4</v>
      </c>
      <c r="BT9" s="56">
        <v>0.4</v>
      </c>
      <c r="BU9" s="56">
        <v>0.4</v>
      </c>
      <c r="BV9" s="56">
        <v>0.4</v>
      </c>
      <c r="BW9" s="56">
        <v>0.4</v>
      </c>
      <c r="BX9" s="56">
        <v>0.4</v>
      </c>
      <c r="BY9" s="56">
        <v>0.4</v>
      </c>
      <c r="BZ9" s="56">
        <v>0.4</v>
      </c>
      <c r="CA9" s="56">
        <v>0.4</v>
      </c>
      <c r="CB9" s="56">
        <v>0.4</v>
      </c>
      <c r="CC9" s="56">
        <v>0.4</v>
      </c>
      <c r="CD9" s="56">
        <v>0.4</v>
      </c>
      <c r="CE9" s="56">
        <v>0.4</v>
      </c>
      <c r="CF9" s="56">
        <v>0.4</v>
      </c>
      <c r="CG9" s="56">
        <v>0.4</v>
      </c>
      <c r="CH9" s="56">
        <v>0.4</v>
      </c>
      <c r="CI9" s="56">
        <v>0.4</v>
      </c>
      <c r="CJ9" s="56">
        <v>0.4</v>
      </c>
      <c r="CK9" s="56">
        <v>0.4</v>
      </c>
      <c r="CL9" s="56">
        <v>0.4</v>
      </c>
      <c r="CM9" s="56">
        <v>0.4</v>
      </c>
      <c r="CN9" s="56">
        <v>0.4</v>
      </c>
      <c r="CO9" s="56">
        <v>0.4</v>
      </c>
      <c r="CP9" s="56">
        <v>0.4</v>
      </c>
      <c r="CQ9" s="56">
        <v>0.4</v>
      </c>
      <c r="CR9" s="56">
        <v>0.4</v>
      </c>
      <c r="CS9" s="56">
        <v>0.4</v>
      </c>
      <c r="CT9" s="56">
        <v>0.4</v>
      </c>
      <c r="CU9" s="56">
        <v>0.4</v>
      </c>
      <c r="CV9" s="56">
        <v>0.4</v>
      </c>
      <c r="CW9" s="56">
        <v>0.4</v>
      </c>
      <c r="CX9" s="56">
        <v>0.4</v>
      </c>
      <c r="CY9" s="56">
        <v>0.4</v>
      </c>
      <c r="CZ9" s="56">
        <v>0.4</v>
      </c>
      <c r="DA9" s="56">
        <v>0.4</v>
      </c>
      <c r="DB9" s="56">
        <v>0.4</v>
      </c>
      <c r="DC9" s="56">
        <v>0.4</v>
      </c>
      <c r="DD9" s="56">
        <v>0.4</v>
      </c>
      <c r="DE9" s="56">
        <v>0.4</v>
      </c>
      <c r="DF9" s="56">
        <v>0.4</v>
      </c>
      <c r="DG9" s="56">
        <v>0.4</v>
      </c>
      <c r="DH9" s="56">
        <v>0.4</v>
      </c>
      <c r="DI9" s="56">
        <v>0.4</v>
      </c>
      <c r="DJ9" s="56">
        <v>0.4</v>
      </c>
      <c r="DK9" s="55"/>
      <c r="DL9" s="55"/>
    </row>
    <row r="10" ht="15.75" customHeight="1">
      <c r="B10" s="52"/>
      <c r="C10" s="52" t="s">
        <v>1779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>
        <v>11000.0</v>
      </c>
      <c r="BL10" s="55">
        <v>11000.0</v>
      </c>
      <c r="BM10" s="55">
        <v>11000.0</v>
      </c>
      <c r="BN10" s="55">
        <v>11000.0</v>
      </c>
      <c r="BO10" s="55">
        <v>11000.0</v>
      </c>
      <c r="BP10" s="55">
        <v>11000.0</v>
      </c>
      <c r="BQ10" s="55">
        <v>11000.0</v>
      </c>
      <c r="BR10" s="55">
        <v>11000.0</v>
      </c>
      <c r="BS10" s="55">
        <f t="shared" ref="BS10:DJ10" si="2">ROUND(BR12+(BS6*BS9),0)</f>
        <v>9500</v>
      </c>
      <c r="BT10" s="55">
        <f t="shared" si="2"/>
        <v>8000</v>
      </c>
      <c r="BU10" s="55">
        <f t="shared" si="2"/>
        <v>0</v>
      </c>
      <c r="BV10" s="55">
        <f t="shared" si="2"/>
        <v>1200</v>
      </c>
      <c r="BW10" s="55">
        <f t="shared" si="2"/>
        <v>1000</v>
      </c>
      <c r="BX10" s="55">
        <f t="shared" si="2"/>
        <v>4000</v>
      </c>
      <c r="BY10" s="55">
        <f t="shared" si="2"/>
        <v>2000</v>
      </c>
      <c r="BZ10" s="55">
        <f t="shared" si="2"/>
        <v>3000</v>
      </c>
      <c r="CA10" s="55">
        <f t="shared" si="2"/>
        <v>4000</v>
      </c>
      <c r="CB10" s="55">
        <f t="shared" si="2"/>
        <v>4000</v>
      </c>
      <c r="CC10" s="55">
        <f t="shared" si="2"/>
        <v>1000</v>
      </c>
      <c r="CD10" s="55">
        <f t="shared" si="2"/>
        <v>4000</v>
      </c>
      <c r="CE10" s="55">
        <f t="shared" si="2"/>
        <v>2000</v>
      </c>
      <c r="CF10" s="55">
        <f t="shared" si="2"/>
        <v>2000</v>
      </c>
      <c r="CG10" s="55">
        <f t="shared" si="2"/>
        <v>4000</v>
      </c>
      <c r="CH10" s="55">
        <f t="shared" si="2"/>
        <v>2000</v>
      </c>
      <c r="CI10" s="55">
        <f t="shared" si="2"/>
        <v>2000</v>
      </c>
      <c r="CJ10" s="55">
        <f t="shared" si="2"/>
        <v>2000</v>
      </c>
      <c r="CK10" s="55">
        <f t="shared" si="2"/>
        <v>16000</v>
      </c>
      <c r="CL10" s="55">
        <f t="shared" si="2"/>
        <v>2000</v>
      </c>
      <c r="CM10" s="55">
        <f t="shared" si="2"/>
        <v>2000</v>
      </c>
      <c r="CN10" s="55">
        <f t="shared" si="2"/>
        <v>1000</v>
      </c>
      <c r="CO10" s="55">
        <f t="shared" si="2"/>
        <v>4000</v>
      </c>
      <c r="CP10" s="55">
        <f t="shared" si="2"/>
        <v>1000</v>
      </c>
      <c r="CQ10" s="55">
        <f t="shared" si="2"/>
        <v>1000</v>
      </c>
      <c r="CR10" s="55">
        <f t="shared" si="2"/>
        <v>2000</v>
      </c>
      <c r="CS10" s="55">
        <f t="shared" si="2"/>
        <v>2000</v>
      </c>
      <c r="CT10" s="55">
        <f t="shared" si="2"/>
        <v>400</v>
      </c>
      <c r="CU10" s="55">
        <f t="shared" si="2"/>
        <v>800</v>
      </c>
      <c r="CV10" s="55">
        <f t="shared" si="2"/>
        <v>2000</v>
      </c>
      <c r="CW10" s="55">
        <f t="shared" si="2"/>
        <v>4000</v>
      </c>
      <c r="CX10" s="55">
        <f t="shared" si="2"/>
        <v>1000</v>
      </c>
      <c r="CY10" s="55">
        <f t="shared" si="2"/>
        <v>1000</v>
      </c>
      <c r="CZ10" s="55">
        <f t="shared" si="2"/>
        <v>4000</v>
      </c>
      <c r="DA10" s="55">
        <f t="shared" si="2"/>
        <v>1000</v>
      </c>
      <c r="DB10" s="55">
        <f t="shared" si="2"/>
        <v>16000</v>
      </c>
      <c r="DC10" s="55">
        <f t="shared" si="2"/>
        <v>2000</v>
      </c>
      <c r="DD10" s="55">
        <f t="shared" si="2"/>
        <v>1000</v>
      </c>
      <c r="DE10" s="55">
        <f t="shared" si="2"/>
        <v>1000</v>
      </c>
      <c r="DF10" s="55">
        <f t="shared" si="2"/>
        <v>2000</v>
      </c>
      <c r="DG10" s="55">
        <f t="shared" si="2"/>
        <v>2000</v>
      </c>
      <c r="DH10" s="55">
        <f t="shared" si="2"/>
        <v>2000</v>
      </c>
      <c r="DI10" s="55">
        <f t="shared" si="2"/>
        <v>1000</v>
      </c>
      <c r="DJ10" s="55">
        <f t="shared" si="2"/>
        <v>1000</v>
      </c>
      <c r="DK10" s="55"/>
      <c r="DL10" s="55"/>
    </row>
    <row r="11" ht="15.75" customHeight="1">
      <c r="B11" s="52"/>
      <c r="C11" s="52" t="s">
        <v>1780</v>
      </c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7">
        <v>1500.0</v>
      </c>
      <c r="BL11" s="57">
        <v>1500.0</v>
      </c>
      <c r="BM11" s="57">
        <v>1500.0</v>
      </c>
      <c r="BN11" s="57">
        <v>1500.0</v>
      </c>
      <c r="BO11" s="57">
        <v>1500.0</v>
      </c>
      <c r="BP11" s="57">
        <v>1500.0</v>
      </c>
      <c r="BQ11" s="57">
        <v>1500.0</v>
      </c>
      <c r="BR11" s="57">
        <v>1500.0</v>
      </c>
      <c r="BS11" s="57">
        <v>1500.0</v>
      </c>
      <c r="BT11" s="57">
        <f t="shared" ref="BT11:DJ11" si="3">BT10</f>
        <v>8000</v>
      </c>
      <c r="BU11" s="57">
        <f t="shared" si="3"/>
        <v>0</v>
      </c>
      <c r="BV11" s="57">
        <f t="shared" si="3"/>
        <v>1200</v>
      </c>
      <c r="BW11" s="57">
        <f t="shared" si="3"/>
        <v>1000</v>
      </c>
      <c r="BX11" s="57">
        <f t="shared" si="3"/>
        <v>4000</v>
      </c>
      <c r="BY11" s="57">
        <f t="shared" si="3"/>
        <v>2000</v>
      </c>
      <c r="BZ11" s="57">
        <f t="shared" si="3"/>
        <v>3000</v>
      </c>
      <c r="CA11" s="57">
        <f t="shared" si="3"/>
        <v>4000</v>
      </c>
      <c r="CB11" s="57">
        <f t="shared" si="3"/>
        <v>4000</v>
      </c>
      <c r="CC11" s="57">
        <f t="shared" si="3"/>
        <v>1000</v>
      </c>
      <c r="CD11" s="57">
        <f t="shared" si="3"/>
        <v>4000</v>
      </c>
      <c r="CE11" s="57">
        <f t="shared" si="3"/>
        <v>2000</v>
      </c>
      <c r="CF11" s="57">
        <f t="shared" si="3"/>
        <v>2000</v>
      </c>
      <c r="CG11" s="57">
        <f t="shared" si="3"/>
        <v>4000</v>
      </c>
      <c r="CH11" s="57">
        <f t="shared" si="3"/>
        <v>2000</v>
      </c>
      <c r="CI11" s="57">
        <f t="shared" si="3"/>
        <v>2000</v>
      </c>
      <c r="CJ11" s="57">
        <f t="shared" si="3"/>
        <v>2000</v>
      </c>
      <c r="CK11" s="57">
        <f t="shared" si="3"/>
        <v>16000</v>
      </c>
      <c r="CL11" s="57">
        <f t="shared" si="3"/>
        <v>2000</v>
      </c>
      <c r="CM11" s="57">
        <f t="shared" si="3"/>
        <v>2000</v>
      </c>
      <c r="CN11" s="57">
        <f t="shared" si="3"/>
        <v>1000</v>
      </c>
      <c r="CO11" s="57">
        <f t="shared" si="3"/>
        <v>4000</v>
      </c>
      <c r="CP11" s="57">
        <f t="shared" si="3"/>
        <v>1000</v>
      </c>
      <c r="CQ11" s="57">
        <f t="shared" si="3"/>
        <v>1000</v>
      </c>
      <c r="CR11" s="57">
        <f t="shared" si="3"/>
        <v>2000</v>
      </c>
      <c r="CS11" s="57">
        <f t="shared" si="3"/>
        <v>2000</v>
      </c>
      <c r="CT11" s="57">
        <f t="shared" si="3"/>
        <v>400</v>
      </c>
      <c r="CU11" s="57">
        <f t="shared" si="3"/>
        <v>800</v>
      </c>
      <c r="CV11" s="57">
        <f t="shared" si="3"/>
        <v>2000</v>
      </c>
      <c r="CW11" s="57">
        <f t="shared" si="3"/>
        <v>4000</v>
      </c>
      <c r="CX11" s="57">
        <f t="shared" si="3"/>
        <v>1000</v>
      </c>
      <c r="CY11" s="57">
        <f t="shared" si="3"/>
        <v>1000</v>
      </c>
      <c r="CZ11" s="57">
        <f t="shared" si="3"/>
        <v>4000</v>
      </c>
      <c r="DA11" s="57">
        <f t="shared" si="3"/>
        <v>1000</v>
      </c>
      <c r="DB11" s="57">
        <f t="shared" si="3"/>
        <v>16000</v>
      </c>
      <c r="DC11" s="57">
        <f t="shared" si="3"/>
        <v>2000</v>
      </c>
      <c r="DD11" s="57">
        <f t="shared" si="3"/>
        <v>1000</v>
      </c>
      <c r="DE11" s="57">
        <f t="shared" si="3"/>
        <v>1000</v>
      </c>
      <c r="DF11" s="57">
        <f t="shared" si="3"/>
        <v>2000</v>
      </c>
      <c r="DG11" s="57">
        <f t="shared" si="3"/>
        <v>2000</v>
      </c>
      <c r="DH11" s="57">
        <f t="shared" si="3"/>
        <v>2000</v>
      </c>
      <c r="DI11" s="57">
        <f t="shared" si="3"/>
        <v>1000</v>
      </c>
      <c r="DJ11" s="57">
        <f t="shared" si="3"/>
        <v>1000</v>
      </c>
      <c r="DK11" s="55"/>
      <c r="DL11" s="55"/>
    </row>
    <row r="12" ht="15.75" customHeight="1">
      <c r="B12" s="52"/>
      <c r="C12" s="52" t="s">
        <v>1781</v>
      </c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>
        <f t="shared" ref="BK12:DJ12" si="4">BK10-BK11</f>
        <v>9500</v>
      </c>
      <c r="BL12" s="55">
        <f t="shared" si="4"/>
        <v>9500</v>
      </c>
      <c r="BM12" s="55">
        <f t="shared" si="4"/>
        <v>9500</v>
      </c>
      <c r="BN12" s="55">
        <f t="shared" si="4"/>
        <v>9500</v>
      </c>
      <c r="BO12" s="55">
        <f t="shared" si="4"/>
        <v>9500</v>
      </c>
      <c r="BP12" s="55">
        <f t="shared" si="4"/>
        <v>9500</v>
      </c>
      <c r="BQ12" s="55">
        <f t="shared" si="4"/>
        <v>9500</v>
      </c>
      <c r="BR12" s="55">
        <f t="shared" si="4"/>
        <v>9500</v>
      </c>
      <c r="BS12" s="55">
        <f t="shared" si="4"/>
        <v>8000</v>
      </c>
      <c r="BT12" s="55">
        <f t="shared" si="4"/>
        <v>0</v>
      </c>
      <c r="BU12" s="55">
        <f t="shared" si="4"/>
        <v>0</v>
      </c>
      <c r="BV12" s="55">
        <f t="shared" si="4"/>
        <v>0</v>
      </c>
      <c r="BW12" s="55">
        <f t="shared" si="4"/>
        <v>0</v>
      </c>
      <c r="BX12" s="55">
        <f t="shared" si="4"/>
        <v>0</v>
      </c>
      <c r="BY12" s="55">
        <f t="shared" si="4"/>
        <v>0</v>
      </c>
      <c r="BZ12" s="55">
        <f t="shared" si="4"/>
        <v>0</v>
      </c>
      <c r="CA12" s="55">
        <f t="shared" si="4"/>
        <v>0</v>
      </c>
      <c r="CB12" s="55">
        <f t="shared" si="4"/>
        <v>0</v>
      </c>
      <c r="CC12" s="55">
        <f t="shared" si="4"/>
        <v>0</v>
      </c>
      <c r="CD12" s="55">
        <f t="shared" si="4"/>
        <v>0</v>
      </c>
      <c r="CE12" s="55">
        <f t="shared" si="4"/>
        <v>0</v>
      </c>
      <c r="CF12" s="55">
        <f t="shared" si="4"/>
        <v>0</v>
      </c>
      <c r="CG12" s="55">
        <f t="shared" si="4"/>
        <v>0</v>
      </c>
      <c r="CH12" s="55">
        <f t="shared" si="4"/>
        <v>0</v>
      </c>
      <c r="CI12" s="55">
        <f t="shared" si="4"/>
        <v>0</v>
      </c>
      <c r="CJ12" s="55">
        <f t="shared" si="4"/>
        <v>0</v>
      </c>
      <c r="CK12" s="55">
        <f t="shared" si="4"/>
        <v>0</v>
      </c>
      <c r="CL12" s="55">
        <f t="shared" si="4"/>
        <v>0</v>
      </c>
      <c r="CM12" s="55">
        <f t="shared" si="4"/>
        <v>0</v>
      </c>
      <c r="CN12" s="55">
        <f t="shared" si="4"/>
        <v>0</v>
      </c>
      <c r="CO12" s="55">
        <f t="shared" si="4"/>
        <v>0</v>
      </c>
      <c r="CP12" s="55">
        <f t="shared" si="4"/>
        <v>0</v>
      </c>
      <c r="CQ12" s="55">
        <f t="shared" si="4"/>
        <v>0</v>
      </c>
      <c r="CR12" s="55">
        <f t="shared" si="4"/>
        <v>0</v>
      </c>
      <c r="CS12" s="55">
        <f t="shared" si="4"/>
        <v>0</v>
      </c>
      <c r="CT12" s="55">
        <f t="shared" si="4"/>
        <v>0</v>
      </c>
      <c r="CU12" s="55">
        <f t="shared" si="4"/>
        <v>0</v>
      </c>
      <c r="CV12" s="55">
        <f t="shared" si="4"/>
        <v>0</v>
      </c>
      <c r="CW12" s="55">
        <f t="shared" si="4"/>
        <v>0</v>
      </c>
      <c r="CX12" s="55">
        <f t="shared" si="4"/>
        <v>0</v>
      </c>
      <c r="CY12" s="55">
        <f t="shared" si="4"/>
        <v>0</v>
      </c>
      <c r="CZ12" s="55">
        <f t="shared" si="4"/>
        <v>0</v>
      </c>
      <c r="DA12" s="55">
        <f t="shared" si="4"/>
        <v>0</v>
      </c>
      <c r="DB12" s="55">
        <f t="shared" si="4"/>
        <v>0</v>
      </c>
      <c r="DC12" s="55">
        <f t="shared" si="4"/>
        <v>0</v>
      </c>
      <c r="DD12" s="55">
        <f t="shared" si="4"/>
        <v>0</v>
      </c>
      <c r="DE12" s="55">
        <f t="shared" si="4"/>
        <v>0</v>
      </c>
      <c r="DF12" s="55">
        <f t="shared" si="4"/>
        <v>0</v>
      </c>
      <c r="DG12" s="55">
        <f t="shared" si="4"/>
        <v>0</v>
      </c>
      <c r="DH12" s="55">
        <f t="shared" si="4"/>
        <v>0</v>
      </c>
      <c r="DI12" s="55">
        <f t="shared" si="4"/>
        <v>0</v>
      </c>
      <c r="DJ12" s="55">
        <f t="shared" si="4"/>
        <v>0</v>
      </c>
      <c r="DK12" s="55"/>
      <c r="DL12" s="55"/>
    </row>
    <row r="13" ht="6.75" customHeight="1"/>
    <row r="14" ht="15.75" customHeight="1">
      <c r="B14" s="52"/>
      <c r="C14" s="52" t="s">
        <v>1778</v>
      </c>
      <c r="D14" s="52" t="s">
        <v>1782</v>
      </c>
      <c r="BK14" s="58">
        <v>0.8</v>
      </c>
      <c r="BL14" s="58">
        <v>0.8</v>
      </c>
      <c r="BM14" s="58">
        <v>0.8</v>
      </c>
      <c r="BN14" s="58">
        <v>0.8</v>
      </c>
      <c r="BO14" s="58">
        <v>0.8</v>
      </c>
      <c r="BP14" s="58">
        <v>0.8</v>
      </c>
      <c r="BQ14" s="58">
        <v>0.8</v>
      </c>
      <c r="BR14" s="58">
        <v>0.8</v>
      </c>
      <c r="BS14" s="58">
        <v>0.8</v>
      </c>
      <c r="BT14" s="58">
        <v>0.8</v>
      </c>
      <c r="BU14" s="58">
        <v>0.8</v>
      </c>
      <c r="BV14" s="58">
        <v>0.8</v>
      </c>
      <c r="BW14" s="58">
        <v>0.8</v>
      </c>
      <c r="BX14" s="58">
        <v>0.8</v>
      </c>
      <c r="BY14" s="58">
        <v>0.8</v>
      </c>
      <c r="BZ14" s="58">
        <v>0.8</v>
      </c>
      <c r="CA14" s="58">
        <v>0.8</v>
      </c>
      <c r="CB14" s="58">
        <v>0.8</v>
      </c>
      <c r="CC14" s="58">
        <v>0.8</v>
      </c>
      <c r="CD14" s="58">
        <v>0.8</v>
      </c>
      <c r="CE14" s="58">
        <v>0.8</v>
      </c>
      <c r="CF14" s="58">
        <v>0.8</v>
      </c>
      <c r="CG14" s="58">
        <v>0.8</v>
      </c>
      <c r="CH14" s="58">
        <v>0.8</v>
      </c>
      <c r="CI14" s="58">
        <v>0.8</v>
      </c>
      <c r="CJ14" s="58">
        <v>0.8</v>
      </c>
      <c r="CK14" s="58">
        <v>0.8</v>
      </c>
      <c r="CL14" s="58">
        <v>0.8</v>
      </c>
      <c r="CM14" s="58">
        <v>0.8</v>
      </c>
      <c r="CN14" s="58">
        <v>0.8</v>
      </c>
      <c r="CO14" s="58">
        <v>0.8</v>
      </c>
      <c r="CP14" s="58">
        <v>0.8</v>
      </c>
      <c r="CQ14" s="58">
        <v>0.8</v>
      </c>
      <c r="CR14" s="58">
        <v>0.8</v>
      </c>
      <c r="CS14" s="58">
        <v>0.8</v>
      </c>
      <c r="CT14" s="58">
        <v>0.8</v>
      </c>
      <c r="CU14" s="58">
        <v>0.8</v>
      </c>
      <c r="CV14" s="58">
        <v>0.8</v>
      </c>
      <c r="CW14" s="58">
        <v>0.8</v>
      </c>
      <c r="CX14" s="58">
        <v>0.8</v>
      </c>
      <c r="CY14" s="58">
        <v>0.8</v>
      </c>
      <c r="CZ14" s="58">
        <v>0.8</v>
      </c>
      <c r="DA14" s="58">
        <v>0.8</v>
      </c>
      <c r="DB14" s="58">
        <v>0.8</v>
      </c>
      <c r="DC14" s="58">
        <v>0.8</v>
      </c>
      <c r="DD14" s="58">
        <v>0.8</v>
      </c>
      <c r="DE14" s="58">
        <v>0.8</v>
      </c>
      <c r="DF14" s="58">
        <v>0.8</v>
      </c>
      <c r="DG14" s="58">
        <v>0.8</v>
      </c>
      <c r="DH14" s="58">
        <v>0.8</v>
      </c>
      <c r="DI14" s="58">
        <v>0.8</v>
      </c>
      <c r="DJ14" s="58">
        <v>0.8</v>
      </c>
    </row>
    <row r="15" ht="15.75" customHeight="1">
      <c r="A15" s="55"/>
      <c r="B15" s="55"/>
      <c r="C15" s="55" t="s">
        <v>1783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>
        <f t="shared" ref="BK15:DJ15" si="5">BK11*BK14</f>
        <v>1200</v>
      </c>
      <c r="BL15" s="55">
        <f t="shared" si="5"/>
        <v>1200</v>
      </c>
      <c r="BM15" s="55">
        <f t="shared" si="5"/>
        <v>1200</v>
      </c>
      <c r="BN15" s="55">
        <f t="shared" si="5"/>
        <v>1200</v>
      </c>
      <c r="BO15" s="55">
        <f t="shared" si="5"/>
        <v>1200</v>
      </c>
      <c r="BP15" s="55">
        <f t="shared" si="5"/>
        <v>1200</v>
      </c>
      <c r="BQ15" s="55">
        <f t="shared" si="5"/>
        <v>1200</v>
      </c>
      <c r="BR15" s="55">
        <f t="shared" si="5"/>
        <v>1200</v>
      </c>
      <c r="BS15" s="55">
        <f t="shared" si="5"/>
        <v>1200</v>
      </c>
      <c r="BT15" s="55">
        <f t="shared" si="5"/>
        <v>6400</v>
      </c>
      <c r="BU15" s="55">
        <f t="shared" si="5"/>
        <v>0</v>
      </c>
      <c r="BV15" s="55">
        <f t="shared" si="5"/>
        <v>960</v>
      </c>
      <c r="BW15" s="55">
        <f t="shared" si="5"/>
        <v>800</v>
      </c>
      <c r="BX15" s="55">
        <f t="shared" si="5"/>
        <v>3200</v>
      </c>
      <c r="BY15" s="55">
        <f t="shared" si="5"/>
        <v>1600</v>
      </c>
      <c r="BZ15" s="55">
        <f t="shared" si="5"/>
        <v>2400</v>
      </c>
      <c r="CA15" s="55">
        <f t="shared" si="5"/>
        <v>3200</v>
      </c>
      <c r="CB15" s="55">
        <f t="shared" si="5"/>
        <v>3200</v>
      </c>
      <c r="CC15" s="55">
        <f t="shared" si="5"/>
        <v>800</v>
      </c>
      <c r="CD15" s="55">
        <f t="shared" si="5"/>
        <v>3200</v>
      </c>
      <c r="CE15" s="55">
        <f t="shared" si="5"/>
        <v>1600</v>
      </c>
      <c r="CF15" s="55">
        <f t="shared" si="5"/>
        <v>1600</v>
      </c>
      <c r="CG15" s="55">
        <f t="shared" si="5"/>
        <v>3200</v>
      </c>
      <c r="CH15" s="55">
        <f t="shared" si="5"/>
        <v>1600</v>
      </c>
      <c r="CI15" s="55">
        <f t="shared" si="5"/>
        <v>1600</v>
      </c>
      <c r="CJ15" s="55">
        <f t="shared" si="5"/>
        <v>1600</v>
      </c>
      <c r="CK15" s="55">
        <f t="shared" si="5"/>
        <v>12800</v>
      </c>
      <c r="CL15" s="55">
        <f t="shared" si="5"/>
        <v>1600</v>
      </c>
      <c r="CM15" s="55">
        <f t="shared" si="5"/>
        <v>1600</v>
      </c>
      <c r="CN15" s="55">
        <f t="shared" si="5"/>
        <v>800</v>
      </c>
      <c r="CO15" s="55">
        <f t="shared" si="5"/>
        <v>3200</v>
      </c>
      <c r="CP15" s="55">
        <f t="shared" si="5"/>
        <v>800</v>
      </c>
      <c r="CQ15" s="55">
        <f t="shared" si="5"/>
        <v>800</v>
      </c>
      <c r="CR15" s="55">
        <f t="shared" si="5"/>
        <v>1600</v>
      </c>
      <c r="CS15" s="55">
        <f t="shared" si="5"/>
        <v>1600</v>
      </c>
      <c r="CT15" s="55">
        <f t="shared" si="5"/>
        <v>320</v>
      </c>
      <c r="CU15" s="55">
        <f t="shared" si="5"/>
        <v>640</v>
      </c>
      <c r="CV15" s="55">
        <f t="shared" si="5"/>
        <v>1600</v>
      </c>
      <c r="CW15" s="55">
        <f t="shared" si="5"/>
        <v>3200</v>
      </c>
      <c r="CX15" s="55">
        <f t="shared" si="5"/>
        <v>800</v>
      </c>
      <c r="CY15" s="55">
        <f t="shared" si="5"/>
        <v>800</v>
      </c>
      <c r="CZ15" s="55">
        <f t="shared" si="5"/>
        <v>3200</v>
      </c>
      <c r="DA15" s="55">
        <f t="shared" si="5"/>
        <v>800</v>
      </c>
      <c r="DB15" s="55">
        <f t="shared" si="5"/>
        <v>12800</v>
      </c>
      <c r="DC15" s="55">
        <f t="shared" si="5"/>
        <v>1600</v>
      </c>
      <c r="DD15" s="55">
        <f t="shared" si="5"/>
        <v>800</v>
      </c>
      <c r="DE15" s="55">
        <f t="shared" si="5"/>
        <v>800</v>
      </c>
      <c r="DF15" s="55">
        <f t="shared" si="5"/>
        <v>1600</v>
      </c>
      <c r="DG15" s="55">
        <f t="shared" si="5"/>
        <v>1600</v>
      </c>
      <c r="DH15" s="55">
        <f t="shared" si="5"/>
        <v>1600</v>
      </c>
      <c r="DI15" s="55">
        <f t="shared" si="5"/>
        <v>800</v>
      </c>
      <c r="DJ15" s="55">
        <f t="shared" si="5"/>
        <v>800</v>
      </c>
      <c r="DK15" s="55"/>
      <c r="DL15" s="55"/>
    </row>
    <row r="16" ht="6.75" customHeight="1"/>
    <row r="17" ht="15.75" customHeight="1">
      <c r="B17" s="52"/>
      <c r="C17" s="52" t="s">
        <v>1784</v>
      </c>
    </row>
    <row r="18" ht="15.75" customHeight="1">
      <c r="B18" s="59"/>
      <c r="C18" s="60">
        <v>0.0</v>
      </c>
      <c r="D18" s="58">
        <v>0.35</v>
      </c>
      <c r="BK18" s="52">
        <f t="shared" ref="BK18:DJ18" si="6">ROUND(BK$15*$D18,0)</f>
        <v>420</v>
      </c>
      <c r="BL18" s="52">
        <f t="shared" si="6"/>
        <v>420</v>
      </c>
      <c r="BM18" s="52">
        <f t="shared" si="6"/>
        <v>420</v>
      </c>
      <c r="BN18" s="52">
        <f t="shared" si="6"/>
        <v>420</v>
      </c>
      <c r="BO18" s="52">
        <f t="shared" si="6"/>
        <v>420</v>
      </c>
      <c r="BP18" s="52">
        <f t="shared" si="6"/>
        <v>420</v>
      </c>
      <c r="BQ18" s="52">
        <f t="shared" si="6"/>
        <v>420</v>
      </c>
      <c r="BR18" s="52">
        <f t="shared" si="6"/>
        <v>420</v>
      </c>
      <c r="BS18" s="52">
        <f t="shared" si="6"/>
        <v>420</v>
      </c>
      <c r="BT18" s="52">
        <f t="shared" si="6"/>
        <v>2240</v>
      </c>
      <c r="BU18" s="52">
        <f t="shared" si="6"/>
        <v>0</v>
      </c>
      <c r="BV18" s="52">
        <f t="shared" si="6"/>
        <v>336</v>
      </c>
      <c r="BW18" s="52">
        <f t="shared" si="6"/>
        <v>280</v>
      </c>
      <c r="BX18" s="52">
        <f t="shared" si="6"/>
        <v>1120</v>
      </c>
      <c r="BY18" s="52">
        <f t="shared" si="6"/>
        <v>560</v>
      </c>
      <c r="BZ18" s="52">
        <f t="shared" si="6"/>
        <v>840</v>
      </c>
      <c r="CA18" s="52">
        <f t="shared" si="6"/>
        <v>1120</v>
      </c>
      <c r="CB18" s="52">
        <f t="shared" si="6"/>
        <v>1120</v>
      </c>
      <c r="CC18" s="52">
        <f t="shared" si="6"/>
        <v>280</v>
      </c>
      <c r="CD18" s="52">
        <f t="shared" si="6"/>
        <v>1120</v>
      </c>
      <c r="CE18" s="52">
        <f t="shared" si="6"/>
        <v>560</v>
      </c>
      <c r="CF18" s="52">
        <f t="shared" si="6"/>
        <v>560</v>
      </c>
      <c r="CG18" s="52">
        <f t="shared" si="6"/>
        <v>1120</v>
      </c>
      <c r="CH18" s="52">
        <f t="shared" si="6"/>
        <v>560</v>
      </c>
      <c r="CI18" s="52">
        <f t="shared" si="6"/>
        <v>560</v>
      </c>
      <c r="CJ18" s="52">
        <f t="shared" si="6"/>
        <v>560</v>
      </c>
      <c r="CK18" s="52">
        <f t="shared" si="6"/>
        <v>4480</v>
      </c>
      <c r="CL18" s="52">
        <f t="shared" si="6"/>
        <v>560</v>
      </c>
      <c r="CM18" s="52">
        <f t="shared" si="6"/>
        <v>560</v>
      </c>
      <c r="CN18" s="52">
        <f t="shared" si="6"/>
        <v>280</v>
      </c>
      <c r="CO18" s="52">
        <f t="shared" si="6"/>
        <v>1120</v>
      </c>
      <c r="CP18" s="52">
        <f t="shared" si="6"/>
        <v>280</v>
      </c>
      <c r="CQ18" s="52">
        <f t="shared" si="6"/>
        <v>280</v>
      </c>
      <c r="CR18" s="52">
        <f t="shared" si="6"/>
        <v>560</v>
      </c>
      <c r="CS18" s="52">
        <f t="shared" si="6"/>
        <v>560</v>
      </c>
      <c r="CT18" s="52">
        <f t="shared" si="6"/>
        <v>112</v>
      </c>
      <c r="CU18" s="52">
        <f t="shared" si="6"/>
        <v>224</v>
      </c>
      <c r="CV18" s="52">
        <f t="shared" si="6"/>
        <v>560</v>
      </c>
      <c r="CW18" s="52">
        <f t="shared" si="6"/>
        <v>1120</v>
      </c>
      <c r="CX18" s="52">
        <f t="shared" si="6"/>
        <v>280</v>
      </c>
      <c r="CY18" s="52">
        <f t="shared" si="6"/>
        <v>280</v>
      </c>
      <c r="CZ18" s="52">
        <f t="shared" si="6"/>
        <v>1120</v>
      </c>
      <c r="DA18" s="52">
        <f t="shared" si="6"/>
        <v>280</v>
      </c>
      <c r="DB18" s="52">
        <f t="shared" si="6"/>
        <v>4480</v>
      </c>
      <c r="DC18" s="52">
        <f t="shared" si="6"/>
        <v>560</v>
      </c>
      <c r="DD18" s="52">
        <f t="shared" si="6"/>
        <v>280</v>
      </c>
      <c r="DE18" s="52">
        <f t="shared" si="6"/>
        <v>280</v>
      </c>
      <c r="DF18" s="52">
        <f t="shared" si="6"/>
        <v>560</v>
      </c>
      <c r="DG18" s="52">
        <f t="shared" si="6"/>
        <v>560</v>
      </c>
      <c r="DH18" s="52">
        <f t="shared" si="6"/>
        <v>560</v>
      </c>
      <c r="DI18" s="52">
        <f t="shared" si="6"/>
        <v>280</v>
      </c>
      <c r="DJ18" s="52">
        <f t="shared" si="6"/>
        <v>280</v>
      </c>
    </row>
    <row r="19" ht="15.75" customHeight="1">
      <c r="A19" s="61"/>
      <c r="B19" s="62"/>
      <c r="C19" s="60" t="s">
        <v>1785</v>
      </c>
      <c r="D19" s="58">
        <v>0.05</v>
      </c>
      <c r="BK19" s="52">
        <f t="shared" ref="BK19:DJ19" si="7">ROUND(BK$15*$D19,0)</f>
        <v>60</v>
      </c>
      <c r="BL19" s="52">
        <f t="shared" si="7"/>
        <v>60</v>
      </c>
      <c r="BM19" s="52">
        <f t="shared" si="7"/>
        <v>60</v>
      </c>
      <c r="BN19" s="52">
        <f t="shared" si="7"/>
        <v>60</v>
      </c>
      <c r="BO19" s="52">
        <f t="shared" si="7"/>
        <v>60</v>
      </c>
      <c r="BP19" s="52">
        <f t="shared" si="7"/>
        <v>60</v>
      </c>
      <c r="BQ19" s="52">
        <f t="shared" si="7"/>
        <v>60</v>
      </c>
      <c r="BR19" s="52">
        <f t="shared" si="7"/>
        <v>60</v>
      </c>
      <c r="BS19" s="52">
        <f t="shared" si="7"/>
        <v>60</v>
      </c>
      <c r="BT19" s="52">
        <f t="shared" si="7"/>
        <v>320</v>
      </c>
      <c r="BU19" s="52">
        <f t="shared" si="7"/>
        <v>0</v>
      </c>
      <c r="BV19" s="52">
        <f t="shared" si="7"/>
        <v>48</v>
      </c>
      <c r="BW19" s="52">
        <f t="shared" si="7"/>
        <v>40</v>
      </c>
      <c r="BX19" s="52">
        <f t="shared" si="7"/>
        <v>160</v>
      </c>
      <c r="BY19" s="52">
        <f t="shared" si="7"/>
        <v>80</v>
      </c>
      <c r="BZ19" s="52">
        <f t="shared" si="7"/>
        <v>120</v>
      </c>
      <c r="CA19" s="52">
        <f t="shared" si="7"/>
        <v>160</v>
      </c>
      <c r="CB19" s="52">
        <f t="shared" si="7"/>
        <v>160</v>
      </c>
      <c r="CC19" s="52">
        <f t="shared" si="7"/>
        <v>40</v>
      </c>
      <c r="CD19" s="52">
        <f t="shared" si="7"/>
        <v>160</v>
      </c>
      <c r="CE19" s="52">
        <f t="shared" si="7"/>
        <v>80</v>
      </c>
      <c r="CF19" s="52">
        <f t="shared" si="7"/>
        <v>80</v>
      </c>
      <c r="CG19" s="52">
        <f t="shared" si="7"/>
        <v>160</v>
      </c>
      <c r="CH19" s="52">
        <f t="shared" si="7"/>
        <v>80</v>
      </c>
      <c r="CI19" s="52">
        <f t="shared" si="7"/>
        <v>80</v>
      </c>
      <c r="CJ19" s="52">
        <f t="shared" si="7"/>
        <v>80</v>
      </c>
      <c r="CK19" s="52">
        <f t="shared" si="7"/>
        <v>640</v>
      </c>
      <c r="CL19" s="52">
        <f t="shared" si="7"/>
        <v>80</v>
      </c>
      <c r="CM19" s="52">
        <f t="shared" si="7"/>
        <v>80</v>
      </c>
      <c r="CN19" s="52">
        <f t="shared" si="7"/>
        <v>40</v>
      </c>
      <c r="CO19" s="52">
        <f t="shared" si="7"/>
        <v>160</v>
      </c>
      <c r="CP19" s="52">
        <f t="shared" si="7"/>
        <v>40</v>
      </c>
      <c r="CQ19" s="52">
        <f t="shared" si="7"/>
        <v>40</v>
      </c>
      <c r="CR19" s="52">
        <f t="shared" si="7"/>
        <v>80</v>
      </c>
      <c r="CS19" s="52">
        <f t="shared" si="7"/>
        <v>80</v>
      </c>
      <c r="CT19" s="52">
        <f t="shared" si="7"/>
        <v>16</v>
      </c>
      <c r="CU19" s="52">
        <f t="shared" si="7"/>
        <v>32</v>
      </c>
      <c r="CV19" s="52">
        <f t="shared" si="7"/>
        <v>80</v>
      </c>
      <c r="CW19" s="52">
        <f t="shared" si="7"/>
        <v>160</v>
      </c>
      <c r="CX19" s="52">
        <f t="shared" si="7"/>
        <v>40</v>
      </c>
      <c r="CY19" s="52">
        <f t="shared" si="7"/>
        <v>40</v>
      </c>
      <c r="CZ19" s="52">
        <f t="shared" si="7"/>
        <v>160</v>
      </c>
      <c r="DA19" s="52">
        <f t="shared" si="7"/>
        <v>40</v>
      </c>
      <c r="DB19" s="52">
        <f t="shared" si="7"/>
        <v>640</v>
      </c>
      <c r="DC19" s="52">
        <f t="shared" si="7"/>
        <v>80</v>
      </c>
      <c r="DD19" s="52">
        <f t="shared" si="7"/>
        <v>40</v>
      </c>
      <c r="DE19" s="52">
        <f t="shared" si="7"/>
        <v>40</v>
      </c>
      <c r="DF19" s="52">
        <f t="shared" si="7"/>
        <v>80</v>
      </c>
      <c r="DG19" s="52">
        <f t="shared" si="7"/>
        <v>80</v>
      </c>
      <c r="DH19" s="52">
        <f t="shared" si="7"/>
        <v>80</v>
      </c>
      <c r="DI19" s="52">
        <f t="shared" si="7"/>
        <v>40</v>
      </c>
      <c r="DJ19" s="52">
        <f t="shared" si="7"/>
        <v>40</v>
      </c>
    </row>
    <row r="20" ht="15.75" customHeight="1">
      <c r="A20" s="61"/>
      <c r="B20" s="62"/>
      <c r="C20" s="60" t="s">
        <v>1786</v>
      </c>
      <c r="D20" s="58">
        <v>0.15</v>
      </c>
      <c r="BK20" s="52">
        <f t="shared" ref="BK20:DJ20" si="8">ROUND(BK$15*$D20,0)</f>
        <v>180</v>
      </c>
      <c r="BL20" s="52">
        <f t="shared" si="8"/>
        <v>180</v>
      </c>
      <c r="BM20" s="52">
        <f t="shared" si="8"/>
        <v>180</v>
      </c>
      <c r="BN20" s="52">
        <f t="shared" si="8"/>
        <v>180</v>
      </c>
      <c r="BO20" s="52">
        <f t="shared" si="8"/>
        <v>180</v>
      </c>
      <c r="BP20" s="52">
        <f t="shared" si="8"/>
        <v>180</v>
      </c>
      <c r="BQ20" s="52">
        <f t="shared" si="8"/>
        <v>180</v>
      </c>
      <c r="BR20" s="52">
        <f t="shared" si="8"/>
        <v>180</v>
      </c>
      <c r="BS20" s="52">
        <f t="shared" si="8"/>
        <v>180</v>
      </c>
      <c r="BT20" s="52">
        <f t="shared" si="8"/>
        <v>960</v>
      </c>
      <c r="BU20" s="52">
        <f t="shared" si="8"/>
        <v>0</v>
      </c>
      <c r="BV20" s="52">
        <f t="shared" si="8"/>
        <v>144</v>
      </c>
      <c r="BW20" s="52">
        <f t="shared" si="8"/>
        <v>120</v>
      </c>
      <c r="BX20" s="52">
        <f t="shared" si="8"/>
        <v>480</v>
      </c>
      <c r="BY20" s="52">
        <f t="shared" si="8"/>
        <v>240</v>
      </c>
      <c r="BZ20" s="52">
        <f t="shared" si="8"/>
        <v>360</v>
      </c>
      <c r="CA20" s="52">
        <f t="shared" si="8"/>
        <v>480</v>
      </c>
      <c r="CB20" s="52">
        <f t="shared" si="8"/>
        <v>480</v>
      </c>
      <c r="CC20" s="52">
        <f t="shared" si="8"/>
        <v>120</v>
      </c>
      <c r="CD20" s="52">
        <f t="shared" si="8"/>
        <v>480</v>
      </c>
      <c r="CE20" s="52">
        <f t="shared" si="8"/>
        <v>240</v>
      </c>
      <c r="CF20" s="52">
        <f t="shared" si="8"/>
        <v>240</v>
      </c>
      <c r="CG20" s="52">
        <f t="shared" si="8"/>
        <v>480</v>
      </c>
      <c r="CH20" s="52">
        <f t="shared" si="8"/>
        <v>240</v>
      </c>
      <c r="CI20" s="52">
        <f t="shared" si="8"/>
        <v>240</v>
      </c>
      <c r="CJ20" s="52">
        <f t="shared" si="8"/>
        <v>240</v>
      </c>
      <c r="CK20" s="52">
        <f t="shared" si="8"/>
        <v>1920</v>
      </c>
      <c r="CL20" s="52">
        <f t="shared" si="8"/>
        <v>240</v>
      </c>
      <c r="CM20" s="52">
        <f t="shared" si="8"/>
        <v>240</v>
      </c>
      <c r="CN20" s="52">
        <f t="shared" si="8"/>
        <v>120</v>
      </c>
      <c r="CO20" s="52">
        <f t="shared" si="8"/>
        <v>480</v>
      </c>
      <c r="CP20" s="52">
        <f t="shared" si="8"/>
        <v>120</v>
      </c>
      <c r="CQ20" s="52">
        <f t="shared" si="8"/>
        <v>120</v>
      </c>
      <c r="CR20" s="52">
        <f t="shared" si="8"/>
        <v>240</v>
      </c>
      <c r="CS20" s="52">
        <f t="shared" si="8"/>
        <v>240</v>
      </c>
      <c r="CT20" s="52">
        <f t="shared" si="8"/>
        <v>48</v>
      </c>
      <c r="CU20" s="52">
        <f t="shared" si="8"/>
        <v>96</v>
      </c>
      <c r="CV20" s="52">
        <f t="shared" si="8"/>
        <v>240</v>
      </c>
      <c r="CW20" s="52">
        <f t="shared" si="8"/>
        <v>480</v>
      </c>
      <c r="CX20" s="52">
        <f t="shared" si="8"/>
        <v>120</v>
      </c>
      <c r="CY20" s="52">
        <f t="shared" si="8"/>
        <v>120</v>
      </c>
      <c r="CZ20" s="52">
        <f t="shared" si="8"/>
        <v>480</v>
      </c>
      <c r="DA20" s="52">
        <f t="shared" si="8"/>
        <v>120</v>
      </c>
      <c r="DB20" s="52">
        <f t="shared" si="8"/>
        <v>1920</v>
      </c>
      <c r="DC20" s="52">
        <f t="shared" si="8"/>
        <v>240</v>
      </c>
      <c r="DD20" s="52">
        <f t="shared" si="8"/>
        <v>120</v>
      </c>
      <c r="DE20" s="52">
        <f t="shared" si="8"/>
        <v>120</v>
      </c>
      <c r="DF20" s="52">
        <f t="shared" si="8"/>
        <v>240</v>
      </c>
      <c r="DG20" s="52">
        <f t="shared" si="8"/>
        <v>240</v>
      </c>
      <c r="DH20" s="52">
        <f t="shared" si="8"/>
        <v>240</v>
      </c>
      <c r="DI20" s="52">
        <f t="shared" si="8"/>
        <v>120</v>
      </c>
      <c r="DJ20" s="52">
        <f t="shared" si="8"/>
        <v>120</v>
      </c>
    </row>
    <row r="21" ht="15.75" customHeight="1">
      <c r="A21" s="61"/>
      <c r="B21" s="62"/>
      <c r="C21" s="60" t="s">
        <v>1787</v>
      </c>
      <c r="D21" s="58">
        <v>0.05</v>
      </c>
      <c r="BK21" s="52">
        <f t="shared" ref="BK21:DJ21" si="9">ROUND(BK$15*$D21,0)</f>
        <v>60</v>
      </c>
      <c r="BL21" s="52">
        <f t="shared" si="9"/>
        <v>60</v>
      </c>
      <c r="BM21" s="52">
        <f t="shared" si="9"/>
        <v>60</v>
      </c>
      <c r="BN21" s="52">
        <f t="shared" si="9"/>
        <v>60</v>
      </c>
      <c r="BO21" s="52">
        <f t="shared" si="9"/>
        <v>60</v>
      </c>
      <c r="BP21" s="52">
        <f t="shared" si="9"/>
        <v>60</v>
      </c>
      <c r="BQ21" s="52">
        <f t="shared" si="9"/>
        <v>60</v>
      </c>
      <c r="BR21" s="52">
        <f t="shared" si="9"/>
        <v>60</v>
      </c>
      <c r="BS21" s="52">
        <f t="shared" si="9"/>
        <v>60</v>
      </c>
      <c r="BT21" s="52">
        <f t="shared" si="9"/>
        <v>320</v>
      </c>
      <c r="BU21" s="52">
        <f t="shared" si="9"/>
        <v>0</v>
      </c>
      <c r="BV21" s="52">
        <f t="shared" si="9"/>
        <v>48</v>
      </c>
      <c r="BW21" s="52">
        <f t="shared" si="9"/>
        <v>40</v>
      </c>
      <c r="BX21" s="52">
        <f t="shared" si="9"/>
        <v>160</v>
      </c>
      <c r="BY21" s="52">
        <f t="shared" si="9"/>
        <v>80</v>
      </c>
      <c r="BZ21" s="52">
        <f t="shared" si="9"/>
        <v>120</v>
      </c>
      <c r="CA21" s="52">
        <f t="shared" si="9"/>
        <v>160</v>
      </c>
      <c r="CB21" s="52">
        <f t="shared" si="9"/>
        <v>160</v>
      </c>
      <c r="CC21" s="52">
        <f t="shared" si="9"/>
        <v>40</v>
      </c>
      <c r="CD21" s="52">
        <f t="shared" si="9"/>
        <v>160</v>
      </c>
      <c r="CE21" s="52">
        <f t="shared" si="9"/>
        <v>80</v>
      </c>
      <c r="CF21" s="52">
        <f t="shared" si="9"/>
        <v>80</v>
      </c>
      <c r="CG21" s="52">
        <f t="shared" si="9"/>
        <v>160</v>
      </c>
      <c r="CH21" s="52">
        <f t="shared" si="9"/>
        <v>80</v>
      </c>
      <c r="CI21" s="52">
        <f t="shared" si="9"/>
        <v>80</v>
      </c>
      <c r="CJ21" s="52">
        <f t="shared" si="9"/>
        <v>80</v>
      </c>
      <c r="CK21" s="52">
        <f t="shared" si="9"/>
        <v>640</v>
      </c>
      <c r="CL21" s="52">
        <f t="shared" si="9"/>
        <v>80</v>
      </c>
      <c r="CM21" s="52">
        <f t="shared" si="9"/>
        <v>80</v>
      </c>
      <c r="CN21" s="52">
        <f t="shared" si="9"/>
        <v>40</v>
      </c>
      <c r="CO21" s="52">
        <f t="shared" si="9"/>
        <v>160</v>
      </c>
      <c r="CP21" s="52">
        <f t="shared" si="9"/>
        <v>40</v>
      </c>
      <c r="CQ21" s="52">
        <f t="shared" si="9"/>
        <v>40</v>
      </c>
      <c r="CR21" s="52">
        <f t="shared" si="9"/>
        <v>80</v>
      </c>
      <c r="CS21" s="52">
        <f t="shared" si="9"/>
        <v>80</v>
      </c>
      <c r="CT21" s="52">
        <f t="shared" si="9"/>
        <v>16</v>
      </c>
      <c r="CU21" s="52">
        <f t="shared" si="9"/>
        <v>32</v>
      </c>
      <c r="CV21" s="52">
        <f t="shared" si="9"/>
        <v>80</v>
      </c>
      <c r="CW21" s="52">
        <f t="shared" si="9"/>
        <v>160</v>
      </c>
      <c r="CX21" s="52">
        <f t="shared" si="9"/>
        <v>40</v>
      </c>
      <c r="CY21" s="52">
        <f t="shared" si="9"/>
        <v>40</v>
      </c>
      <c r="CZ21" s="52">
        <f t="shared" si="9"/>
        <v>160</v>
      </c>
      <c r="DA21" s="52">
        <f t="shared" si="9"/>
        <v>40</v>
      </c>
      <c r="DB21" s="52">
        <f t="shared" si="9"/>
        <v>640</v>
      </c>
      <c r="DC21" s="52">
        <f t="shared" si="9"/>
        <v>80</v>
      </c>
      <c r="DD21" s="52">
        <f t="shared" si="9"/>
        <v>40</v>
      </c>
      <c r="DE21" s="52">
        <f t="shared" si="9"/>
        <v>40</v>
      </c>
      <c r="DF21" s="52">
        <f t="shared" si="9"/>
        <v>80</v>
      </c>
      <c r="DG21" s="52">
        <f t="shared" si="9"/>
        <v>80</v>
      </c>
      <c r="DH21" s="52">
        <f t="shared" si="9"/>
        <v>80</v>
      </c>
      <c r="DI21" s="52">
        <f t="shared" si="9"/>
        <v>40</v>
      </c>
      <c r="DJ21" s="52">
        <f t="shared" si="9"/>
        <v>40</v>
      </c>
    </row>
    <row r="22" ht="15.75" customHeight="1">
      <c r="A22" s="63"/>
      <c r="B22" s="59"/>
      <c r="C22" s="60" t="s">
        <v>1788</v>
      </c>
      <c r="D22" s="58">
        <v>0.05</v>
      </c>
      <c r="BK22" s="52">
        <f t="shared" ref="BK22:DJ22" si="10">ROUND(BK$15*$D22,0)</f>
        <v>60</v>
      </c>
      <c r="BL22" s="52">
        <f t="shared" si="10"/>
        <v>60</v>
      </c>
      <c r="BM22" s="52">
        <f t="shared" si="10"/>
        <v>60</v>
      </c>
      <c r="BN22" s="52">
        <f t="shared" si="10"/>
        <v>60</v>
      </c>
      <c r="BO22" s="52">
        <f t="shared" si="10"/>
        <v>60</v>
      </c>
      <c r="BP22" s="52">
        <f t="shared" si="10"/>
        <v>60</v>
      </c>
      <c r="BQ22" s="52">
        <f t="shared" si="10"/>
        <v>60</v>
      </c>
      <c r="BR22" s="52">
        <f t="shared" si="10"/>
        <v>60</v>
      </c>
      <c r="BS22" s="52">
        <f t="shared" si="10"/>
        <v>60</v>
      </c>
      <c r="BT22" s="52">
        <f t="shared" si="10"/>
        <v>320</v>
      </c>
      <c r="BU22" s="52">
        <f t="shared" si="10"/>
        <v>0</v>
      </c>
      <c r="BV22" s="52">
        <f t="shared" si="10"/>
        <v>48</v>
      </c>
      <c r="BW22" s="52">
        <f t="shared" si="10"/>
        <v>40</v>
      </c>
      <c r="BX22" s="52">
        <f t="shared" si="10"/>
        <v>160</v>
      </c>
      <c r="BY22" s="52">
        <f t="shared" si="10"/>
        <v>80</v>
      </c>
      <c r="BZ22" s="52">
        <f t="shared" si="10"/>
        <v>120</v>
      </c>
      <c r="CA22" s="52">
        <f t="shared" si="10"/>
        <v>160</v>
      </c>
      <c r="CB22" s="52">
        <f t="shared" si="10"/>
        <v>160</v>
      </c>
      <c r="CC22" s="52">
        <f t="shared" si="10"/>
        <v>40</v>
      </c>
      <c r="CD22" s="52">
        <f t="shared" si="10"/>
        <v>160</v>
      </c>
      <c r="CE22" s="52">
        <f t="shared" si="10"/>
        <v>80</v>
      </c>
      <c r="CF22" s="52">
        <f t="shared" si="10"/>
        <v>80</v>
      </c>
      <c r="CG22" s="52">
        <f t="shared" si="10"/>
        <v>160</v>
      </c>
      <c r="CH22" s="52">
        <f t="shared" si="10"/>
        <v>80</v>
      </c>
      <c r="CI22" s="52">
        <f t="shared" si="10"/>
        <v>80</v>
      </c>
      <c r="CJ22" s="52">
        <f t="shared" si="10"/>
        <v>80</v>
      </c>
      <c r="CK22" s="52">
        <f t="shared" si="10"/>
        <v>640</v>
      </c>
      <c r="CL22" s="52">
        <f t="shared" si="10"/>
        <v>80</v>
      </c>
      <c r="CM22" s="52">
        <f t="shared" si="10"/>
        <v>80</v>
      </c>
      <c r="CN22" s="52">
        <f t="shared" si="10"/>
        <v>40</v>
      </c>
      <c r="CO22" s="52">
        <f t="shared" si="10"/>
        <v>160</v>
      </c>
      <c r="CP22" s="52">
        <f t="shared" si="10"/>
        <v>40</v>
      </c>
      <c r="CQ22" s="52">
        <f t="shared" si="10"/>
        <v>40</v>
      </c>
      <c r="CR22" s="52">
        <f t="shared" si="10"/>
        <v>80</v>
      </c>
      <c r="CS22" s="52">
        <f t="shared" si="10"/>
        <v>80</v>
      </c>
      <c r="CT22" s="52">
        <f t="shared" si="10"/>
        <v>16</v>
      </c>
      <c r="CU22" s="52">
        <f t="shared" si="10"/>
        <v>32</v>
      </c>
      <c r="CV22" s="52">
        <f t="shared" si="10"/>
        <v>80</v>
      </c>
      <c r="CW22" s="52">
        <f t="shared" si="10"/>
        <v>160</v>
      </c>
      <c r="CX22" s="52">
        <f t="shared" si="10"/>
        <v>40</v>
      </c>
      <c r="CY22" s="52">
        <f t="shared" si="10"/>
        <v>40</v>
      </c>
      <c r="CZ22" s="52">
        <f t="shared" si="10"/>
        <v>160</v>
      </c>
      <c r="DA22" s="52">
        <f t="shared" si="10"/>
        <v>40</v>
      </c>
      <c r="DB22" s="52">
        <f t="shared" si="10"/>
        <v>640</v>
      </c>
      <c r="DC22" s="52">
        <f t="shared" si="10"/>
        <v>80</v>
      </c>
      <c r="DD22" s="52">
        <f t="shared" si="10"/>
        <v>40</v>
      </c>
      <c r="DE22" s="52">
        <f t="shared" si="10"/>
        <v>40</v>
      </c>
      <c r="DF22" s="52">
        <f t="shared" si="10"/>
        <v>80</v>
      </c>
      <c r="DG22" s="52">
        <f t="shared" si="10"/>
        <v>80</v>
      </c>
      <c r="DH22" s="52">
        <f t="shared" si="10"/>
        <v>80</v>
      </c>
      <c r="DI22" s="52">
        <f t="shared" si="10"/>
        <v>40</v>
      </c>
      <c r="DJ22" s="52">
        <f t="shared" si="10"/>
        <v>40</v>
      </c>
    </row>
    <row r="23" ht="15.75" customHeight="1">
      <c r="A23" s="63"/>
      <c r="B23" s="59"/>
      <c r="C23" s="60" t="s">
        <v>1789</v>
      </c>
      <c r="D23" s="58">
        <v>0.15</v>
      </c>
      <c r="BK23" s="52">
        <f t="shared" ref="BK23:DJ23" si="11">ROUND(BK$15*$D23,0)</f>
        <v>180</v>
      </c>
      <c r="BL23" s="52">
        <f t="shared" si="11"/>
        <v>180</v>
      </c>
      <c r="BM23" s="52">
        <f t="shared" si="11"/>
        <v>180</v>
      </c>
      <c r="BN23" s="52">
        <f t="shared" si="11"/>
        <v>180</v>
      </c>
      <c r="BO23" s="52">
        <f t="shared" si="11"/>
        <v>180</v>
      </c>
      <c r="BP23" s="52">
        <f t="shared" si="11"/>
        <v>180</v>
      </c>
      <c r="BQ23" s="52">
        <f t="shared" si="11"/>
        <v>180</v>
      </c>
      <c r="BR23" s="52">
        <f t="shared" si="11"/>
        <v>180</v>
      </c>
      <c r="BS23" s="52">
        <f t="shared" si="11"/>
        <v>180</v>
      </c>
      <c r="BT23" s="52">
        <f t="shared" si="11"/>
        <v>960</v>
      </c>
      <c r="BU23" s="52">
        <f t="shared" si="11"/>
        <v>0</v>
      </c>
      <c r="BV23" s="52">
        <f t="shared" si="11"/>
        <v>144</v>
      </c>
      <c r="BW23" s="52">
        <f t="shared" si="11"/>
        <v>120</v>
      </c>
      <c r="BX23" s="52">
        <f t="shared" si="11"/>
        <v>480</v>
      </c>
      <c r="BY23" s="52">
        <f t="shared" si="11"/>
        <v>240</v>
      </c>
      <c r="BZ23" s="52">
        <f t="shared" si="11"/>
        <v>360</v>
      </c>
      <c r="CA23" s="52">
        <f t="shared" si="11"/>
        <v>480</v>
      </c>
      <c r="CB23" s="52">
        <f t="shared" si="11"/>
        <v>480</v>
      </c>
      <c r="CC23" s="52">
        <f t="shared" si="11"/>
        <v>120</v>
      </c>
      <c r="CD23" s="52">
        <f t="shared" si="11"/>
        <v>480</v>
      </c>
      <c r="CE23" s="52">
        <f t="shared" si="11"/>
        <v>240</v>
      </c>
      <c r="CF23" s="52">
        <f t="shared" si="11"/>
        <v>240</v>
      </c>
      <c r="CG23" s="52">
        <f t="shared" si="11"/>
        <v>480</v>
      </c>
      <c r="CH23" s="52">
        <f t="shared" si="11"/>
        <v>240</v>
      </c>
      <c r="CI23" s="52">
        <f t="shared" si="11"/>
        <v>240</v>
      </c>
      <c r="CJ23" s="52">
        <f t="shared" si="11"/>
        <v>240</v>
      </c>
      <c r="CK23" s="52">
        <f t="shared" si="11"/>
        <v>1920</v>
      </c>
      <c r="CL23" s="52">
        <f t="shared" si="11"/>
        <v>240</v>
      </c>
      <c r="CM23" s="52">
        <f t="shared" si="11"/>
        <v>240</v>
      </c>
      <c r="CN23" s="52">
        <f t="shared" si="11"/>
        <v>120</v>
      </c>
      <c r="CO23" s="52">
        <f t="shared" si="11"/>
        <v>480</v>
      </c>
      <c r="CP23" s="52">
        <f t="shared" si="11"/>
        <v>120</v>
      </c>
      <c r="CQ23" s="52">
        <f t="shared" si="11"/>
        <v>120</v>
      </c>
      <c r="CR23" s="52">
        <f t="shared" si="11"/>
        <v>240</v>
      </c>
      <c r="CS23" s="52">
        <f t="shared" si="11"/>
        <v>240</v>
      </c>
      <c r="CT23" s="52">
        <f t="shared" si="11"/>
        <v>48</v>
      </c>
      <c r="CU23" s="52">
        <f t="shared" si="11"/>
        <v>96</v>
      </c>
      <c r="CV23" s="52">
        <f t="shared" si="11"/>
        <v>240</v>
      </c>
      <c r="CW23" s="52">
        <f t="shared" si="11"/>
        <v>480</v>
      </c>
      <c r="CX23" s="52">
        <f t="shared" si="11"/>
        <v>120</v>
      </c>
      <c r="CY23" s="52">
        <f t="shared" si="11"/>
        <v>120</v>
      </c>
      <c r="CZ23" s="52">
        <f t="shared" si="11"/>
        <v>480</v>
      </c>
      <c r="DA23" s="52">
        <f t="shared" si="11"/>
        <v>120</v>
      </c>
      <c r="DB23" s="52">
        <f t="shared" si="11"/>
        <v>1920</v>
      </c>
      <c r="DC23" s="52">
        <f t="shared" si="11"/>
        <v>240</v>
      </c>
      <c r="DD23" s="52">
        <f t="shared" si="11"/>
        <v>120</v>
      </c>
      <c r="DE23" s="52">
        <f t="shared" si="11"/>
        <v>120</v>
      </c>
      <c r="DF23" s="52">
        <f t="shared" si="11"/>
        <v>240</v>
      </c>
      <c r="DG23" s="52">
        <f t="shared" si="11"/>
        <v>240</v>
      </c>
      <c r="DH23" s="52">
        <f t="shared" si="11"/>
        <v>240</v>
      </c>
      <c r="DI23" s="52">
        <f t="shared" si="11"/>
        <v>120</v>
      </c>
      <c r="DJ23" s="52">
        <f t="shared" si="11"/>
        <v>120</v>
      </c>
    </row>
    <row r="24" ht="14.25" customHeight="1">
      <c r="C24" s="64" t="s">
        <v>1790</v>
      </c>
      <c r="D24" s="56">
        <v>0.2</v>
      </c>
      <c r="BK24" s="52">
        <f t="shared" ref="BK24:DJ24" si="12">ROUND(BK$15*$D24,0)</f>
        <v>240</v>
      </c>
      <c r="BL24" s="52">
        <f t="shared" si="12"/>
        <v>240</v>
      </c>
      <c r="BM24" s="52">
        <f t="shared" si="12"/>
        <v>240</v>
      </c>
      <c r="BN24" s="52">
        <f t="shared" si="12"/>
        <v>240</v>
      </c>
      <c r="BO24" s="52">
        <f t="shared" si="12"/>
        <v>240</v>
      </c>
      <c r="BP24" s="52">
        <f t="shared" si="12"/>
        <v>240</v>
      </c>
      <c r="BQ24" s="52">
        <f t="shared" si="12"/>
        <v>240</v>
      </c>
      <c r="BR24" s="52">
        <f t="shared" si="12"/>
        <v>240</v>
      </c>
      <c r="BS24" s="52">
        <f t="shared" si="12"/>
        <v>240</v>
      </c>
      <c r="BT24" s="52">
        <f t="shared" si="12"/>
        <v>1280</v>
      </c>
      <c r="BU24" s="52">
        <f t="shared" si="12"/>
        <v>0</v>
      </c>
      <c r="BV24" s="52">
        <f t="shared" si="12"/>
        <v>192</v>
      </c>
      <c r="BW24" s="52">
        <f t="shared" si="12"/>
        <v>160</v>
      </c>
      <c r="BX24" s="52">
        <f t="shared" si="12"/>
        <v>640</v>
      </c>
      <c r="BY24" s="52">
        <f t="shared" si="12"/>
        <v>320</v>
      </c>
      <c r="BZ24" s="52">
        <f t="shared" si="12"/>
        <v>480</v>
      </c>
      <c r="CA24" s="52">
        <f t="shared" si="12"/>
        <v>640</v>
      </c>
      <c r="CB24" s="52">
        <f t="shared" si="12"/>
        <v>640</v>
      </c>
      <c r="CC24" s="52">
        <f t="shared" si="12"/>
        <v>160</v>
      </c>
      <c r="CD24" s="52">
        <f t="shared" si="12"/>
        <v>640</v>
      </c>
      <c r="CE24" s="52">
        <f t="shared" si="12"/>
        <v>320</v>
      </c>
      <c r="CF24" s="52">
        <f t="shared" si="12"/>
        <v>320</v>
      </c>
      <c r="CG24" s="52">
        <f t="shared" si="12"/>
        <v>640</v>
      </c>
      <c r="CH24" s="52">
        <f t="shared" si="12"/>
        <v>320</v>
      </c>
      <c r="CI24" s="52">
        <f t="shared" si="12"/>
        <v>320</v>
      </c>
      <c r="CJ24" s="52">
        <f t="shared" si="12"/>
        <v>320</v>
      </c>
      <c r="CK24" s="52">
        <f t="shared" si="12"/>
        <v>2560</v>
      </c>
      <c r="CL24" s="52">
        <f t="shared" si="12"/>
        <v>320</v>
      </c>
      <c r="CM24" s="52">
        <f t="shared" si="12"/>
        <v>320</v>
      </c>
      <c r="CN24" s="52">
        <f t="shared" si="12"/>
        <v>160</v>
      </c>
      <c r="CO24" s="52">
        <f t="shared" si="12"/>
        <v>640</v>
      </c>
      <c r="CP24" s="52">
        <f t="shared" si="12"/>
        <v>160</v>
      </c>
      <c r="CQ24" s="52">
        <f t="shared" si="12"/>
        <v>160</v>
      </c>
      <c r="CR24" s="52">
        <f t="shared" si="12"/>
        <v>320</v>
      </c>
      <c r="CS24" s="52">
        <f t="shared" si="12"/>
        <v>320</v>
      </c>
      <c r="CT24" s="52">
        <f t="shared" si="12"/>
        <v>64</v>
      </c>
      <c r="CU24" s="52">
        <f t="shared" si="12"/>
        <v>128</v>
      </c>
      <c r="CV24" s="52">
        <f t="shared" si="12"/>
        <v>320</v>
      </c>
      <c r="CW24" s="52">
        <f t="shared" si="12"/>
        <v>640</v>
      </c>
      <c r="CX24" s="52">
        <f t="shared" si="12"/>
        <v>160</v>
      </c>
      <c r="CY24" s="52">
        <f t="shared" si="12"/>
        <v>160</v>
      </c>
      <c r="CZ24" s="52">
        <f t="shared" si="12"/>
        <v>640</v>
      </c>
      <c r="DA24" s="52">
        <f t="shared" si="12"/>
        <v>160</v>
      </c>
      <c r="DB24" s="52">
        <f t="shared" si="12"/>
        <v>2560</v>
      </c>
      <c r="DC24" s="52">
        <f t="shared" si="12"/>
        <v>320</v>
      </c>
      <c r="DD24" s="52">
        <f t="shared" si="12"/>
        <v>160</v>
      </c>
      <c r="DE24" s="52">
        <f t="shared" si="12"/>
        <v>160</v>
      </c>
      <c r="DF24" s="52">
        <f t="shared" si="12"/>
        <v>320</v>
      </c>
      <c r="DG24" s="52">
        <f t="shared" si="12"/>
        <v>320</v>
      </c>
      <c r="DH24" s="52">
        <f t="shared" si="12"/>
        <v>320</v>
      </c>
      <c r="DI24" s="52">
        <f t="shared" si="12"/>
        <v>160</v>
      </c>
      <c r="DJ24" s="52">
        <f t="shared" si="12"/>
        <v>160</v>
      </c>
    </row>
    <row r="25" ht="8.25" customHeight="1"/>
    <row r="26" ht="15.75" customHeight="1">
      <c r="B26" s="52"/>
      <c r="C26" s="52" t="s">
        <v>1469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BL26" s="55"/>
    </row>
    <row r="27" ht="15.75" customHeight="1">
      <c r="B27" s="52"/>
      <c r="C27" s="52">
        <v>0.0</v>
      </c>
      <c r="D27" s="65">
        <v>0.35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BK27" s="52">
        <f t="shared" ref="BK27:DJ27" si="13">ROUND(BK18*$D27,0)</f>
        <v>147</v>
      </c>
      <c r="BL27" s="52">
        <f t="shared" si="13"/>
        <v>147</v>
      </c>
      <c r="BM27" s="52">
        <f t="shared" si="13"/>
        <v>147</v>
      </c>
      <c r="BN27" s="52">
        <f t="shared" si="13"/>
        <v>147</v>
      </c>
      <c r="BO27" s="52">
        <f t="shared" si="13"/>
        <v>147</v>
      </c>
      <c r="BP27" s="52">
        <f t="shared" si="13"/>
        <v>147</v>
      </c>
      <c r="BQ27" s="52">
        <f t="shared" si="13"/>
        <v>147</v>
      </c>
      <c r="BR27" s="52">
        <f t="shared" si="13"/>
        <v>147</v>
      </c>
      <c r="BS27" s="52">
        <f t="shared" si="13"/>
        <v>147</v>
      </c>
      <c r="BT27" s="52">
        <f t="shared" si="13"/>
        <v>784</v>
      </c>
      <c r="BU27" s="52">
        <f t="shared" si="13"/>
        <v>0</v>
      </c>
      <c r="BV27" s="52">
        <f t="shared" si="13"/>
        <v>118</v>
      </c>
      <c r="BW27" s="52">
        <f t="shared" si="13"/>
        <v>98</v>
      </c>
      <c r="BX27" s="52">
        <f t="shared" si="13"/>
        <v>392</v>
      </c>
      <c r="BY27" s="52">
        <f t="shared" si="13"/>
        <v>196</v>
      </c>
      <c r="BZ27" s="52">
        <f t="shared" si="13"/>
        <v>294</v>
      </c>
      <c r="CA27" s="52">
        <f t="shared" si="13"/>
        <v>392</v>
      </c>
      <c r="CB27" s="52">
        <f t="shared" si="13"/>
        <v>392</v>
      </c>
      <c r="CC27" s="52">
        <f t="shared" si="13"/>
        <v>98</v>
      </c>
      <c r="CD27" s="52">
        <f t="shared" si="13"/>
        <v>392</v>
      </c>
      <c r="CE27" s="52">
        <f t="shared" si="13"/>
        <v>196</v>
      </c>
      <c r="CF27" s="52">
        <f t="shared" si="13"/>
        <v>196</v>
      </c>
      <c r="CG27" s="52">
        <f t="shared" si="13"/>
        <v>392</v>
      </c>
      <c r="CH27" s="52">
        <f t="shared" si="13"/>
        <v>196</v>
      </c>
      <c r="CI27" s="52">
        <f t="shared" si="13"/>
        <v>196</v>
      </c>
      <c r="CJ27" s="52">
        <f t="shared" si="13"/>
        <v>196</v>
      </c>
      <c r="CK27" s="52">
        <f t="shared" si="13"/>
        <v>1568</v>
      </c>
      <c r="CL27" s="52">
        <f t="shared" si="13"/>
        <v>196</v>
      </c>
      <c r="CM27" s="52">
        <f t="shared" si="13"/>
        <v>196</v>
      </c>
      <c r="CN27" s="52">
        <f t="shared" si="13"/>
        <v>98</v>
      </c>
      <c r="CO27" s="52">
        <f t="shared" si="13"/>
        <v>392</v>
      </c>
      <c r="CP27" s="52">
        <f t="shared" si="13"/>
        <v>98</v>
      </c>
      <c r="CQ27" s="52">
        <f t="shared" si="13"/>
        <v>98</v>
      </c>
      <c r="CR27" s="52">
        <f t="shared" si="13"/>
        <v>196</v>
      </c>
      <c r="CS27" s="52">
        <f t="shared" si="13"/>
        <v>196</v>
      </c>
      <c r="CT27" s="52">
        <f t="shared" si="13"/>
        <v>39</v>
      </c>
      <c r="CU27" s="52">
        <f t="shared" si="13"/>
        <v>78</v>
      </c>
      <c r="CV27" s="52">
        <f t="shared" si="13"/>
        <v>196</v>
      </c>
      <c r="CW27" s="52">
        <f t="shared" si="13"/>
        <v>392</v>
      </c>
      <c r="CX27" s="52">
        <f t="shared" si="13"/>
        <v>98</v>
      </c>
      <c r="CY27" s="52">
        <f t="shared" si="13"/>
        <v>98</v>
      </c>
      <c r="CZ27" s="52">
        <f t="shared" si="13"/>
        <v>392</v>
      </c>
      <c r="DA27" s="52">
        <f t="shared" si="13"/>
        <v>98</v>
      </c>
      <c r="DB27" s="52">
        <f t="shared" si="13"/>
        <v>1568</v>
      </c>
      <c r="DC27" s="52">
        <f t="shared" si="13"/>
        <v>196</v>
      </c>
      <c r="DD27" s="52">
        <f t="shared" si="13"/>
        <v>98</v>
      </c>
      <c r="DE27" s="52">
        <f t="shared" si="13"/>
        <v>98</v>
      </c>
      <c r="DF27" s="52">
        <f t="shared" si="13"/>
        <v>196</v>
      </c>
      <c r="DG27" s="52">
        <f t="shared" si="13"/>
        <v>196</v>
      </c>
      <c r="DH27" s="52">
        <f t="shared" si="13"/>
        <v>196</v>
      </c>
      <c r="DI27" s="52">
        <f t="shared" si="13"/>
        <v>98</v>
      </c>
      <c r="DJ27" s="52">
        <f t="shared" si="13"/>
        <v>98</v>
      </c>
    </row>
    <row r="28" ht="15.75" customHeight="1">
      <c r="B28" s="61"/>
      <c r="C28" s="52" t="s">
        <v>1785</v>
      </c>
      <c r="D28" s="65">
        <v>0.25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BK28" s="52">
        <f t="shared" ref="BK28:DJ28" si="14">ROUND(BK19*$D28,0)</f>
        <v>15</v>
      </c>
      <c r="BL28" s="52">
        <f t="shared" si="14"/>
        <v>15</v>
      </c>
      <c r="BM28" s="52">
        <f t="shared" si="14"/>
        <v>15</v>
      </c>
      <c r="BN28" s="52">
        <f t="shared" si="14"/>
        <v>15</v>
      </c>
      <c r="BO28" s="52">
        <f t="shared" si="14"/>
        <v>15</v>
      </c>
      <c r="BP28" s="52">
        <f t="shared" si="14"/>
        <v>15</v>
      </c>
      <c r="BQ28" s="52">
        <f t="shared" si="14"/>
        <v>15</v>
      </c>
      <c r="BR28" s="52">
        <f t="shared" si="14"/>
        <v>15</v>
      </c>
      <c r="BS28" s="52">
        <f t="shared" si="14"/>
        <v>15</v>
      </c>
      <c r="BT28" s="52">
        <f t="shared" si="14"/>
        <v>80</v>
      </c>
      <c r="BU28" s="52">
        <f t="shared" si="14"/>
        <v>0</v>
      </c>
      <c r="BV28" s="52">
        <f t="shared" si="14"/>
        <v>12</v>
      </c>
      <c r="BW28" s="52">
        <f t="shared" si="14"/>
        <v>10</v>
      </c>
      <c r="BX28" s="52">
        <f t="shared" si="14"/>
        <v>40</v>
      </c>
      <c r="BY28" s="52">
        <f t="shared" si="14"/>
        <v>20</v>
      </c>
      <c r="BZ28" s="52">
        <f t="shared" si="14"/>
        <v>30</v>
      </c>
      <c r="CA28" s="52">
        <f t="shared" si="14"/>
        <v>40</v>
      </c>
      <c r="CB28" s="52">
        <f t="shared" si="14"/>
        <v>40</v>
      </c>
      <c r="CC28" s="52">
        <f t="shared" si="14"/>
        <v>10</v>
      </c>
      <c r="CD28" s="52">
        <f t="shared" si="14"/>
        <v>40</v>
      </c>
      <c r="CE28" s="52">
        <f t="shared" si="14"/>
        <v>20</v>
      </c>
      <c r="CF28" s="52">
        <f t="shared" si="14"/>
        <v>20</v>
      </c>
      <c r="CG28" s="52">
        <f t="shared" si="14"/>
        <v>40</v>
      </c>
      <c r="CH28" s="52">
        <f t="shared" si="14"/>
        <v>20</v>
      </c>
      <c r="CI28" s="52">
        <f t="shared" si="14"/>
        <v>20</v>
      </c>
      <c r="CJ28" s="52">
        <f t="shared" si="14"/>
        <v>20</v>
      </c>
      <c r="CK28" s="52">
        <f t="shared" si="14"/>
        <v>160</v>
      </c>
      <c r="CL28" s="52">
        <f t="shared" si="14"/>
        <v>20</v>
      </c>
      <c r="CM28" s="52">
        <f t="shared" si="14"/>
        <v>20</v>
      </c>
      <c r="CN28" s="52">
        <f t="shared" si="14"/>
        <v>10</v>
      </c>
      <c r="CO28" s="52">
        <f t="shared" si="14"/>
        <v>40</v>
      </c>
      <c r="CP28" s="52">
        <f t="shared" si="14"/>
        <v>10</v>
      </c>
      <c r="CQ28" s="52">
        <f t="shared" si="14"/>
        <v>10</v>
      </c>
      <c r="CR28" s="52">
        <f t="shared" si="14"/>
        <v>20</v>
      </c>
      <c r="CS28" s="52">
        <f t="shared" si="14"/>
        <v>20</v>
      </c>
      <c r="CT28" s="52">
        <f t="shared" si="14"/>
        <v>4</v>
      </c>
      <c r="CU28" s="52">
        <f t="shared" si="14"/>
        <v>8</v>
      </c>
      <c r="CV28" s="52">
        <f t="shared" si="14"/>
        <v>20</v>
      </c>
      <c r="CW28" s="52">
        <f t="shared" si="14"/>
        <v>40</v>
      </c>
      <c r="CX28" s="52">
        <f t="shared" si="14"/>
        <v>10</v>
      </c>
      <c r="CY28" s="52">
        <f t="shared" si="14"/>
        <v>10</v>
      </c>
      <c r="CZ28" s="52">
        <f t="shared" si="14"/>
        <v>40</v>
      </c>
      <c r="DA28" s="52">
        <f t="shared" si="14"/>
        <v>10</v>
      </c>
      <c r="DB28" s="52">
        <f t="shared" si="14"/>
        <v>160</v>
      </c>
      <c r="DC28" s="52">
        <f t="shared" si="14"/>
        <v>20</v>
      </c>
      <c r="DD28" s="52">
        <f t="shared" si="14"/>
        <v>10</v>
      </c>
      <c r="DE28" s="52">
        <f t="shared" si="14"/>
        <v>10</v>
      </c>
      <c r="DF28" s="52">
        <f t="shared" si="14"/>
        <v>20</v>
      </c>
      <c r="DG28" s="52">
        <f t="shared" si="14"/>
        <v>20</v>
      </c>
      <c r="DH28" s="52">
        <f t="shared" si="14"/>
        <v>20</v>
      </c>
      <c r="DI28" s="52">
        <f t="shared" si="14"/>
        <v>10</v>
      </c>
      <c r="DJ28" s="52">
        <f t="shared" si="14"/>
        <v>10</v>
      </c>
    </row>
    <row r="29" ht="15.75" customHeight="1">
      <c r="B29" s="61"/>
      <c r="C29" s="52" t="s">
        <v>1786</v>
      </c>
      <c r="D29" s="65">
        <v>0.15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BK29" s="52">
        <f t="shared" ref="BK29:DJ29" si="15">ROUND(BK20*$D29,0)</f>
        <v>27</v>
      </c>
      <c r="BL29" s="52">
        <f t="shared" si="15"/>
        <v>27</v>
      </c>
      <c r="BM29" s="52">
        <f t="shared" si="15"/>
        <v>27</v>
      </c>
      <c r="BN29" s="52">
        <f t="shared" si="15"/>
        <v>27</v>
      </c>
      <c r="BO29" s="52">
        <f t="shared" si="15"/>
        <v>27</v>
      </c>
      <c r="BP29" s="52">
        <f t="shared" si="15"/>
        <v>27</v>
      </c>
      <c r="BQ29" s="52">
        <f t="shared" si="15"/>
        <v>27</v>
      </c>
      <c r="BR29" s="52">
        <f t="shared" si="15"/>
        <v>27</v>
      </c>
      <c r="BS29" s="52">
        <f t="shared" si="15"/>
        <v>27</v>
      </c>
      <c r="BT29" s="52">
        <f t="shared" si="15"/>
        <v>144</v>
      </c>
      <c r="BU29" s="52">
        <f t="shared" si="15"/>
        <v>0</v>
      </c>
      <c r="BV29" s="52">
        <f t="shared" si="15"/>
        <v>22</v>
      </c>
      <c r="BW29" s="52">
        <f t="shared" si="15"/>
        <v>18</v>
      </c>
      <c r="BX29" s="52">
        <f t="shared" si="15"/>
        <v>72</v>
      </c>
      <c r="BY29" s="52">
        <f t="shared" si="15"/>
        <v>36</v>
      </c>
      <c r="BZ29" s="52">
        <f t="shared" si="15"/>
        <v>54</v>
      </c>
      <c r="CA29" s="52">
        <f t="shared" si="15"/>
        <v>72</v>
      </c>
      <c r="CB29" s="52">
        <f t="shared" si="15"/>
        <v>72</v>
      </c>
      <c r="CC29" s="52">
        <f t="shared" si="15"/>
        <v>18</v>
      </c>
      <c r="CD29" s="52">
        <f t="shared" si="15"/>
        <v>72</v>
      </c>
      <c r="CE29" s="52">
        <f t="shared" si="15"/>
        <v>36</v>
      </c>
      <c r="CF29" s="52">
        <f t="shared" si="15"/>
        <v>36</v>
      </c>
      <c r="CG29" s="52">
        <f t="shared" si="15"/>
        <v>72</v>
      </c>
      <c r="CH29" s="52">
        <f t="shared" si="15"/>
        <v>36</v>
      </c>
      <c r="CI29" s="52">
        <f t="shared" si="15"/>
        <v>36</v>
      </c>
      <c r="CJ29" s="52">
        <f t="shared" si="15"/>
        <v>36</v>
      </c>
      <c r="CK29" s="52">
        <f t="shared" si="15"/>
        <v>288</v>
      </c>
      <c r="CL29" s="52">
        <f t="shared" si="15"/>
        <v>36</v>
      </c>
      <c r="CM29" s="52">
        <f t="shared" si="15"/>
        <v>36</v>
      </c>
      <c r="CN29" s="52">
        <f t="shared" si="15"/>
        <v>18</v>
      </c>
      <c r="CO29" s="52">
        <f t="shared" si="15"/>
        <v>72</v>
      </c>
      <c r="CP29" s="52">
        <f t="shared" si="15"/>
        <v>18</v>
      </c>
      <c r="CQ29" s="52">
        <f t="shared" si="15"/>
        <v>18</v>
      </c>
      <c r="CR29" s="52">
        <f t="shared" si="15"/>
        <v>36</v>
      </c>
      <c r="CS29" s="52">
        <f t="shared" si="15"/>
        <v>36</v>
      </c>
      <c r="CT29" s="52">
        <f t="shared" si="15"/>
        <v>7</v>
      </c>
      <c r="CU29" s="52">
        <f t="shared" si="15"/>
        <v>14</v>
      </c>
      <c r="CV29" s="52">
        <f t="shared" si="15"/>
        <v>36</v>
      </c>
      <c r="CW29" s="52">
        <f t="shared" si="15"/>
        <v>72</v>
      </c>
      <c r="CX29" s="52">
        <f t="shared" si="15"/>
        <v>18</v>
      </c>
      <c r="CY29" s="52">
        <f t="shared" si="15"/>
        <v>18</v>
      </c>
      <c r="CZ29" s="52">
        <f t="shared" si="15"/>
        <v>72</v>
      </c>
      <c r="DA29" s="52">
        <f t="shared" si="15"/>
        <v>18</v>
      </c>
      <c r="DB29" s="52">
        <f t="shared" si="15"/>
        <v>288</v>
      </c>
      <c r="DC29" s="52">
        <f t="shared" si="15"/>
        <v>36</v>
      </c>
      <c r="DD29" s="52">
        <f t="shared" si="15"/>
        <v>18</v>
      </c>
      <c r="DE29" s="52">
        <f t="shared" si="15"/>
        <v>18</v>
      </c>
      <c r="DF29" s="52">
        <f t="shared" si="15"/>
        <v>36</v>
      </c>
      <c r="DG29" s="52">
        <f t="shared" si="15"/>
        <v>36</v>
      </c>
      <c r="DH29" s="52">
        <f t="shared" si="15"/>
        <v>36</v>
      </c>
      <c r="DI29" s="52">
        <f t="shared" si="15"/>
        <v>18</v>
      </c>
      <c r="DJ29" s="52">
        <f t="shared" si="15"/>
        <v>18</v>
      </c>
    </row>
    <row r="30" ht="15.75" customHeight="1">
      <c r="B30" s="52"/>
      <c r="C30" s="52" t="s">
        <v>1787</v>
      </c>
      <c r="D30" s="65">
        <v>0.09</v>
      </c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BK30" s="52">
        <f t="shared" ref="BK30:DJ30" si="16">ROUND(BK21*$D30,0)</f>
        <v>5</v>
      </c>
      <c r="BL30" s="52">
        <f t="shared" si="16"/>
        <v>5</v>
      </c>
      <c r="BM30" s="52">
        <f t="shared" si="16"/>
        <v>5</v>
      </c>
      <c r="BN30" s="52">
        <f t="shared" si="16"/>
        <v>5</v>
      </c>
      <c r="BO30" s="52">
        <f t="shared" si="16"/>
        <v>5</v>
      </c>
      <c r="BP30" s="52">
        <f t="shared" si="16"/>
        <v>5</v>
      </c>
      <c r="BQ30" s="52">
        <f t="shared" si="16"/>
        <v>5</v>
      </c>
      <c r="BR30" s="52">
        <f t="shared" si="16"/>
        <v>5</v>
      </c>
      <c r="BS30" s="52">
        <f t="shared" si="16"/>
        <v>5</v>
      </c>
      <c r="BT30" s="52">
        <f t="shared" si="16"/>
        <v>29</v>
      </c>
      <c r="BU30" s="52">
        <f t="shared" si="16"/>
        <v>0</v>
      </c>
      <c r="BV30" s="52">
        <f t="shared" si="16"/>
        <v>4</v>
      </c>
      <c r="BW30" s="52">
        <f t="shared" si="16"/>
        <v>4</v>
      </c>
      <c r="BX30" s="52">
        <f t="shared" si="16"/>
        <v>14</v>
      </c>
      <c r="BY30" s="52">
        <f t="shared" si="16"/>
        <v>7</v>
      </c>
      <c r="BZ30" s="52">
        <f t="shared" si="16"/>
        <v>11</v>
      </c>
      <c r="CA30" s="52">
        <f t="shared" si="16"/>
        <v>14</v>
      </c>
      <c r="CB30" s="52">
        <f t="shared" si="16"/>
        <v>14</v>
      </c>
      <c r="CC30" s="52">
        <f t="shared" si="16"/>
        <v>4</v>
      </c>
      <c r="CD30" s="52">
        <f t="shared" si="16"/>
        <v>14</v>
      </c>
      <c r="CE30" s="52">
        <f t="shared" si="16"/>
        <v>7</v>
      </c>
      <c r="CF30" s="52">
        <f t="shared" si="16"/>
        <v>7</v>
      </c>
      <c r="CG30" s="52">
        <f t="shared" si="16"/>
        <v>14</v>
      </c>
      <c r="CH30" s="52">
        <f t="shared" si="16"/>
        <v>7</v>
      </c>
      <c r="CI30" s="52">
        <f t="shared" si="16"/>
        <v>7</v>
      </c>
      <c r="CJ30" s="52">
        <f t="shared" si="16"/>
        <v>7</v>
      </c>
      <c r="CK30" s="52">
        <f t="shared" si="16"/>
        <v>58</v>
      </c>
      <c r="CL30" s="52">
        <f t="shared" si="16"/>
        <v>7</v>
      </c>
      <c r="CM30" s="52">
        <f t="shared" si="16"/>
        <v>7</v>
      </c>
      <c r="CN30" s="52">
        <f t="shared" si="16"/>
        <v>4</v>
      </c>
      <c r="CO30" s="52">
        <f t="shared" si="16"/>
        <v>14</v>
      </c>
      <c r="CP30" s="52">
        <f t="shared" si="16"/>
        <v>4</v>
      </c>
      <c r="CQ30" s="52">
        <f t="shared" si="16"/>
        <v>4</v>
      </c>
      <c r="CR30" s="52">
        <f t="shared" si="16"/>
        <v>7</v>
      </c>
      <c r="CS30" s="52">
        <f t="shared" si="16"/>
        <v>7</v>
      </c>
      <c r="CT30" s="52">
        <f t="shared" si="16"/>
        <v>1</v>
      </c>
      <c r="CU30" s="52">
        <f t="shared" si="16"/>
        <v>3</v>
      </c>
      <c r="CV30" s="52">
        <f t="shared" si="16"/>
        <v>7</v>
      </c>
      <c r="CW30" s="52">
        <f t="shared" si="16"/>
        <v>14</v>
      </c>
      <c r="CX30" s="52">
        <f t="shared" si="16"/>
        <v>4</v>
      </c>
      <c r="CY30" s="52">
        <f t="shared" si="16"/>
        <v>4</v>
      </c>
      <c r="CZ30" s="52">
        <f t="shared" si="16"/>
        <v>14</v>
      </c>
      <c r="DA30" s="52">
        <f t="shared" si="16"/>
        <v>4</v>
      </c>
      <c r="DB30" s="52">
        <f t="shared" si="16"/>
        <v>58</v>
      </c>
      <c r="DC30" s="52">
        <f t="shared" si="16"/>
        <v>7</v>
      </c>
      <c r="DD30" s="52">
        <f t="shared" si="16"/>
        <v>4</v>
      </c>
      <c r="DE30" s="52">
        <f t="shared" si="16"/>
        <v>4</v>
      </c>
      <c r="DF30" s="52">
        <f t="shared" si="16"/>
        <v>7</v>
      </c>
      <c r="DG30" s="52">
        <f t="shared" si="16"/>
        <v>7</v>
      </c>
      <c r="DH30" s="52">
        <f t="shared" si="16"/>
        <v>7</v>
      </c>
      <c r="DI30" s="52">
        <f t="shared" si="16"/>
        <v>4</v>
      </c>
      <c r="DJ30" s="52">
        <f t="shared" si="16"/>
        <v>4</v>
      </c>
    </row>
    <row r="31" ht="15.75" customHeight="1">
      <c r="B31" s="52"/>
      <c r="C31" s="52" t="s">
        <v>1788</v>
      </c>
      <c r="D31" s="65">
        <v>0.07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BK31" s="52">
        <f t="shared" ref="BK31:DJ31" si="17">ROUND(BK22*$D31,0)</f>
        <v>4</v>
      </c>
      <c r="BL31" s="52">
        <f t="shared" si="17"/>
        <v>4</v>
      </c>
      <c r="BM31" s="52">
        <f t="shared" si="17"/>
        <v>4</v>
      </c>
      <c r="BN31" s="52">
        <f t="shared" si="17"/>
        <v>4</v>
      </c>
      <c r="BO31" s="52">
        <f t="shared" si="17"/>
        <v>4</v>
      </c>
      <c r="BP31" s="52">
        <f t="shared" si="17"/>
        <v>4</v>
      </c>
      <c r="BQ31" s="52">
        <f t="shared" si="17"/>
        <v>4</v>
      </c>
      <c r="BR31" s="52">
        <f t="shared" si="17"/>
        <v>4</v>
      </c>
      <c r="BS31" s="52">
        <f t="shared" si="17"/>
        <v>4</v>
      </c>
      <c r="BT31" s="52">
        <f t="shared" si="17"/>
        <v>22</v>
      </c>
      <c r="BU31" s="52">
        <f t="shared" si="17"/>
        <v>0</v>
      </c>
      <c r="BV31" s="52">
        <f t="shared" si="17"/>
        <v>3</v>
      </c>
      <c r="BW31" s="52">
        <f t="shared" si="17"/>
        <v>3</v>
      </c>
      <c r="BX31" s="52">
        <f t="shared" si="17"/>
        <v>11</v>
      </c>
      <c r="BY31" s="52">
        <f t="shared" si="17"/>
        <v>6</v>
      </c>
      <c r="BZ31" s="52">
        <f t="shared" si="17"/>
        <v>8</v>
      </c>
      <c r="CA31" s="52">
        <f t="shared" si="17"/>
        <v>11</v>
      </c>
      <c r="CB31" s="52">
        <f t="shared" si="17"/>
        <v>11</v>
      </c>
      <c r="CC31" s="52">
        <f t="shared" si="17"/>
        <v>3</v>
      </c>
      <c r="CD31" s="52">
        <f t="shared" si="17"/>
        <v>11</v>
      </c>
      <c r="CE31" s="52">
        <f t="shared" si="17"/>
        <v>6</v>
      </c>
      <c r="CF31" s="52">
        <f t="shared" si="17"/>
        <v>6</v>
      </c>
      <c r="CG31" s="52">
        <f t="shared" si="17"/>
        <v>11</v>
      </c>
      <c r="CH31" s="52">
        <f t="shared" si="17"/>
        <v>6</v>
      </c>
      <c r="CI31" s="52">
        <f t="shared" si="17"/>
        <v>6</v>
      </c>
      <c r="CJ31" s="52">
        <f t="shared" si="17"/>
        <v>6</v>
      </c>
      <c r="CK31" s="52">
        <f t="shared" si="17"/>
        <v>45</v>
      </c>
      <c r="CL31" s="52">
        <f t="shared" si="17"/>
        <v>6</v>
      </c>
      <c r="CM31" s="52">
        <f t="shared" si="17"/>
        <v>6</v>
      </c>
      <c r="CN31" s="52">
        <f t="shared" si="17"/>
        <v>3</v>
      </c>
      <c r="CO31" s="52">
        <f t="shared" si="17"/>
        <v>11</v>
      </c>
      <c r="CP31" s="52">
        <f t="shared" si="17"/>
        <v>3</v>
      </c>
      <c r="CQ31" s="52">
        <f t="shared" si="17"/>
        <v>3</v>
      </c>
      <c r="CR31" s="52">
        <f t="shared" si="17"/>
        <v>6</v>
      </c>
      <c r="CS31" s="52">
        <f t="shared" si="17"/>
        <v>6</v>
      </c>
      <c r="CT31" s="52">
        <f t="shared" si="17"/>
        <v>1</v>
      </c>
      <c r="CU31" s="52">
        <f t="shared" si="17"/>
        <v>2</v>
      </c>
      <c r="CV31" s="52">
        <f t="shared" si="17"/>
        <v>6</v>
      </c>
      <c r="CW31" s="52">
        <f t="shared" si="17"/>
        <v>11</v>
      </c>
      <c r="CX31" s="52">
        <f t="shared" si="17"/>
        <v>3</v>
      </c>
      <c r="CY31" s="52">
        <f t="shared" si="17"/>
        <v>3</v>
      </c>
      <c r="CZ31" s="52">
        <f t="shared" si="17"/>
        <v>11</v>
      </c>
      <c r="DA31" s="52">
        <f t="shared" si="17"/>
        <v>3</v>
      </c>
      <c r="DB31" s="52">
        <f t="shared" si="17"/>
        <v>45</v>
      </c>
      <c r="DC31" s="52">
        <f t="shared" si="17"/>
        <v>6</v>
      </c>
      <c r="DD31" s="52">
        <f t="shared" si="17"/>
        <v>3</v>
      </c>
      <c r="DE31" s="52">
        <f t="shared" si="17"/>
        <v>3</v>
      </c>
      <c r="DF31" s="52">
        <f t="shared" si="17"/>
        <v>6</v>
      </c>
      <c r="DG31" s="52">
        <f t="shared" si="17"/>
        <v>6</v>
      </c>
      <c r="DH31" s="52">
        <f t="shared" si="17"/>
        <v>6</v>
      </c>
      <c r="DI31" s="52">
        <f t="shared" si="17"/>
        <v>3</v>
      </c>
      <c r="DJ31" s="52">
        <f t="shared" si="17"/>
        <v>3</v>
      </c>
    </row>
    <row r="32" ht="15.75" customHeight="1">
      <c r="B32" s="52"/>
      <c r="C32" s="52" t="s">
        <v>1789</v>
      </c>
      <c r="D32" s="65">
        <v>0.05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BK32" s="52">
        <f t="shared" ref="BK32:DJ32" si="18">ROUND(BK23*$D32,0)</f>
        <v>9</v>
      </c>
      <c r="BL32" s="52">
        <f t="shared" si="18"/>
        <v>9</v>
      </c>
      <c r="BM32" s="52">
        <f t="shared" si="18"/>
        <v>9</v>
      </c>
      <c r="BN32" s="52">
        <f t="shared" si="18"/>
        <v>9</v>
      </c>
      <c r="BO32" s="52">
        <f t="shared" si="18"/>
        <v>9</v>
      </c>
      <c r="BP32" s="52">
        <f t="shared" si="18"/>
        <v>9</v>
      </c>
      <c r="BQ32" s="52">
        <f t="shared" si="18"/>
        <v>9</v>
      </c>
      <c r="BR32" s="52">
        <f t="shared" si="18"/>
        <v>9</v>
      </c>
      <c r="BS32" s="52">
        <f t="shared" si="18"/>
        <v>9</v>
      </c>
      <c r="BT32" s="52">
        <f t="shared" si="18"/>
        <v>48</v>
      </c>
      <c r="BU32" s="52">
        <f t="shared" si="18"/>
        <v>0</v>
      </c>
      <c r="BV32" s="52">
        <f t="shared" si="18"/>
        <v>7</v>
      </c>
      <c r="BW32" s="52">
        <f t="shared" si="18"/>
        <v>6</v>
      </c>
      <c r="BX32" s="52">
        <f t="shared" si="18"/>
        <v>24</v>
      </c>
      <c r="BY32" s="52">
        <f t="shared" si="18"/>
        <v>12</v>
      </c>
      <c r="BZ32" s="52">
        <f t="shared" si="18"/>
        <v>18</v>
      </c>
      <c r="CA32" s="52">
        <f t="shared" si="18"/>
        <v>24</v>
      </c>
      <c r="CB32" s="52">
        <f t="shared" si="18"/>
        <v>24</v>
      </c>
      <c r="CC32" s="52">
        <f t="shared" si="18"/>
        <v>6</v>
      </c>
      <c r="CD32" s="52">
        <f t="shared" si="18"/>
        <v>24</v>
      </c>
      <c r="CE32" s="52">
        <f t="shared" si="18"/>
        <v>12</v>
      </c>
      <c r="CF32" s="52">
        <f t="shared" si="18"/>
        <v>12</v>
      </c>
      <c r="CG32" s="52">
        <f t="shared" si="18"/>
        <v>24</v>
      </c>
      <c r="CH32" s="52">
        <f t="shared" si="18"/>
        <v>12</v>
      </c>
      <c r="CI32" s="52">
        <f t="shared" si="18"/>
        <v>12</v>
      </c>
      <c r="CJ32" s="52">
        <f t="shared" si="18"/>
        <v>12</v>
      </c>
      <c r="CK32" s="52">
        <f t="shared" si="18"/>
        <v>96</v>
      </c>
      <c r="CL32" s="52">
        <f t="shared" si="18"/>
        <v>12</v>
      </c>
      <c r="CM32" s="52">
        <f t="shared" si="18"/>
        <v>12</v>
      </c>
      <c r="CN32" s="52">
        <f t="shared" si="18"/>
        <v>6</v>
      </c>
      <c r="CO32" s="52">
        <f t="shared" si="18"/>
        <v>24</v>
      </c>
      <c r="CP32" s="52">
        <f t="shared" si="18"/>
        <v>6</v>
      </c>
      <c r="CQ32" s="52">
        <f t="shared" si="18"/>
        <v>6</v>
      </c>
      <c r="CR32" s="52">
        <f t="shared" si="18"/>
        <v>12</v>
      </c>
      <c r="CS32" s="52">
        <f t="shared" si="18"/>
        <v>12</v>
      </c>
      <c r="CT32" s="52">
        <f t="shared" si="18"/>
        <v>2</v>
      </c>
      <c r="CU32" s="52">
        <f t="shared" si="18"/>
        <v>5</v>
      </c>
      <c r="CV32" s="52">
        <f t="shared" si="18"/>
        <v>12</v>
      </c>
      <c r="CW32" s="52">
        <f t="shared" si="18"/>
        <v>24</v>
      </c>
      <c r="CX32" s="52">
        <f t="shared" si="18"/>
        <v>6</v>
      </c>
      <c r="CY32" s="52">
        <f t="shared" si="18"/>
        <v>6</v>
      </c>
      <c r="CZ32" s="52">
        <f t="shared" si="18"/>
        <v>24</v>
      </c>
      <c r="DA32" s="52">
        <f t="shared" si="18"/>
        <v>6</v>
      </c>
      <c r="DB32" s="52">
        <f t="shared" si="18"/>
        <v>96</v>
      </c>
      <c r="DC32" s="52">
        <f t="shared" si="18"/>
        <v>12</v>
      </c>
      <c r="DD32" s="52">
        <f t="shared" si="18"/>
        <v>6</v>
      </c>
      <c r="DE32" s="52">
        <f t="shared" si="18"/>
        <v>6</v>
      </c>
      <c r="DF32" s="52">
        <f t="shared" si="18"/>
        <v>12</v>
      </c>
      <c r="DG32" s="52">
        <f t="shared" si="18"/>
        <v>12</v>
      </c>
      <c r="DH32" s="52">
        <f t="shared" si="18"/>
        <v>12</v>
      </c>
      <c r="DI32" s="52">
        <f t="shared" si="18"/>
        <v>6</v>
      </c>
      <c r="DJ32" s="52">
        <f t="shared" si="18"/>
        <v>6</v>
      </c>
    </row>
    <row r="33" ht="15.75" customHeight="1">
      <c r="B33" s="52"/>
      <c r="C33" s="52" t="s">
        <v>1790</v>
      </c>
      <c r="D33" s="65">
        <v>0.05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BK33" s="52">
        <f t="shared" ref="BK33:DJ33" si="19">ROUND(BK24*$D33,0)</f>
        <v>12</v>
      </c>
      <c r="BL33" s="52">
        <f t="shared" si="19"/>
        <v>12</v>
      </c>
      <c r="BM33" s="52">
        <f t="shared" si="19"/>
        <v>12</v>
      </c>
      <c r="BN33" s="52">
        <f t="shared" si="19"/>
        <v>12</v>
      </c>
      <c r="BO33" s="52">
        <f t="shared" si="19"/>
        <v>12</v>
      </c>
      <c r="BP33" s="52">
        <f t="shared" si="19"/>
        <v>12</v>
      </c>
      <c r="BQ33" s="52">
        <f t="shared" si="19"/>
        <v>12</v>
      </c>
      <c r="BR33" s="52">
        <f t="shared" si="19"/>
        <v>12</v>
      </c>
      <c r="BS33" s="52">
        <f t="shared" si="19"/>
        <v>12</v>
      </c>
      <c r="BT33" s="52">
        <f t="shared" si="19"/>
        <v>64</v>
      </c>
      <c r="BU33" s="52">
        <f t="shared" si="19"/>
        <v>0</v>
      </c>
      <c r="BV33" s="52">
        <f t="shared" si="19"/>
        <v>10</v>
      </c>
      <c r="BW33" s="52">
        <f t="shared" si="19"/>
        <v>8</v>
      </c>
      <c r="BX33" s="52">
        <f t="shared" si="19"/>
        <v>32</v>
      </c>
      <c r="BY33" s="52">
        <f t="shared" si="19"/>
        <v>16</v>
      </c>
      <c r="BZ33" s="52">
        <f t="shared" si="19"/>
        <v>24</v>
      </c>
      <c r="CA33" s="52">
        <f t="shared" si="19"/>
        <v>32</v>
      </c>
      <c r="CB33" s="52">
        <f t="shared" si="19"/>
        <v>32</v>
      </c>
      <c r="CC33" s="52">
        <f t="shared" si="19"/>
        <v>8</v>
      </c>
      <c r="CD33" s="52">
        <f t="shared" si="19"/>
        <v>32</v>
      </c>
      <c r="CE33" s="52">
        <f t="shared" si="19"/>
        <v>16</v>
      </c>
      <c r="CF33" s="52">
        <f t="shared" si="19"/>
        <v>16</v>
      </c>
      <c r="CG33" s="52">
        <f t="shared" si="19"/>
        <v>32</v>
      </c>
      <c r="CH33" s="52">
        <f t="shared" si="19"/>
        <v>16</v>
      </c>
      <c r="CI33" s="52">
        <f t="shared" si="19"/>
        <v>16</v>
      </c>
      <c r="CJ33" s="52">
        <f t="shared" si="19"/>
        <v>16</v>
      </c>
      <c r="CK33" s="52">
        <f t="shared" si="19"/>
        <v>128</v>
      </c>
      <c r="CL33" s="52">
        <f t="shared" si="19"/>
        <v>16</v>
      </c>
      <c r="CM33" s="52">
        <f t="shared" si="19"/>
        <v>16</v>
      </c>
      <c r="CN33" s="52">
        <f t="shared" si="19"/>
        <v>8</v>
      </c>
      <c r="CO33" s="52">
        <f t="shared" si="19"/>
        <v>32</v>
      </c>
      <c r="CP33" s="52">
        <f t="shared" si="19"/>
        <v>8</v>
      </c>
      <c r="CQ33" s="52">
        <f t="shared" si="19"/>
        <v>8</v>
      </c>
      <c r="CR33" s="52">
        <f t="shared" si="19"/>
        <v>16</v>
      </c>
      <c r="CS33" s="52">
        <f t="shared" si="19"/>
        <v>16</v>
      </c>
      <c r="CT33" s="52">
        <f t="shared" si="19"/>
        <v>3</v>
      </c>
      <c r="CU33" s="52">
        <f t="shared" si="19"/>
        <v>6</v>
      </c>
      <c r="CV33" s="52">
        <f t="shared" si="19"/>
        <v>16</v>
      </c>
      <c r="CW33" s="52">
        <f t="shared" si="19"/>
        <v>32</v>
      </c>
      <c r="CX33" s="52">
        <f t="shared" si="19"/>
        <v>8</v>
      </c>
      <c r="CY33" s="52">
        <f t="shared" si="19"/>
        <v>8</v>
      </c>
      <c r="CZ33" s="52">
        <f t="shared" si="19"/>
        <v>32</v>
      </c>
      <c r="DA33" s="52">
        <f t="shared" si="19"/>
        <v>8</v>
      </c>
      <c r="DB33" s="52">
        <f t="shared" si="19"/>
        <v>128</v>
      </c>
      <c r="DC33" s="52">
        <f t="shared" si="19"/>
        <v>16</v>
      </c>
      <c r="DD33" s="52">
        <f t="shared" si="19"/>
        <v>8</v>
      </c>
      <c r="DE33" s="52">
        <f t="shared" si="19"/>
        <v>8</v>
      </c>
      <c r="DF33" s="52">
        <f t="shared" si="19"/>
        <v>16</v>
      </c>
      <c r="DG33" s="52">
        <f t="shared" si="19"/>
        <v>16</v>
      </c>
      <c r="DH33" s="52">
        <f t="shared" si="19"/>
        <v>16</v>
      </c>
      <c r="DI33" s="52">
        <f t="shared" si="19"/>
        <v>8</v>
      </c>
      <c r="DJ33" s="52">
        <f t="shared" si="19"/>
        <v>8</v>
      </c>
    </row>
    <row r="34" ht="6.75" customHeight="1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BL34" s="55"/>
    </row>
    <row r="35" ht="15.75" customHeight="1">
      <c r="B35" s="52"/>
      <c r="C35" s="52" t="s">
        <v>1791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BL35" s="55"/>
    </row>
    <row r="36" ht="15.75" customHeight="1">
      <c r="B36" s="52" t="s">
        <v>1792</v>
      </c>
      <c r="C36" s="63">
        <v>1.0</v>
      </c>
      <c r="D36" s="52">
        <v>0.0</v>
      </c>
      <c r="E36" s="65">
        <v>0.07</v>
      </c>
      <c r="F36" s="65">
        <v>0.07</v>
      </c>
      <c r="G36" s="65">
        <v>0.07</v>
      </c>
      <c r="H36" s="65">
        <v>0.07</v>
      </c>
      <c r="I36" s="65">
        <v>0.07</v>
      </c>
      <c r="J36" s="65">
        <v>0.07</v>
      </c>
      <c r="K36" s="65">
        <v>0.07</v>
      </c>
      <c r="L36" s="65">
        <v>0.07</v>
      </c>
      <c r="M36" s="65">
        <v>0.07</v>
      </c>
      <c r="N36" s="65">
        <v>0.03</v>
      </c>
      <c r="O36" s="65">
        <v>0.03</v>
      </c>
      <c r="P36" s="65">
        <v>0.03</v>
      </c>
      <c r="Q36" s="65">
        <v>0.03</v>
      </c>
      <c r="R36" s="65">
        <v>0.03</v>
      </c>
      <c r="S36" s="65">
        <v>0.03</v>
      </c>
      <c r="T36" s="65">
        <v>0.03</v>
      </c>
      <c r="U36" s="65">
        <v>0.02</v>
      </c>
      <c r="V36" s="65">
        <v>0.02</v>
      </c>
      <c r="W36" s="65">
        <v>0.02</v>
      </c>
      <c r="X36" s="65">
        <v>0.02</v>
      </c>
      <c r="Y36" s="65">
        <v>0.02</v>
      </c>
      <c r="Z36" s="65">
        <v>0.02</v>
      </c>
      <c r="AA36" s="65">
        <v>0.02</v>
      </c>
      <c r="AB36" s="65">
        <v>0.02</v>
      </c>
      <c r="AC36" s="58"/>
      <c r="AD36" s="58"/>
      <c r="AE36" s="58"/>
      <c r="AF36" s="52"/>
      <c r="AG36" s="52"/>
      <c r="AH36" s="52"/>
      <c r="AI36" s="52"/>
      <c r="AJ36" s="52"/>
      <c r="BK36" s="52">
        <f t="shared" ref="BK36:DJ36" si="20">ROUND($BK27*E36,0)</f>
        <v>10</v>
      </c>
      <c r="BL36" s="52">
        <f t="shared" si="20"/>
        <v>10</v>
      </c>
      <c r="BM36" s="52">
        <f t="shared" si="20"/>
        <v>10</v>
      </c>
      <c r="BN36" s="52">
        <f t="shared" si="20"/>
        <v>10</v>
      </c>
      <c r="BO36" s="52">
        <f t="shared" si="20"/>
        <v>10</v>
      </c>
      <c r="BP36" s="52">
        <f t="shared" si="20"/>
        <v>10</v>
      </c>
      <c r="BQ36" s="52">
        <f t="shared" si="20"/>
        <v>10</v>
      </c>
      <c r="BR36" s="52">
        <f t="shared" si="20"/>
        <v>10</v>
      </c>
      <c r="BS36" s="52">
        <f t="shared" si="20"/>
        <v>10</v>
      </c>
      <c r="BT36" s="52">
        <f t="shared" si="20"/>
        <v>4</v>
      </c>
      <c r="BU36" s="52">
        <f t="shared" si="20"/>
        <v>4</v>
      </c>
      <c r="BV36" s="52">
        <f t="shared" si="20"/>
        <v>4</v>
      </c>
      <c r="BW36" s="52">
        <f t="shared" si="20"/>
        <v>4</v>
      </c>
      <c r="BX36" s="52">
        <f t="shared" si="20"/>
        <v>4</v>
      </c>
      <c r="BY36" s="52">
        <f t="shared" si="20"/>
        <v>4</v>
      </c>
      <c r="BZ36" s="52">
        <f t="shared" si="20"/>
        <v>4</v>
      </c>
      <c r="CA36" s="52">
        <f t="shared" si="20"/>
        <v>3</v>
      </c>
      <c r="CB36" s="52">
        <f t="shared" si="20"/>
        <v>3</v>
      </c>
      <c r="CC36" s="52">
        <f t="shared" si="20"/>
        <v>3</v>
      </c>
      <c r="CD36" s="52">
        <f t="shared" si="20"/>
        <v>3</v>
      </c>
      <c r="CE36" s="52">
        <f t="shared" si="20"/>
        <v>3</v>
      </c>
      <c r="CF36" s="52">
        <f t="shared" si="20"/>
        <v>3</v>
      </c>
      <c r="CG36" s="52">
        <f t="shared" si="20"/>
        <v>3</v>
      </c>
      <c r="CH36" s="52">
        <f t="shared" si="20"/>
        <v>3</v>
      </c>
      <c r="CI36" s="52">
        <f t="shared" si="20"/>
        <v>0</v>
      </c>
      <c r="CJ36" s="52">
        <f t="shared" si="20"/>
        <v>0</v>
      </c>
      <c r="CK36" s="52">
        <f t="shared" si="20"/>
        <v>0</v>
      </c>
      <c r="CL36" s="52">
        <f t="shared" si="20"/>
        <v>0</v>
      </c>
      <c r="CM36" s="52">
        <f t="shared" si="20"/>
        <v>0</v>
      </c>
      <c r="CN36" s="52">
        <f t="shared" si="20"/>
        <v>0</v>
      </c>
      <c r="CO36" s="52">
        <f t="shared" si="20"/>
        <v>0</v>
      </c>
      <c r="CP36" s="52">
        <f t="shared" si="20"/>
        <v>0</v>
      </c>
      <c r="CQ36" s="52">
        <f t="shared" si="20"/>
        <v>0</v>
      </c>
      <c r="CR36" s="52">
        <f t="shared" si="20"/>
        <v>0</v>
      </c>
      <c r="CS36" s="52">
        <f t="shared" si="20"/>
        <v>0</v>
      </c>
      <c r="CT36" s="52">
        <f t="shared" si="20"/>
        <v>0</v>
      </c>
      <c r="CU36" s="52">
        <f t="shared" si="20"/>
        <v>0</v>
      </c>
      <c r="CV36" s="52">
        <f t="shared" si="20"/>
        <v>0</v>
      </c>
      <c r="CW36" s="52">
        <f t="shared" si="20"/>
        <v>0</v>
      </c>
      <c r="CX36" s="52">
        <f t="shared" si="20"/>
        <v>0</v>
      </c>
      <c r="CY36" s="52">
        <f t="shared" si="20"/>
        <v>0</v>
      </c>
      <c r="CZ36" s="52">
        <f t="shared" si="20"/>
        <v>0</v>
      </c>
      <c r="DA36" s="52">
        <f t="shared" si="20"/>
        <v>0</v>
      </c>
      <c r="DB36" s="52">
        <f t="shared" si="20"/>
        <v>0</v>
      </c>
      <c r="DC36" s="52">
        <f t="shared" si="20"/>
        <v>0</v>
      </c>
      <c r="DD36" s="52">
        <f t="shared" si="20"/>
        <v>0</v>
      </c>
      <c r="DE36" s="52">
        <f t="shared" si="20"/>
        <v>0</v>
      </c>
      <c r="DF36" s="52">
        <f t="shared" si="20"/>
        <v>0</v>
      </c>
      <c r="DG36" s="52">
        <f t="shared" si="20"/>
        <v>0</v>
      </c>
      <c r="DH36" s="52">
        <f t="shared" si="20"/>
        <v>0</v>
      </c>
      <c r="DI36" s="52">
        <f t="shared" si="20"/>
        <v>0</v>
      </c>
      <c r="DJ36" s="52">
        <f t="shared" si="20"/>
        <v>0</v>
      </c>
    </row>
    <row r="37" ht="15.75" customHeight="1">
      <c r="B37" s="52" t="s">
        <v>1792</v>
      </c>
      <c r="C37" s="63">
        <v>1.0</v>
      </c>
      <c r="D37" s="52" t="s">
        <v>1785</v>
      </c>
      <c r="E37" s="65">
        <v>0.02</v>
      </c>
      <c r="F37" s="65">
        <v>0.02</v>
      </c>
      <c r="G37" s="65">
        <v>0.02</v>
      </c>
      <c r="H37" s="65">
        <v>0.02</v>
      </c>
      <c r="I37" s="65">
        <v>0.08</v>
      </c>
      <c r="J37" s="65">
        <v>0.08</v>
      </c>
      <c r="K37" s="65">
        <v>0.07</v>
      </c>
      <c r="L37" s="65">
        <v>0.07</v>
      </c>
      <c r="M37" s="65">
        <v>0.06</v>
      </c>
      <c r="N37" s="65">
        <v>0.06</v>
      </c>
      <c r="O37" s="65">
        <v>0.05</v>
      </c>
      <c r="P37" s="65">
        <v>0.05</v>
      </c>
      <c r="Q37" s="65">
        <v>0.05</v>
      </c>
      <c r="R37" s="65">
        <v>0.04</v>
      </c>
      <c r="S37" s="65">
        <v>0.04</v>
      </c>
      <c r="T37" s="65">
        <v>0.04</v>
      </c>
      <c r="U37" s="65">
        <v>0.04</v>
      </c>
      <c r="V37" s="65">
        <v>0.03</v>
      </c>
      <c r="W37" s="65">
        <v>0.03</v>
      </c>
      <c r="X37" s="65">
        <v>0.03</v>
      </c>
      <c r="Y37" s="65">
        <v>0.03</v>
      </c>
      <c r="Z37" s="65">
        <v>0.03</v>
      </c>
      <c r="AA37" s="65">
        <v>0.02</v>
      </c>
      <c r="AB37" s="65">
        <v>0.02</v>
      </c>
      <c r="AC37" s="58"/>
      <c r="AD37" s="58"/>
      <c r="AE37" s="58"/>
      <c r="AF37" s="52"/>
      <c r="AG37" s="52"/>
      <c r="AH37" s="52"/>
      <c r="AI37" s="52"/>
      <c r="AJ37" s="52"/>
      <c r="BK37" s="52">
        <f t="shared" ref="BK37:DJ37" si="21">ROUND($BK28*E37,0)</f>
        <v>0</v>
      </c>
      <c r="BL37" s="52">
        <f t="shared" si="21"/>
        <v>0</v>
      </c>
      <c r="BM37" s="52">
        <f t="shared" si="21"/>
        <v>0</v>
      </c>
      <c r="BN37" s="52">
        <f t="shared" si="21"/>
        <v>0</v>
      </c>
      <c r="BO37" s="52">
        <f t="shared" si="21"/>
        <v>1</v>
      </c>
      <c r="BP37" s="52">
        <f t="shared" si="21"/>
        <v>1</v>
      </c>
      <c r="BQ37" s="52">
        <f t="shared" si="21"/>
        <v>1</v>
      </c>
      <c r="BR37" s="52">
        <f t="shared" si="21"/>
        <v>1</v>
      </c>
      <c r="BS37" s="52">
        <f t="shared" si="21"/>
        <v>1</v>
      </c>
      <c r="BT37" s="52">
        <f t="shared" si="21"/>
        <v>1</v>
      </c>
      <c r="BU37" s="52">
        <f t="shared" si="21"/>
        <v>1</v>
      </c>
      <c r="BV37" s="52">
        <f t="shared" si="21"/>
        <v>1</v>
      </c>
      <c r="BW37" s="52">
        <f t="shared" si="21"/>
        <v>1</v>
      </c>
      <c r="BX37" s="52">
        <f t="shared" si="21"/>
        <v>1</v>
      </c>
      <c r="BY37" s="52">
        <f t="shared" si="21"/>
        <v>1</v>
      </c>
      <c r="BZ37" s="52">
        <f t="shared" si="21"/>
        <v>1</v>
      </c>
      <c r="CA37" s="52">
        <f t="shared" si="21"/>
        <v>1</v>
      </c>
      <c r="CB37" s="52">
        <f t="shared" si="21"/>
        <v>0</v>
      </c>
      <c r="CC37" s="52">
        <f t="shared" si="21"/>
        <v>0</v>
      </c>
      <c r="CD37" s="52">
        <f t="shared" si="21"/>
        <v>0</v>
      </c>
      <c r="CE37" s="52">
        <f t="shared" si="21"/>
        <v>0</v>
      </c>
      <c r="CF37" s="52">
        <f t="shared" si="21"/>
        <v>0</v>
      </c>
      <c r="CG37" s="52">
        <f t="shared" si="21"/>
        <v>0</v>
      </c>
      <c r="CH37" s="52">
        <f t="shared" si="21"/>
        <v>0</v>
      </c>
      <c r="CI37" s="52">
        <f t="shared" si="21"/>
        <v>0</v>
      </c>
      <c r="CJ37" s="52">
        <f t="shared" si="21"/>
        <v>0</v>
      </c>
      <c r="CK37" s="52">
        <f t="shared" si="21"/>
        <v>0</v>
      </c>
      <c r="CL37" s="52">
        <f t="shared" si="21"/>
        <v>0</v>
      </c>
      <c r="CM37" s="52">
        <f t="shared" si="21"/>
        <v>0</v>
      </c>
      <c r="CN37" s="52">
        <f t="shared" si="21"/>
        <v>0</v>
      </c>
      <c r="CO37" s="52">
        <f t="shared" si="21"/>
        <v>0</v>
      </c>
      <c r="CP37" s="52">
        <f t="shared" si="21"/>
        <v>0</v>
      </c>
      <c r="CQ37" s="52">
        <f t="shared" si="21"/>
        <v>0</v>
      </c>
      <c r="CR37" s="52">
        <f t="shared" si="21"/>
        <v>0</v>
      </c>
      <c r="CS37" s="52">
        <f t="shared" si="21"/>
        <v>0</v>
      </c>
      <c r="CT37" s="52">
        <f t="shared" si="21"/>
        <v>0</v>
      </c>
      <c r="CU37" s="52">
        <f t="shared" si="21"/>
        <v>0</v>
      </c>
      <c r="CV37" s="52">
        <f t="shared" si="21"/>
        <v>0</v>
      </c>
      <c r="CW37" s="52">
        <f t="shared" si="21"/>
        <v>0</v>
      </c>
      <c r="CX37" s="52">
        <f t="shared" si="21"/>
        <v>0</v>
      </c>
      <c r="CY37" s="52">
        <f t="shared" si="21"/>
        <v>0</v>
      </c>
      <c r="CZ37" s="52">
        <f t="shared" si="21"/>
        <v>0</v>
      </c>
      <c r="DA37" s="52">
        <f t="shared" si="21"/>
        <v>0</v>
      </c>
      <c r="DB37" s="52">
        <f t="shared" si="21"/>
        <v>0</v>
      </c>
      <c r="DC37" s="52">
        <f t="shared" si="21"/>
        <v>0</v>
      </c>
      <c r="DD37" s="52">
        <f t="shared" si="21"/>
        <v>0</v>
      </c>
      <c r="DE37" s="52">
        <f t="shared" si="21"/>
        <v>0</v>
      </c>
      <c r="DF37" s="52">
        <f t="shared" si="21"/>
        <v>0</v>
      </c>
      <c r="DG37" s="52">
        <f t="shared" si="21"/>
        <v>0</v>
      </c>
      <c r="DH37" s="52">
        <f t="shared" si="21"/>
        <v>0</v>
      </c>
      <c r="DI37" s="52">
        <f t="shared" si="21"/>
        <v>0</v>
      </c>
      <c r="DJ37" s="52">
        <f t="shared" si="21"/>
        <v>0</v>
      </c>
    </row>
    <row r="38" ht="15.75" customHeight="1">
      <c r="B38" s="52" t="s">
        <v>1792</v>
      </c>
      <c r="C38" s="63">
        <v>1.0</v>
      </c>
      <c r="D38" s="52" t="s">
        <v>1786</v>
      </c>
      <c r="E38" s="58"/>
      <c r="F38" s="58"/>
      <c r="G38" s="58"/>
      <c r="H38" s="65">
        <v>0.08</v>
      </c>
      <c r="I38" s="65">
        <v>0.08</v>
      </c>
      <c r="J38" s="65">
        <v>0.07</v>
      </c>
      <c r="K38" s="65">
        <v>0.07</v>
      </c>
      <c r="L38" s="65">
        <v>0.06</v>
      </c>
      <c r="M38" s="65">
        <v>0.06</v>
      </c>
      <c r="N38" s="65">
        <v>0.05</v>
      </c>
      <c r="O38" s="65">
        <v>0.05</v>
      </c>
      <c r="P38" s="65">
        <v>0.05</v>
      </c>
      <c r="Q38" s="65">
        <v>0.04</v>
      </c>
      <c r="R38" s="65">
        <v>0.04</v>
      </c>
      <c r="S38" s="65">
        <v>0.04</v>
      </c>
      <c r="T38" s="65">
        <v>0.04</v>
      </c>
      <c r="U38" s="65">
        <v>0.03</v>
      </c>
      <c r="V38" s="65">
        <v>0.03</v>
      </c>
      <c r="W38" s="65">
        <v>0.03</v>
      </c>
      <c r="X38" s="65">
        <v>0.03</v>
      </c>
      <c r="Y38" s="65">
        <v>0.03</v>
      </c>
      <c r="Z38" s="65">
        <v>0.02</v>
      </c>
      <c r="AA38" s="65">
        <v>0.02</v>
      </c>
      <c r="AB38" s="65">
        <v>0.03</v>
      </c>
      <c r="AC38" s="65">
        <v>0.03</v>
      </c>
      <c r="AD38" s="65">
        <v>0.02</v>
      </c>
      <c r="AE38" s="58"/>
      <c r="AF38" s="52"/>
      <c r="AG38" s="52"/>
      <c r="AH38" s="52"/>
      <c r="AI38" s="52"/>
      <c r="AJ38" s="52"/>
      <c r="BK38" s="52">
        <f t="shared" ref="BK38:DJ38" si="22">ROUND($BK29*E38,0)</f>
        <v>0</v>
      </c>
      <c r="BL38" s="52">
        <f t="shared" si="22"/>
        <v>0</v>
      </c>
      <c r="BM38" s="52">
        <f t="shared" si="22"/>
        <v>0</v>
      </c>
      <c r="BN38" s="52">
        <f t="shared" si="22"/>
        <v>2</v>
      </c>
      <c r="BO38" s="52">
        <f t="shared" si="22"/>
        <v>2</v>
      </c>
      <c r="BP38" s="52">
        <f t="shared" si="22"/>
        <v>2</v>
      </c>
      <c r="BQ38" s="52">
        <f t="shared" si="22"/>
        <v>2</v>
      </c>
      <c r="BR38" s="52">
        <f t="shared" si="22"/>
        <v>2</v>
      </c>
      <c r="BS38" s="52">
        <f t="shared" si="22"/>
        <v>2</v>
      </c>
      <c r="BT38" s="52">
        <f t="shared" si="22"/>
        <v>1</v>
      </c>
      <c r="BU38" s="52">
        <f t="shared" si="22"/>
        <v>1</v>
      </c>
      <c r="BV38" s="52">
        <f t="shared" si="22"/>
        <v>1</v>
      </c>
      <c r="BW38" s="52">
        <f t="shared" si="22"/>
        <v>1</v>
      </c>
      <c r="BX38" s="52">
        <f t="shared" si="22"/>
        <v>1</v>
      </c>
      <c r="BY38" s="52">
        <f t="shared" si="22"/>
        <v>1</v>
      </c>
      <c r="BZ38" s="52">
        <f t="shared" si="22"/>
        <v>1</v>
      </c>
      <c r="CA38" s="52">
        <f t="shared" si="22"/>
        <v>1</v>
      </c>
      <c r="CB38" s="52">
        <f t="shared" si="22"/>
        <v>1</v>
      </c>
      <c r="CC38" s="52">
        <f t="shared" si="22"/>
        <v>1</v>
      </c>
      <c r="CD38" s="52">
        <f t="shared" si="22"/>
        <v>1</v>
      </c>
      <c r="CE38" s="52">
        <f t="shared" si="22"/>
        <v>1</v>
      </c>
      <c r="CF38" s="52">
        <f t="shared" si="22"/>
        <v>1</v>
      </c>
      <c r="CG38" s="52">
        <f t="shared" si="22"/>
        <v>1</v>
      </c>
      <c r="CH38" s="52">
        <f t="shared" si="22"/>
        <v>1</v>
      </c>
      <c r="CI38" s="52">
        <f t="shared" si="22"/>
        <v>1</v>
      </c>
      <c r="CJ38" s="52">
        <f t="shared" si="22"/>
        <v>1</v>
      </c>
      <c r="CK38" s="52">
        <f t="shared" si="22"/>
        <v>0</v>
      </c>
      <c r="CL38" s="52">
        <f t="shared" si="22"/>
        <v>0</v>
      </c>
      <c r="CM38" s="52">
        <f t="shared" si="22"/>
        <v>0</v>
      </c>
      <c r="CN38" s="52">
        <f t="shared" si="22"/>
        <v>0</v>
      </c>
      <c r="CO38" s="52">
        <f t="shared" si="22"/>
        <v>0</v>
      </c>
      <c r="CP38" s="52">
        <f t="shared" si="22"/>
        <v>0</v>
      </c>
      <c r="CQ38" s="52">
        <f t="shared" si="22"/>
        <v>0</v>
      </c>
      <c r="CR38" s="52">
        <f t="shared" si="22"/>
        <v>0</v>
      </c>
      <c r="CS38" s="52">
        <f t="shared" si="22"/>
        <v>0</v>
      </c>
      <c r="CT38" s="52">
        <f t="shared" si="22"/>
        <v>0</v>
      </c>
      <c r="CU38" s="52">
        <f t="shared" si="22"/>
        <v>0</v>
      </c>
      <c r="CV38" s="52">
        <f t="shared" si="22"/>
        <v>0</v>
      </c>
      <c r="CW38" s="52">
        <f t="shared" si="22"/>
        <v>0</v>
      </c>
      <c r="CX38" s="52">
        <f t="shared" si="22"/>
        <v>0</v>
      </c>
      <c r="CY38" s="52">
        <f t="shared" si="22"/>
        <v>0</v>
      </c>
      <c r="CZ38" s="52">
        <f t="shared" si="22"/>
        <v>0</v>
      </c>
      <c r="DA38" s="52">
        <f t="shared" si="22"/>
        <v>0</v>
      </c>
      <c r="DB38" s="52">
        <f t="shared" si="22"/>
        <v>0</v>
      </c>
      <c r="DC38" s="52">
        <f t="shared" si="22"/>
        <v>0</v>
      </c>
      <c r="DD38" s="52">
        <f t="shared" si="22"/>
        <v>0</v>
      </c>
      <c r="DE38" s="52">
        <f t="shared" si="22"/>
        <v>0</v>
      </c>
      <c r="DF38" s="52">
        <f t="shared" si="22"/>
        <v>0</v>
      </c>
      <c r="DG38" s="52">
        <f t="shared" si="22"/>
        <v>0</v>
      </c>
      <c r="DH38" s="52">
        <f t="shared" si="22"/>
        <v>0</v>
      </c>
      <c r="DI38" s="52">
        <f t="shared" si="22"/>
        <v>0</v>
      </c>
      <c r="DJ38" s="52">
        <f t="shared" si="22"/>
        <v>0</v>
      </c>
    </row>
    <row r="39" ht="15.75" customHeight="1">
      <c r="B39" s="52" t="s">
        <v>1792</v>
      </c>
      <c r="C39" s="63">
        <v>1.0</v>
      </c>
      <c r="D39" s="52" t="s">
        <v>1787</v>
      </c>
      <c r="E39" s="58"/>
      <c r="F39" s="58"/>
      <c r="G39" s="58"/>
      <c r="H39" s="58"/>
      <c r="I39" s="58"/>
      <c r="J39" s="65">
        <v>0.08</v>
      </c>
      <c r="K39" s="65">
        <v>0.08</v>
      </c>
      <c r="L39" s="65">
        <v>0.07</v>
      </c>
      <c r="M39" s="65">
        <v>0.07</v>
      </c>
      <c r="N39" s="65">
        <v>0.06</v>
      </c>
      <c r="O39" s="65">
        <v>0.06</v>
      </c>
      <c r="P39" s="65">
        <v>0.05</v>
      </c>
      <c r="Q39" s="65">
        <v>0.05</v>
      </c>
      <c r="R39" s="65">
        <v>0.05</v>
      </c>
      <c r="S39" s="65">
        <v>0.04</v>
      </c>
      <c r="T39" s="65">
        <v>0.04</v>
      </c>
      <c r="U39" s="65">
        <v>0.04</v>
      </c>
      <c r="V39" s="65">
        <v>0.04</v>
      </c>
      <c r="W39" s="65">
        <v>0.03</v>
      </c>
      <c r="X39" s="65">
        <v>0.03</v>
      </c>
      <c r="Y39" s="65">
        <v>0.03</v>
      </c>
      <c r="Z39" s="65">
        <v>0.03</v>
      </c>
      <c r="AA39" s="65">
        <v>0.03</v>
      </c>
      <c r="AB39" s="65">
        <v>0.02</v>
      </c>
      <c r="AC39" s="65">
        <v>0.02</v>
      </c>
      <c r="AD39" s="65">
        <v>0.03</v>
      </c>
      <c r="AE39" s="58"/>
      <c r="AF39" s="52"/>
      <c r="AG39" s="52"/>
      <c r="AH39" s="52"/>
      <c r="AI39" s="52"/>
      <c r="AJ39" s="52"/>
      <c r="BK39" s="52">
        <f t="shared" ref="BK39:DJ39" si="23">ROUND($BK30*E39,0)</f>
        <v>0</v>
      </c>
      <c r="BL39" s="52">
        <f t="shared" si="23"/>
        <v>0</v>
      </c>
      <c r="BM39" s="52">
        <f t="shared" si="23"/>
        <v>0</v>
      </c>
      <c r="BN39" s="52">
        <f t="shared" si="23"/>
        <v>0</v>
      </c>
      <c r="BO39" s="52">
        <f t="shared" si="23"/>
        <v>0</v>
      </c>
      <c r="BP39" s="52">
        <f t="shared" si="23"/>
        <v>0</v>
      </c>
      <c r="BQ39" s="52">
        <f t="shared" si="23"/>
        <v>0</v>
      </c>
      <c r="BR39" s="52">
        <f t="shared" si="23"/>
        <v>0</v>
      </c>
      <c r="BS39" s="52">
        <f t="shared" si="23"/>
        <v>0</v>
      </c>
      <c r="BT39" s="52">
        <f t="shared" si="23"/>
        <v>0</v>
      </c>
      <c r="BU39" s="52">
        <f t="shared" si="23"/>
        <v>0</v>
      </c>
      <c r="BV39" s="52">
        <f t="shared" si="23"/>
        <v>0</v>
      </c>
      <c r="BW39" s="52">
        <f t="shared" si="23"/>
        <v>0</v>
      </c>
      <c r="BX39" s="52">
        <f t="shared" si="23"/>
        <v>0</v>
      </c>
      <c r="BY39" s="52">
        <f t="shared" si="23"/>
        <v>0</v>
      </c>
      <c r="BZ39" s="52">
        <f t="shared" si="23"/>
        <v>0</v>
      </c>
      <c r="CA39" s="52">
        <f t="shared" si="23"/>
        <v>0</v>
      </c>
      <c r="CB39" s="52">
        <f t="shared" si="23"/>
        <v>0</v>
      </c>
      <c r="CC39" s="52">
        <f t="shared" si="23"/>
        <v>0</v>
      </c>
      <c r="CD39" s="52">
        <f t="shared" si="23"/>
        <v>0</v>
      </c>
      <c r="CE39" s="52">
        <f t="shared" si="23"/>
        <v>0</v>
      </c>
      <c r="CF39" s="52">
        <f t="shared" si="23"/>
        <v>0</v>
      </c>
      <c r="CG39" s="52">
        <f t="shared" si="23"/>
        <v>0</v>
      </c>
      <c r="CH39" s="52">
        <f t="shared" si="23"/>
        <v>0</v>
      </c>
      <c r="CI39" s="52">
        <f t="shared" si="23"/>
        <v>0</v>
      </c>
      <c r="CJ39" s="52">
        <f t="shared" si="23"/>
        <v>0</v>
      </c>
      <c r="CK39" s="52">
        <f t="shared" si="23"/>
        <v>0</v>
      </c>
      <c r="CL39" s="52">
        <f t="shared" si="23"/>
        <v>0</v>
      </c>
      <c r="CM39" s="52">
        <f t="shared" si="23"/>
        <v>0</v>
      </c>
      <c r="CN39" s="52">
        <f t="shared" si="23"/>
        <v>0</v>
      </c>
      <c r="CO39" s="52">
        <f t="shared" si="23"/>
        <v>0</v>
      </c>
      <c r="CP39" s="52">
        <f t="shared" si="23"/>
        <v>0</v>
      </c>
      <c r="CQ39" s="52">
        <f t="shared" si="23"/>
        <v>0</v>
      </c>
      <c r="CR39" s="52">
        <f t="shared" si="23"/>
        <v>0</v>
      </c>
      <c r="CS39" s="52">
        <f t="shared" si="23"/>
        <v>0</v>
      </c>
      <c r="CT39" s="52">
        <f t="shared" si="23"/>
        <v>0</v>
      </c>
      <c r="CU39" s="52">
        <f t="shared" si="23"/>
        <v>0</v>
      </c>
      <c r="CV39" s="52">
        <f t="shared" si="23"/>
        <v>0</v>
      </c>
      <c r="CW39" s="52">
        <f t="shared" si="23"/>
        <v>0</v>
      </c>
      <c r="CX39" s="52">
        <f t="shared" si="23"/>
        <v>0</v>
      </c>
      <c r="CY39" s="52">
        <f t="shared" si="23"/>
        <v>0</v>
      </c>
      <c r="CZ39" s="52">
        <f t="shared" si="23"/>
        <v>0</v>
      </c>
      <c r="DA39" s="52">
        <f t="shared" si="23"/>
        <v>0</v>
      </c>
      <c r="DB39" s="52">
        <f t="shared" si="23"/>
        <v>0</v>
      </c>
      <c r="DC39" s="52">
        <f t="shared" si="23"/>
        <v>0</v>
      </c>
      <c r="DD39" s="52">
        <f t="shared" si="23"/>
        <v>0</v>
      </c>
      <c r="DE39" s="52">
        <f t="shared" si="23"/>
        <v>0</v>
      </c>
      <c r="DF39" s="52">
        <f t="shared" si="23"/>
        <v>0</v>
      </c>
      <c r="DG39" s="52">
        <f t="shared" si="23"/>
        <v>0</v>
      </c>
      <c r="DH39" s="52">
        <f t="shared" si="23"/>
        <v>0</v>
      </c>
      <c r="DI39" s="52">
        <f t="shared" si="23"/>
        <v>0</v>
      </c>
      <c r="DJ39" s="52">
        <f t="shared" si="23"/>
        <v>0</v>
      </c>
    </row>
    <row r="40" ht="15.75" customHeight="1">
      <c r="B40" s="52" t="s">
        <v>1792</v>
      </c>
      <c r="C40" s="63">
        <v>1.0</v>
      </c>
      <c r="D40" s="52" t="s">
        <v>1788</v>
      </c>
      <c r="E40" s="58"/>
      <c r="F40" s="58"/>
      <c r="G40" s="58"/>
      <c r="H40" s="58"/>
      <c r="I40" s="58"/>
      <c r="J40" s="58"/>
      <c r="K40" s="65">
        <v>0.08</v>
      </c>
      <c r="L40" s="65">
        <v>0.08</v>
      </c>
      <c r="M40" s="65">
        <v>0.07</v>
      </c>
      <c r="N40" s="65">
        <v>0.07</v>
      </c>
      <c r="O40" s="65">
        <v>0.06</v>
      </c>
      <c r="P40" s="65">
        <v>0.06</v>
      </c>
      <c r="Q40" s="65">
        <v>0.05</v>
      </c>
      <c r="R40" s="65">
        <v>0.05</v>
      </c>
      <c r="S40" s="65">
        <v>0.05</v>
      </c>
      <c r="T40" s="65">
        <v>0.04</v>
      </c>
      <c r="U40" s="65">
        <v>0.04</v>
      </c>
      <c r="V40" s="65">
        <v>0.04</v>
      </c>
      <c r="W40" s="65">
        <v>0.04</v>
      </c>
      <c r="X40" s="65">
        <v>0.03</v>
      </c>
      <c r="Y40" s="65">
        <v>0.03</v>
      </c>
      <c r="Z40" s="65">
        <v>0.03</v>
      </c>
      <c r="AA40" s="65">
        <v>0.03</v>
      </c>
      <c r="AB40" s="65">
        <v>0.03</v>
      </c>
      <c r="AC40" s="65">
        <v>0.02</v>
      </c>
      <c r="AD40" s="65">
        <v>0.02</v>
      </c>
      <c r="AE40" s="58"/>
      <c r="AF40" s="52"/>
      <c r="AG40" s="52"/>
      <c r="AH40" s="52"/>
      <c r="AI40" s="52"/>
      <c r="AJ40" s="52"/>
      <c r="BK40" s="52">
        <f t="shared" ref="BK40:DJ40" si="24">ROUND($BK31*E40,0)</f>
        <v>0</v>
      </c>
      <c r="BL40" s="52">
        <f t="shared" si="24"/>
        <v>0</v>
      </c>
      <c r="BM40" s="52">
        <f t="shared" si="24"/>
        <v>0</v>
      </c>
      <c r="BN40" s="52">
        <f t="shared" si="24"/>
        <v>0</v>
      </c>
      <c r="BO40" s="52">
        <f t="shared" si="24"/>
        <v>0</v>
      </c>
      <c r="BP40" s="52">
        <f t="shared" si="24"/>
        <v>0</v>
      </c>
      <c r="BQ40" s="52">
        <f t="shared" si="24"/>
        <v>0</v>
      </c>
      <c r="BR40" s="52">
        <f t="shared" si="24"/>
        <v>0</v>
      </c>
      <c r="BS40" s="52">
        <f t="shared" si="24"/>
        <v>0</v>
      </c>
      <c r="BT40" s="52">
        <f t="shared" si="24"/>
        <v>0</v>
      </c>
      <c r="BU40" s="52">
        <f t="shared" si="24"/>
        <v>0</v>
      </c>
      <c r="BV40" s="52">
        <f t="shared" si="24"/>
        <v>0</v>
      </c>
      <c r="BW40" s="52">
        <f t="shared" si="24"/>
        <v>0</v>
      </c>
      <c r="BX40" s="52">
        <f t="shared" si="24"/>
        <v>0</v>
      </c>
      <c r="BY40" s="52">
        <f t="shared" si="24"/>
        <v>0</v>
      </c>
      <c r="BZ40" s="52">
        <f t="shared" si="24"/>
        <v>0</v>
      </c>
      <c r="CA40" s="52">
        <f t="shared" si="24"/>
        <v>0</v>
      </c>
      <c r="CB40" s="52">
        <f t="shared" si="24"/>
        <v>0</v>
      </c>
      <c r="CC40" s="52">
        <f t="shared" si="24"/>
        <v>0</v>
      </c>
      <c r="CD40" s="52">
        <f t="shared" si="24"/>
        <v>0</v>
      </c>
      <c r="CE40" s="52">
        <f t="shared" si="24"/>
        <v>0</v>
      </c>
      <c r="CF40" s="52">
        <f t="shared" si="24"/>
        <v>0</v>
      </c>
      <c r="CG40" s="52">
        <f t="shared" si="24"/>
        <v>0</v>
      </c>
      <c r="CH40" s="52">
        <f t="shared" si="24"/>
        <v>0</v>
      </c>
      <c r="CI40" s="52">
        <f t="shared" si="24"/>
        <v>0</v>
      </c>
      <c r="CJ40" s="52">
        <f t="shared" si="24"/>
        <v>0</v>
      </c>
      <c r="CK40" s="52">
        <f t="shared" si="24"/>
        <v>0</v>
      </c>
      <c r="CL40" s="52">
        <f t="shared" si="24"/>
        <v>0</v>
      </c>
      <c r="CM40" s="52">
        <f t="shared" si="24"/>
        <v>0</v>
      </c>
      <c r="CN40" s="52">
        <f t="shared" si="24"/>
        <v>0</v>
      </c>
      <c r="CO40" s="52">
        <f t="shared" si="24"/>
        <v>0</v>
      </c>
      <c r="CP40" s="52">
        <f t="shared" si="24"/>
        <v>0</v>
      </c>
      <c r="CQ40" s="52">
        <f t="shared" si="24"/>
        <v>0</v>
      </c>
      <c r="CR40" s="52">
        <f t="shared" si="24"/>
        <v>0</v>
      </c>
      <c r="CS40" s="52">
        <f t="shared" si="24"/>
        <v>0</v>
      </c>
      <c r="CT40" s="52">
        <f t="shared" si="24"/>
        <v>0</v>
      </c>
      <c r="CU40" s="52">
        <f t="shared" si="24"/>
        <v>0</v>
      </c>
      <c r="CV40" s="52">
        <f t="shared" si="24"/>
        <v>0</v>
      </c>
      <c r="CW40" s="52">
        <f t="shared" si="24"/>
        <v>0</v>
      </c>
      <c r="CX40" s="52">
        <f t="shared" si="24"/>
        <v>0</v>
      </c>
      <c r="CY40" s="52">
        <f t="shared" si="24"/>
        <v>0</v>
      </c>
      <c r="CZ40" s="52">
        <f t="shared" si="24"/>
        <v>0</v>
      </c>
      <c r="DA40" s="52">
        <f t="shared" si="24"/>
        <v>0</v>
      </c>
      <c r="DB40" s="52">
        <f t="shared" si="24"/>
        <v>0</v>
      </c>
      <c r="DC40" s="52">
        <f t="shared" si="24"/>
        <v>0</v>
      </c>
      <c r="DD40" s="52">
        <f t="shared" si="24"/>
        <v>0</v>
      </c>
      <c r="DE40" s="52">
        <f t="shared" si="24"/>
        <v>0</v>
      </c>
      <c r="DF40" s="52">
        <f t="shared" si="24"/>
        <v>0</v>
      </c>
      <c r="DG40" s="52">
        <f t="shared" si="24"/>
        <v>0</v>
      </c>
      <c r="DH40" s="52">
        <f t="shared" si="24"/>
        <v>0</v>
      </c>
      <c r="DI40" s="52">
        <f t="shared" si="24"/>
        <v>0</v>
      </c>
      <c r="DJ40" s="52">
        <f t="shared" si="24"/>
        <v>0</v>
      </c>
    </row>
    <row r="41" ht="15.75" customHeight="1">
      <c r="B41" s="52" t="s">
        <v>1792</v>
      </c>
      <c r="C41" s="63">
        <v>1.0</v>
      </c>
      <c r="D41" s="52" t="s">
        <v>1789</v>
      </c>
      <c r="E41" s="58"/>
      <c r="F41" s="58"/>
      <c r="G41" s="58"/>
      <c r="H41" s="58"/>
      <c r="I41" s="58"/>
      <c r="J41" s="58"/>
      <c r="K41" s="58"/>
      <c r="L41" s="65">
        <v>0.08</v>
      </c>
      <c r="M41" s="65">
        <v>0.08</v>
      </c>
      <c r="N41" s="65">
        <v>0.07</v>
      </c>
      <c r="O41" s="65">
        <v>0.07</v>
      </c>
      <c r="P41" s="65">
        <v>0.06</v>
      </c>
      <c r="Q41" s="65">
        <v>0.06</v>
      </c>
      <c r="R41" s="65">
        <v>0.05</v>
      </c>
      <c r="S41" s="65">
        <v>0.05</v>
      </c>
      <c r="T41" s="65">
        <v>0.05</v>
      </c>
      <c r="U41" s="65">
        <v>0.04</v>
      </c>
      <c r="V41" s="65">
        <v>0.04</v>
      </c>
      <c r="W41" s="65">
        <v>0.04</v>
      </c>
      <c r="X41" s="65">
        <v>0.04</v>
      </c>
      <c r="Y41" s="65">
        <v>0.03</v>
      </c>
      <c r="Z41" s="65">
        <v>0.03</v>
      </c>
      <c r="AA41" s="65">
        <v>0.03</v>
      </c>
      <c r="AB41" s="65">
        <v>0.03</v>
      </c>
      <c r="AC41" s="65">
        <v>0.03</v>
      </c>
      <c r="AD41" s="65">
        <v>0.02</v>
      </c>
      <c r="AE41" s="58"/>
      <c r="AF41" s="52"/>
      <c r="AG41" s="52"/>
      <c r="AH41" s="52"/>
      <c r="AI41" s="52"/>
      <c r="AJ41" s="52"/>
      <c r="BK41" s="52">
        <f t="shared" ref="BK41:DJ41" si="25">ROUND($BK32*E41,0)</f>
        <v>0</v>
      </c>
      <c r="BL41" s="52">
        <f t="shared" si="25"/>
        <v>0</v>
      </c>
      <c r="BM41" s="52">
        <f t="shared" si="25"/>
        <v>0</v>
      </c>
      <c r="BN41" s="52">
        <f t="shared" si="25"/>
        <v>0</v>
      </c>
      <c r="BO41" s="52">
        <f t="shared" si="25"/>
        <v>0</v>
      </c>
      <c r="BP41" s="52">
        <f t="shared" si="25"/>
        <v>0</v>
      </c>
      <c r="BQ41" s="52">
        <f t="shared" si="25"/>
        <v>0</v>
      </c>
      <c r="BR41" s="52">
        <f t="shared" si="25"/>
        <v>1</v>
      </c>
      <c r="BS41" s="52">
        <f t="shared" si="25"/>
        <v>1</v>
      </c>
      <c r="BT41" s="52">
        <f t="shared" si="25"/>
        <v>1</v>
      </c>
      <c r="BU41" s="52">
        <f t="shared" si="25"/>
        <v>1</v>
      </c>
      <c r="BV41" s="52">
        <f t="shared" si="25"/>
        <v>1</v>
      </c>
      <c r="BW41" s="52">
        <f t="shared" si="25"/>
        <v>1</v>
      </c>
      <c r="BX41" s="52">
        <f t="shared" si="25"/>
        <v>0</v>
      </c>
      <c r="BY41" s="52">
        <f t="shared" si="25"/>
        <v>0</v>
      </c>
      <c r="BZ41" s="52">
        <f t="shared" si="25"/>
        <v>0</v>
      </c>
      <c r="CA41" s="52">
        <f t="shared" si="25"/>
        <v>0</v>
      </c>
      <c r="CB41" s="52">
        <f t="shared" si="25"/>
        <v>0</v>
      </c>
      <c r="CC41" s="52">
        <f t="shared" si="25"/>
        <v>0</v>
      </c>
      <c r="CD41" s="52">
        <f t="shared" si="25"/>
        <v>0</v>
      </c>
      <c r="CE41" s="52">
        <f t="shared" si="25"/>
        <v>0</v>
      </c>
      <c r="CF41" s="52">
        <f t="shared" si="25"/>
        <v>0</v>
      </c>
      <c r="CG41" s="52">
        <f t="shared" si="25"/>
        <v>0</v>
      </c>
      <c r="CH41" s="52">
        <f t="shared" si="25"/>
        <v>0</v>
      </c>
      <c r="CI41" s="52">
        <f t="shared" si="25"/>
        <v>0</v>
      </c>
      <c r="CJ41" s="52">
        <f t="shared" si="25"/>
        <v>0</v>
      </c>
      <c r="CK41" s="52">
        <f t="shared" si="25"/>
        <v>0</v>
      </c>
      <c r="CL41" s="52">
        <f t="shared" si="25"/>
        <v>0</v>
      </c>
      <c r="CM41" s="52">
        <f t="shared" si="25"/>
        <v>0</v>
      </c>
      <c r="CN41" s="52">
        <f t="shared" si="25"/>
        <v>0</v>
      </c>
      <c r="CO41" s="52">
        <f t="shared" si="25"/>
        <v>0</v>
      </c>
      <c r="CP41" s="52">
        <f t="shared" si="25"/>
        <v>0</v>
      </c>
      <c r="CQ41" s="52">
        <f t="shared" si="25"/>
        <v>0</v>
      </c>
      <c r="CR41" s="52">
        <f t="shared" si="25"/>
        <v>0</v>
      </c>
      <c r="CS41" s="52">
        <f t="shared" si="25"/>
        <v>0</v>
      </c>
      <c r="CT41" s="52">
        <f t="shared" si="25"/>
        <v>0</v>
      </c>
      <c r="CU41" s="52">
        <f t="shared" si="25"/>
        <v>0</v>
      </c>
      <c r="CV41" s="52">
        <f t="shared" si="25"/>
        <v>0</v>
      </c>
      <c r="CW41" s="52">
        <f t="shared" si="25"/>
        <v>0</v>
      </c>
      <c r="CX41" s="52">
        <f t="shared" si="25"/>
        <v>0</v>
      </c>
      <c r="CY41" s="52">
        <f t="shared" si="25"/>
        <v>0</v>
      </c>
      <c r="CZ41" s="52">
        <f t="shared" si="25"/>
        <v>0</v>
      </c>
      <c r="DA41" s="52">
        <f t="shared" si="25"/>
        <v>0</v>
      </c>
      <c r="DB41" s="52">
        <f t="shared" si="25"/>
        <v>0</v>
      </c>
      <c r="DC41" s="52">
        <f t="shared" si="25"/>
        <v>0</v>
      </c>
      <c r="DD41" s="52">
        <f t="shared" si="25"/>
        <v>0</v>
      </c>
      <c r="DE41" s="52">
        <f t="shared" si="25"/>
        <v>0</v>
      </c>
      <c r="DF41" s="52">
        <f t="shared" si="25"/>
        <v>0</v>
      </c>
      <c r="DG41" s="52">
        <f t="shared" si="25"/>
        <v>0</v>
      </c>
      <c r="DH41" s="52">
        <f t="shared" si="25"/>
        <v>0</v>
      </c>
      <c r="DI41" s="52">
        <f t="shared" si="25"/>
        <v>0</v>
      </c>
      <c r="DJ41" s="52">
        <f t="shared" si="25"/>
        <v>0</v>
      </c>
    </row>
    <row r="42" ht="15.75" customHeight="1">
      <c r="B42" s="52" t="s">
        <v>1792</v>
      </c>
      <c r="C42" s="63">
        <v>1.0</v>
      </c>
      <c r="D42" s="52" t="s">
        <v>1790</v>
      </c>
      <c r="E42" s="58"/>
      <c r="F42" s="58"/>
      <c r="G42" s="58"/>
      <c r="H42" s="58"/>
      <c r="I42" s="58"/>
      <c r="J42" s="58"/>
      <c r="K42" s="58"/>
      <c r="L42" s="58"/>
      <c r="M42" s="58"/>
      <c r="N42" s="65">
        <v>0.08</v>
      </c>
      <c r="O42" s="65">
        <v>0.08</v>
      </c>
      <c r="P42" s="65">
        <v>0.07</v>
      </c>
      <c r="Q42" s="65">
        <v>0.07</v>
      </c>
      <c r="R42" s="65">
        <v>0.06</v>
      </c>
      <c r="S42" s="65">
        <v>0.06</v>
      </c>
      <c r="T42" s="65">
        <v>0.05</v>
      </c>
      <c r="U42" s="65">
        <v>0.05</v>
      </c>
      <c r="V42" s="65">
        <v>0.05</v>
      </c>
      <c r="W42" s="65">
        <v>0.04</v>
      </c>
      <c r="X42" s="65">
        <v>0.04</v>
      </c>
      <c r="Y42" s="65">
        <v>0.04</v>
      </c>
      <c r="Z42" s="65">
        <v>0.04</v>
      </c>
      <c r="AA42" s="65">
        <v>0.03</v>
      </c>
      <c r="AB42" s="65">
        <v>0.03</v>
      </c>
      <c r="AC42" s="65">
        <v>0.03</v>
      </c>
      <c r="AD42" s="65">
        <v>0.03</v>
      </c>
      <c r="AE42" s="58"/>
      <c r="AF42" s="52"/>
      <c r="AG42" s="52"/>
      <c r="AH42" s="52"/>
      <c r="AI42" s="52"/>
      <c r="AJ42" s="52"/>
      <c r="BK42" s="52">
        <f t="shared" ref="BK42:DJ42" si="26">ROUND($BK33*E42,0)</f>
        <v>0</v>
      </c>
      <c r="BL42" s="52">
        <f t="shared" si="26"/>
        <v>0</v>
      </c>
      <c r="BM42" s="52">
        <f t="shared" si="26"/>
        <v>0</v>
      </c>
      <c r="BN42" s="52">
        <f t="shared" si="26"/>
        <v>0</v>
      </c>
      <c r="BO42" s="52">
        <f t="shared" si="26"/>
        <v>0</v>
      </c>
      <c r="BP42" s="52">
        <f t="shared" si="26"/>
        <v>0</v>
      </c>
      <c r="BQ42" s="52">
        <f t="shared" si="26"/>
        <v>0</v>
      </c>
      <c r="BR42" s="52">
        <f t="shared" si="26"/>
        <v>0</v>
      </c>
      <c r="BS42" s="52">
        <f t="shared" si="26"/>
        <v>0</v>
      </c>
      <c r="BT42" s="52">
        <f t="shared" si="26"/>
        <v>1</v>
      </c>
      <c r="BU42" s="52">
        <f t="shared" si="26"/>
        <v>1</v>
      </c>
      <c r="BV42" s="52">
        <f t="shared" si="26"/>
        <v>1</v>
      </c>
      <c r="BW42" s="52">
        <f t="shared" si="26"/>
        <v>1</v>
      </c>
      <c r="BX42" s="52">
        <f t="shared" si="26"/>
        <v>1</v>
      </c>
      <c r="BY42" s="52">
        <f t="shared" si="26"/>
        <v>1</v>
      </c>
      <c r="BZ42" s="52">
        <f t="shared" si="26"/>
        <v>1</v>
      </c>
      <c r="CA42" s="52">
        <f t="shared" si="26"/>
        <v>1</v>
      </c>
      <c r="CB42" s="52">
        <f t="shared" si="26"/>
        <v>1</v>
      </c>
      <c r="CC42" s="52">
        <f t="shared" si="26"/>
        <v>0</v>
      </c>
      <c r="CD42" s="52">
        <f t="shared" si="26"/>
        <v>0</v>
      </c>
      <c r="CE42" s="52">
        <f t="shared" si="26"/>
        <v>0</v>
      </c>
      <c r="CF42" s="52">
        <f t="shared" si="26"/>
        <v>0</v>
      </c>
      <c r="CG42" s="52">
        <f t="shared" si="26"/>
        <v>0</v>
      </c>
      <c r="CH42" s="52">
        <f t="shared" si="26"/>
        <v>0</v>
      </c>
      <c r="CI42" s="52">
        <f t="shared" si="26"/>
        <v>0</v>
      </c>
      <c r="CJ42" s="52">
        <f t="shared" si="26"/>
        <v>0</v>
      </c>
      <c r="CK42" s="52">
        <f t="shared" si="26"/>
        <v>0</v>
      </c>
      <c r="CL42" s="52">
        <f t="shared" si="26"/>
        <v>0</v>
      </c>
      <c r="CM42" s="52">
        <f t="shared" si="26"/>
        <v>0</v>
      </c>
      <c r="CN42" s="52">
        <f t="shared" si="26"/>
        <v>0</v>
      </c>
      <c r="CO42" s="52">
        <f t="shared" si="26"/>
        <v>0</v>
      </c>
      <c r="CP42" s="52">
        <f t="shared" si="26"/>
        <v>0</v>
      </c>
      <c r="CQ42" s="52">
        <f t="shared" si="26"/>
        <v>0</v>
      </c>
      <c r="CR42" s="52">
        <f t="shared" si="26"/>
        <v>0</v>
      </c>
      <c r="CS42" s="52">
        <f t="shared" si="26"/>
        <v>0</v>
      </c>
      <c r="CT42" s="52">
        <f t="shared" si="26"/>
        <v>0</v>
      </c>
      <c r="CU42" s="52">
        <f t="shared" si="26"/>
        <v>0</v>
      </c>
      <c r="CV42" s="52">
        <f t="shared" si="26"/>
        <v>0</v>
      </c>
      <c r="CW42" s="52">
        <f t="shared" si="26"/>
        <v>0</v>
      </c>
      <c r="CX42" s="52">
        <f t="shared" si="26"/>
        <v>0</v>
      </c>
      <c r="CY42" s="52">
        <f t="shared" si="26"/>
        <v>0</v>
      </c>
      <c r="CZ42" s="52">
        <f t="shared" si="26"/>
        <v>0</v>
      </c>
      <c r="DA42" s="52">
        <f t="shared" si="26"/>
        <v>0</v>
      </c>
      <c r="DB42" s="52">
        <f t="shared" si="26"/>
        <v>0</v>
      </c>
      <c r="DC42" s="52">
        <f t="shared" si="26"/>
        <v>0</v>
      </c>
      <c r="DD42" s="52">
        <f t="shared" si="26"/>
        <v>0</v>
      </c>
      <c r="DE42" s="52">
        <f t="shared" si="26"/>
        <v>0</v>
      </c>
      <c r="DF42" s="52">
        <f t="shared" si="26"/>
        <v>0</v>
      </c>
      <c r="DG42" s="52">
        <f t="shared" si="26"/>
        <v>0</v>
      </c>
      <c r="DH42" s="52">
        <f t="shared" si="26"/>
        <v>0</v>
      </c>
      <c r="DI42" s="52">
        <f t="shared" si="26"/>
        <v>0</v>
      </c>
      <c r="DJ42" s="52">
        <f t="shared" si="26"/>
        <v>0</v>
      </c>
    </row>
    <row r="43" ht="15.75" customHeight="1">
      <c r="B43" s="52" t="s">
        <v>1792</v>
      </c>
      <c r="C43" s="63">
        <v>2.0</v>
      </c>
      <c r="D43" s="52">
        <v>0.0</v>
      </c>
      <c r="E43" s="65">
        <v>0.07</v>
      </c>
      <c r="F43" s="65">
        <v>0.07</v>
      </c>
      <c r="G43" s="65">
        <v>0.07</v>
      </c>
      <c r="H43" s="65">
        <v>0.07</v>
      </c>
      <c r="I43" s="65">
        <v>0.07</v>
      </c>
      <c r="J43" s="65">
        <v>0.07</v>
      </c>
      <c r="K43" s="65">
        <v>0.07</v>
      </c>
      <c r="L43" s="65">
        <v>0.07</v>
      </c>
      <c r="M43" s="65">
        <v>0.07</v>
      </c>
      <c r="N43" s="65">
        <v>0.03</v>
      </c>
      <c r="O43" s="65">
        <v>0.03</v>
      </c>
      <c r="P43" s="65">
        <v>0.03</v>
      </c>
      <c r="Q43" s="65">
        <v>0.03</v>
      </c>
      <c r="R43" s="65">
        <v>0.03</v>
      </c>
      <c r="S43" s="65">
        <v>0.03</v>
      </c>
      <c r="T43" s="65">
        <v>0.03</v>
      </c>
      <c r="U43" s="65">
        <v>0.02</v>
      </c>
      <c r="V43" s="65">
        <v>0.02</v>
      </c>
      <c r="W43" s="65">
        <v>0.02</v>
      </c>
      <c r="X43" s="65">
        <v>0.02</v>
      </c>
      <c r="Y43" s="65">
        <v>0.02</v>
      </c>
      <c r="Z43" s="65">
        <v>0.02</v>
      </c>
      <c r="AA43" s="65">
        <v>0.02</v>
      </c>
      <c r="AB43" s="65">
        <v>0.02</v>
      </c>
      <c r="AC43" s="58"/>
      <c r="AD43" s="58"/>
      <c r="AE43" s="58"/>
      <c r="AF43" s="52"/>
      <c r="AG43" s="52"/>
      <c r="AH43" s="52"/>
      <c r="AI43" s="52"/>
      <c r="AJ43" s="52"/>
      <c r="BL43" s="52">
        <f t="shared" ref="BL43:DJ43" si="27">ROUND($BL27*E43,0)</f>
        <v>10</v>
      </c>
      <c r="BM43" s="52">
        <f t="shared" si="27"/>
        <v>10</v>
      </c>
      <c r="BN43" s="52">
        <f t="shared" si="27"/>
        <v>10</v>
      </c>
      <c r="BO43" s="52">
        <f t="shared" si="27"/>
        <v>10</v>
      </c>
      <c r="BP43" s="52">
        <f t="shared" si="27"/>
        <v>10</v>
      </c>
      <c r="BQ43" s="52">
        <f t="shared" si="27"/>
        <v>10</v>
      </c>
      <c r="BR43" s="52">
        <f t="shared" si="27"/>
        <v>10</v>
      </c>
      <c r="BS43" s="52">
        <f t="shared" si="27"/>
        <v>10</v>
      </c>
      <c r="BT43" s="52">
        <f t="shared" si="27"/>
        <v>10</v>
      </c>
      <c r="BU43" s="52">
        <f t="shared" si="27"/>
        <v>4</v>
      </c>
      <c r="BV43" s="52">
        <f t="shared" si="27"/>
        <v>4</v>
      </c>
      <c r="BW43" s="52">
        <f t="shared" si="27"/>
        <v>4</v>
      </c>
      <c r="BX43" s="52">
        <f t="shared" si="27"/>
        <v>4</v>
      </c>
      <c r="BY43" s="52">
        <f t="shared" si="27"/>
        <v>4</v>
      </c>
      <c r="BZ43" s="52">
        <f t="shared" si="27"/>
        <v>4</v>
      </c>
      <c r="CA43" s="52">
        <f t="shared" si="27"/>
        <v>4</v>
      </c>
      <c r="CB43" s="52">
        <f t="shared" si="27"/>
        <v>3</v>
      </c>
      <c r="CC43" s="52">
        <f t="shared" si="27"/>
        <v>3</v>
      </c>
      <c r="CD43" s="52">
        <f t="shared" si="27"/>
        <v>3</v>
      </c>
      <c r="CE43" s="52">
        <f t="shared" si="27"/>
        <v>3</v>
      </c>
      <c r="CF43" s="52">
        <f t="shared" si="27"/>
        <v>3</v>
      </c>
      <c r="CG43" s="52">
        <f t="shared" si="27"/>
        <v>3</v>
      </c>
      <c r="CH43" s="52">
        <f t="shared" si="27"/>
        <v>3</v>
      </c>
      <c r="CI43" s="52">
        <f t="shared" si="27"/>
        <v>3</v>
      </c>
      <c r="CJ43" s="52">
        <f t="shared" si="27"/>
        <v>0</v>
      </c>
      <c r="CK43" s="52">
        <f t="shared" si="27"/>
        <v>0</v>
      </c>
      <c r="CL43" s="52">
        <f t="shared" si="27"/>
        <v>0</v>
      </c>
      <c r="CM43" s="52">
        <f t="shared" si="27"/>
        <v>0</v>
      </c>
      <c r="CN43" s="52">
        <f t="shared" si="27"/>
        <v>0</v>
      </c>
      <c r="CO43" s="52">
        <f t="shared" si="27"/>
        <v>0</v>
      </c>
      <c r="CP43" s="52">
        <f t="shared" si="27"/>
        <v>0</v>
      </c>
      <c r="CQ43" s="52">
        <f t="shared" si="27"/>
        <v>0</v>
      </c>
      <c r="CR43" s="52">
        <f t="shared" si="27"/>
        <v>0</v>
      </c>
      <c r="CS43" s="52">
        <f t="shared" si="27"/>
        <v>0</v>
      </c>
      <c r="CT43" s="52">
        <f t="shared" si="27"/>
        <v>0</v>
      </c>
      <c r="CU43" s="52">
        <f t="shared" si="27"/>
        <v>0</v>
      </c>
      <c r="CV43" s="52">
        <f t="shared" si="27"/>
        <v>0</v>
      </c>
      <c r="CW43" s="52">
        <f t="shared" si="27"/>
        <v>0</v>
      </c>
      <c r="CX43" s="52">
        <f t="shared" si="27"/>
        <v>0</v>
      </c>
      <c r="CY43" s="52">
        <f t="shared" si="27"/>
        <v>0</v>
      </c>
      <c r="CZ43" s="52">
        <f t="shared" si="27"/>
        <v>0</v>
      </c>
      <c r="DA43" s="52">
        <f t="shared" si="27"/>
        <v>0</v>
      </c>
      <c r="DB43" s="52">
        <f t="shared" si="27"/>
        <v>0</v>
      </c>
      <c r="DC43" s="52">
        <f t="shared" si="27"/>
        <v>0</v>
      </c>
      <c r="DD43" s="52">
        <f t="shared" si="27"/>
        <v>0</v>
      </c>
      <c r="DE43" s="52">
        <f t="shared" si="27"/>
        <v>0</v>
      </c>
      <c r="DF43" s="52">
        <f t="shared" si="27"/>
        <v>0</v>
      </c>
      <c r="DG43" s="52">
        <f t="shared" si="27"/>
        <v>0</v>
      </c>
      <c r="DH43" s="52">
        <f t="shared" si="27"/>
        <v>0</v>
      </c>
      <c r="DI43" s="52">
        <f t="shared" si="27"/>
        <v>0</v>
      </c>
      <c r="DJ43" s="52">
        <f t="shared" si="27"/>
        <v>0</v>
      </c>
    </row>
    <row r="44" ht="15.75" customHeight="1">
      <c r="B44" s="52" t="s">
        <v>1792</v>
      </c>
      <c r="C44" s="63">
        <v>2.0</v>
      </c>
      <c r="D44" s="52" t="s">
        <v>1785</v>
      </c>
      <c r="E44" s="65">
        <v>0.02</v>
      </c>
      <c r="F44" s="65">
        <v>0.02</v>
      </c>
      <c r="G44" s="65">
        <v>0.02</v>
      </c>
      <c r="H44" s="65">
        <v>0.02</v>
      </c>
      <c r="I44" s="65">
        <v>0.08</v>
      </c>
      <c r="J44" s="65">
        <v>0.08</v>
      </c>
      <c r="K44" s="65">
        <v>0.07</v>
      </c>
      <c r="L44" s="65">
        <v>0.07</v>
      </c>
      <c r="M44" s="65">
        <v>0.06</v>
      </c>
      <c r="N44" s="65">
        <v>0.06</v>
      </c>
      <c r="O44" s="65">
        <v>0.05</v>
      </c>
      <c r="P44" s="65">
        <v>0.05</v>
      </c>
      <c r="Q44" s="65">
        <v>0.05</v>
      </c>
      <c r="R44" s="65">
        <v>0.04</v>
      </c>
      <c r="S44" s="65">
        <v>0.04</v>
      </c>
      <c r="T44" s="65">
        <v>0.04</v>
      </c>
      <c r="U44" s="65">
        <v>0.04</v>
      </c>
      <c r="V44" s="65">
        <v>0.03</v>
      </c>
      <c r="W44" s="65">
        <v>0.03</v>
      </c>
      <c r="X44" s="65">
        <v>0.03</v>
      </c>
      <c r="Y44" s="65">
        <v>0.03</v>
      </c>
      <c r="Z44" s="65">
        <v>0.03</v>
      </c>
      <c r="AA44" s="65">
        <v>0.02</v>
      </c>
      <c r="AB44" s="65">
        <v>0.02</v>
      </c>
      <c r="AC44" s="58"/>
      <c r="AD44" s="58"/>
      <c r="AE44" s="58"/>
      <c r="AF44" s="52"/>
      <c r="AG44" s="52"/>
      <c r="AH44" s="52"/>
      <c r="AI44" s="52"/>
      <c r="AJ44" s="52"/>
      <c r="BL44" s="52">
        <f t="shared" ref="BL44:DJ44" si="28">ROUND($BL28*E44,0)</f>
        <v>0</v>
      </c>
      <c r="BM44" s="52">
        <f t="shared" si="28"/>
        <v>0</v>
      </c>
      <c r="BN44" s="52">
        <f t="shared" si="28"/>
        <v>0</v>
      </c>
      <c r="BO44" s="52">
        <f t="shared" si="28"/>
        <v>0</v>
      </c>
      <c r="BP44" s="52">
        <f t="shared" si="28"/>
        <v>1</v>
      </c>
      <c r="BQ44" s="52">
        <f t="shared" si="28"/>
        <v>1</v>
      </c>
      <c r="BR44" s="52">
        <f t="shared" si="28"/>
        <v>1</v>
      </c>
      <c r="BS44" s="52">
        <f t="shared" si="28"/>
        <v>1</v>
      </c>
      <c r="BT44" s="52">
        <f t="shared" si="28"/>
        <v>1</v>
      </c>
      <c r="BU44" s="52">
        <f t="shared" si="28"/>
        <v>1</v>
      </c>
      <c r="BV44" s="52">
        <f t="shared" si="28"/>
        <v>1</v>
      </c>
      <c r="BW44" s="52">
        <f t="shared" si="28"/>
        <v>1</v>
      </c>
      <c r="BX44" s="52">
        <f t="shared" si="28"/>
        <v>1</v>
      </c>
      <c r="BY44" s="52">
        <f t="shared" si="28"/>
        <v>1</v>
      </c>
      <c r="BZ44" s="52">
        <f t="shared" si="28"/>
        <v>1</v>
      </c>
      <c r="CA44" s="52">
        <f t="shared" si="28"/>
        <v>1</v>
      </c>
      <c r="CB44" s="52">
        <f t="shared" si="28"/>
        <v>1</v>
      </c>
      <c r="CC44" s="52">
        <f t="shared" si="28"/>
        <v>0</v>
      </c>
      <c r="CD44" s="52">
        <f t="shared" si="28"/>
        <v>0</v>
      </c>
      <c r="CE44" s="52">
        <f t="shared" si="28"/>
        <v>0</v>
      </c>
      <c r="CF44" s="52">
        <f t="shared" si="28"/>
        <v>0</v>
      </c>
      <c r="CG44" s="52">
        <f t="shared" si="28"/>
        <v>0</v>
      </c>
      <c r="CH44" s="52">
        <f t="shared" si="28"/>
        <v>0</v>
      </c>
      <c r="CI44" s="52">
        <f t="shared" si="28"/>
        <v>0</v>
      </c>
      <c r="CJ44" s="52">
        <f t="shared" si="28"/>
        <v>0</v>
      </c>
      <c r="CK44" s="52">
        <f t="shared" si="28"/>
        <v>0</v>
      </c>
      <c r="CL44" s="52">
        <f t="shared" si="28"/>
        <v>0</v>
      </c>
      <c r="CM44" s="52">
        <f t="shared" si="28"/>
        <v>0</v>
      </c>
      <c r="CN44" s="52">
        <f t="shared" si="28"/>
        <v>0</v>
      </c>
      <c r="CO44" s="52">
        <f t="shared" si="28"/>
        <v>0</v>
      </c>
      <c r="CP44" s="52">
        <f t="shared" si="28"/>
        <v>0</v>
      </c>
      <c r="CQ44" s="52">
        <f t="shared" si="28"/>
        <v>0</v>
      </c>
      <c r="CR44" s="52">
        <f t="shared" si="28"/>
        <v>0</v>
      </c>
      <c r="CS44" s="52">
        <f t="shared" si="28"/>
        <v>0</v>
      </c>
      <c r="CT44" s="52">
        <f t="shared" si="28"/>
        <v>0</v>
      </c>
      <c r="CU44" s="52">
        <f t="shared" si="28"/>
        <v>0</v>
      </c>
      <c r="CV44" s="52">
        <f t="shared" si="28"/>
        <v>0</v>
      </c>
      <c r="CW44" s="52">
        <f t="shared" si="28"/>
        <v>0</v>
      </c>
      <c r="CX44" s="52">
        <f t="shared" si="28"/>
        <v>0</v>
      </c>
      <c r="CY44" s="52">
        <f t="shared" si="28"/>
        <v>0</v>
      </c>
      <c r="CZ44" s="52">
        <f t="shared" si="28"/>
        <v>0</v>
      </c>
      <c r="DA44" s="52">
        <f t="shared" si="28"/>
        <v>0</v>
      </c>
      <c r="DB44" s="52">
        <f t="shared" si="28"/>
        <v>0</v>
      </c>
      <c r="DC44" s="52">
        <f t="shared" si="28"/>
        <v>0</v>
      </c>
      <c r="DD44" s="52">
        <f t="shared" si="28"/>
        <v>0</v>
      </c>
      <c r="DE44" s="52">
        <f t="shared" si="28"/>
        <v>0</v>
      </c>
      <c r="DF44" s="52">
        <f t="shared" si="28"/>
        <v>0</v>
      </c>
      <c r="DG44" s="52">
        <f t="shared" si="28"/>
        <v>0</v>
      </c>
      <c r="DH44" s="52">
        <f t="shared" si="28"/>
        <v>0</v>
      </c>
      <c r="DI44" s="52">
        <f t="shared" si="28"/>
        <v>0</v>
      </c>
      <c r="DJ44" s="52">
        <f t="shared" si="28"/>
        <v>0</v>
      </c>
    </row>
    <row r="45" ht="15.75" customHeight="1">
      <c r="B45" s="52" t="s">
        <v>1792</v>
      </c>
      <c r="C45" s="63">
        <v>2.0</v>
      </c>
      <c r="D45" s="52" t="s">
        <v>1786</v>
      </c>
      <c r="E45" s="58"/>
      <c r="F45" s="58"/>
      <c r="G45" s="58"/>
      <c r="H45" s="65">
        <v>0.08</v>
      </c>
      <c r="I45" s="65">
        <v>0.08</v>
      </c>
      <c r="J45" s="65">
        <v>0.07</v>
      </c>
      <c r="K45" s="65">
        <v>0.07</v>
      </c>
      <c r="L45" s="65">
        <v>0.06</v>
      </c>
      <c r="M45" s="65">
        <v>0.06</v>
      </c>
      <c r="N45" s="65">
        <v>0.05</v>
      </c>
      <c r="O45" s="65">
        <v>0.05</v>
      </c>
      <c r="P45" s="65">
        <v>0.05</v>
      </c>
      <c r="Q45" s="65">
        <v>0.04</v>
      </c>
      <c r="R45" s="65">
        <v>0.04</v>
      </c>
      <c r="S45" s="65">
        <v>0.04</v>
      </c>
      <c r="T45" s="65">
        <v>0.04</v>
      </c>
      <c r="U45" s="65">
        <v>0.03</v>
      </c>
      <c r="V45" s="65">
        <v>0.03</v>
      </c>
      <c r="W45" s="65">
        <v>0.03</v>
      </c>
      <c r="X45" s="65">
        <v>0.03</v>
      </c>
      <c r="Y45" s="65">
        <v>0.03</v>
      </c>
      <c r="Z45" s="65">
        <v>0.02</v>
      </c>
      <c r="AA45" s="65">
        <v>0.02</v>
      </c>
      <c r="AB45" s="65">
        <v>0.03</v>
      </c>
      <c r="AC45" s="65">
        <v>0.03</v>
      </c>
      <c r="AD45" s="65">
        <v>0.02</v>
      </c>
      <c r="AE45" s="58"/>
      <c r="AF45" s="52"/>
      <c r="AG45" s="52"/>
      <c r="AH45" s="52"/>
      <c r="AI45" s="52"/>
      <c r="AJ45" s="52"/>
      <c r="BL45" s="52">
        <f t="shared" ref="BL45:DJ45" si="29">ROUND($BL29*E45,0)</f>
        <v>0</v>
      </c>
      <c r="BM45" s="52">
        <f t="shared" si="29"/>
        <v>0</v>
      </c>
      <c r="BN45" s="52">
        <f t="shared" si="29"/>
        <v>0</v>
      </c>
      <c r="BO45" s="52">
        <f t="shared" si="29"/>
        <v>2</v>
      </c>
      <c r="BP45" s="52">
        <f t="shared" si="29"/>
        <v>2</v>
      </c>
      <c r="BQ45" s="52">
        <f t="shared" si="29"/>
        <v>2</v>
      </c>
      <c r="BR45" s="52">
        <f t="shared" si="29"/>
        <v>2</v>
      </c>
      <c r="BS45" s="52">
        <f t="shared" si="29"/>
        <v>2</v>
      </c>
      <c r="BT45" s="52">
        <f t="shared" si="29"/>
        <v>2</v>
      </c>
      <c r="BU45" s="52">
        <f t="shared" si="29"/>
        <v>1</v>
      </c>
      <c r="BV45" s="52">
        <f t="shared" si="29"/>
        <v>1</v>
      </c>
      <c r="BW45" s="52">
        <f t="shared" si="29"/>
        <v>1</v>
      </c>
      <c r="BX45" s="52">
        <f t="shared" si="29"/>
        <v>1</v>
      </c>
      <c r="BY45" s="52">
        <f t="shared" si="29"/>
        <v>1</v>
      </c>
      <c r="BZ45" s="52">
        <f t="shared" si="29"/>
        <v>1</v>
      </c>
      <c r="CA45" s="52">
        <f t="shared" si="29"/>
        <v>1</v>
      </c>
      <c r="CB45" s="52">
        <f t="shared" si="29"/>
        <v>1</v>
      </c>
      <c r="CC45" s="52">
        <f t="shared" si="29"/>
        <v>1</v>
      </c>
      <c r="CD45" s="52">
        <f t="shared" si="29"/>
        <v>1</v>
      </c>
      <c r="CE45" s="52">
        <f t="shared" si="29"/>
        <v>1</v>
      </c>
      <c r="CF45" s="52">
        <f t="shared" si="29"/>
        <v>1</v>
      </c>
      <c r="CG45" s="52">
        <f t="shared" si="29"/>
        <v>1</v>
      </c>
      <c r="CH45" s="52">
        <f t="shared" si="29"/>
        <v>1</v>
      </c>
      <c r="CI45" s="52">
        <f t="shared" si="29"/>
        <v>1</v>
      </c>
      <c r="CJ45" s="52">
        <f t="shared" si="29"/>
        <v>1</v>
      </c>
      <c r="CK45" s="52">
        <f t="shared" si="29"/>
        <v>1</v>
      </c>
      <c r="CL45" s="52">
        <f t="shared" si="29"/>
        <v>0</v>
      </c>
      <c r="CM45" s="52">
        <f t="shared" si="29"/>
        <v>0</v>
      </c>
      <c r="CN45" s="52">
        <f t="shared" si="29"/>
        <v>0</v>
      </c>
      <c r="CO45" s="52">
        <f t="shared" si="29"/>
        <v>0</v>
      </c>
      <c r="CP45" s="52">
        <f t="shared" si="29"/>
        <v>0</v>
      </c>
      <c r="CQ45" s="52">
        <f t="shared" si="29"/>
        <v>0</v>
      </c>
      <c r="CR45" s="52">
        <f t="shared" si="29"/>
        <v>0</v>
      </c>
      <c r="CS45" s="52">
        <f t="shared" si="29"/>
        <v>0</v>
      </c>
      <c r="CT45" s="52">
        <f t="shared" si="29"/>
        <v>0</v>
      </c>
      <c r="CU45" s="52">
        <f t="shared" si="29"/>
        <v>0</v>
      </c>
      <c r="CV45" s="52">
        <f t="shared" si="29"/>
        <v>0</v>
      </c>
      <c r="CW45" s="52">
        <f t="shared" si="29"/>
        <v>0</v>
      </c>
      <c r="CX45" s="52">
        <f t="shared" si="29"/>
        <v>0</v>
      </c>
      <c r="CY45" s="52">
        <f t="shared" si="29"/>
        <v>0</v>
      </c>
      <c r="CZ45" s="52">
        <f t="shared" si="29"/>
        <v>0</v>
      </c>
      <c r="DA45" s="52">
        <f t="shared" si="29"/>
        <v>0</v>
      </c>
      <c r="DB45" s="52">
        <f t="shared" si="29"/>
        <v>0</v>
      </c>
      <c r="DC45" s="52">
        <f t="shared" si="29"/>
        <v>0</v>
      </c>
      <c r="DD45" s="52">
        <f t="shared" si="29"/>
        <v>0</v>
      </c>
      <c r="DE45" s="52">
        <f t="shared" si="29"/>
        <v>0</v>
      </c>
      <c r="DF45" s="52">
        <f t="shared" si="29"/>
        <v>0</v>
      </c>
      <c r="DG45" s="52">
        <f t="shared" si="29"/>
        <v>0</v>
      </c>
      <c r="DH45" s="52">
        <f t="shared" si="29"/>
        <v>0</v>
      </c>
      <c r="DI45" s="52">
        <f t="shared" si="29"/>
        <v>0</v>
      </c>
      <c r="DJ45" s="52">
        <f t="shared" si="29"/>
        <v>0</v>
      </c>
    </row>
    <row r="46" ht="15.75" customHeight="1">
      <c r="B46" s="52" t="s">
        <v>1792</v>
      </c>
      <c r="C46" s="63">
        <v>2.0</v>
      </c>
      <c r="D46" s="52" t="s">
        <v>1787</v>
      </c>
      <c r="E46" s="58"/>
      <c r="F46" s="58"/>
      <c r="G46" s="58"/>
      <c r="H46" s="58"/>
      <c r="I46" s="58"/>
      <c r="J46" s="65">
        <v>0.08</v>
      </c>
      <c r="K46" s="65">
        <v>0.08</v>
      </c>
      <c r="L46" s="65">
        <v>0.07</v>
      </c>
      <c r="M46" s="65">
        <v>0.07</v>
      </c>
      <c r="N46" s="65">
        <v>0.06</v>
      </c>
      <c r="O46" s="65">
        <v>0.06</v>
      </c>
      <c r="P46" s="65">
        <v>0.05</v>
      </c>
      <c r="Q46" s="65">
        <v>0.05</v>
      </c>
      <c r="R46" s="65">
        <v>0.05</v>
      </c>
      <c r="S46" s="65">
        <v>0.04</v>
      </c>
      <c r="T46" s="65">
        <v>0.04</v>
      </c>
      <c r="U46" s="65">
        <v>0.04</v>
      </c>
      <c r="V46" s="65">
        <v>0.04</v>
      </c>
      <c r="W46" s="65">
        <v>0.03</v>
      </c>
      <c r="X46" s="65">
        <v>0.03</v>
      </c>
      <c r="Y46" s="65">
        <v>0.03</v>
      </c>
      <c r="Z46" s="65">
        <v>0.03</v>
      </c>
      <c r="AA46" s="65">
        <v>0.03</v>
      </c>
      <c r="AB46" s="65">
        <v>0.02</v>
      </c>
      <c r="AC46" s="65">
        <v>0.02</v>
      </c>
      <c r="AD46" s="65">
        <v>0.03</v>
      </c>
      <c r="AE46" s="58"/>
      <c r="AF46" s="52"/>
      <c r="AG46" s="52"/>
      <c r="AH46" s="52"/>
      <c r="AI46" s="52"/>
      <c r="AJ46" s="52"/>
      <c r="BL46" s="52">
        <f t="shared" ref="BL46:DJ46" si="30">ROUND($BL30*E46,0)</f>
        <v>0</v>
      </c>
      <c r="BM46" s="52">
        <f t="shared" si="30"/>
        <v>0</v>
      </c>
      <c r="BN46" s="52">
        <f t="shared" si="30"/>
        <v>0</v>
      </c>
      <c r="BO46" s="52">
        <f t="shared" si="30"/>
        <v>0</v>
      </c>
      <c r="BP46" s="52">
        <f t="shared" si="30"/>
        <v>0</v>
      </c>
      <c r="BQ46" s="52">
        <f t="shared" si="30"/>
        <v>0</v>
      </c>
      <c r="BR46" s="52">
        <f t="shared" si="30"/>
        <v>0</v>
      </c>
      <c r="BS46" s="52">
        <f t="shared" si="30"/>
        <v>0</v>
      </c>
      <c r="BT46" s="52">
        <f t="shared" si="30"/>
        <v>0</v>
      </c>
      <c r="BU46" s="52">
        <f t="shared" si="30"/>
        <v>0</v>
      </c>
      <c r="BV46" s="52">
        <f t="shared" si="30"/>
        <v>0</v>
      </c>
      <c r="BW46" s="52">
        <f t="shared" si="30"/>
        <v>0</v>
      </c>
      <c r="BX46" s="52">
        <f t="shared" si="30"/>
        <v>0</v>
      </c>
      <c r="BY46" s="52">
        <f t="shared" si="30"/>
        <v>0</v>
      </c>
      <c r="BZ46" s="52">
        <f t="shared" si="30"/>
        <v>0</v>
      </c>
      <c r="CA46" s="52">
        <f t="shared" si="30"/>
        <v>0</v>
      </c>
      <c r="CB46" s="52">
        <f t="shared" si="30"/>
        <v>0</v>
      </c>
      <c r="CC46" s="52">
        <f t="shared" si="30"/>
        <v>0</v>
      </c>
      <c r="CD46" s="52">
        <f t="shared" si="30"/>
        <v>0</v>
      </c>
      <c r="CE46" s="52">
        <f t="shared" si="30"/>
        <v>0</v>
      </c>
      <c r="CF46" s="52">
        <f t="shared" si="30"/>
        <v>0</v>
      </c>
      <c r="CG46" s="52">
        <f t="shared" si="30"/>
        <v>0</v>
      </c>
      <c r="CH46" s="52">
        <f t="shared" si="30"/>
        <v>0</v>
      </c>
      <c r="CI46" s="52">
        <f t="shared" si="30"/>
        <v>0</v>
      </c>
      <c r="CJ46" s="52">
        <f t="shared" si="30"/>
        <v>0</v>
      </c>
      <c r="CK46" s="52">
        <f t="shared" si="30"/>
        <v>0</v>
      </c>
      <c r="CL46" s="52">
        <f t="shared" si="30"/>
        <v>0</v>
      </c>
      <c r="CM46" s="52">
        <f t="shared" si="30"/>
        <v>0</v>
      </c>
      <c r="CN46" s="52">
        <f t="shared" si="30"/>
        <v>0</v>
      </c>
      <c r="CO46" s="52">
        <f t="shared" si="30"/>
        <v>0</v>
      </c>
      <c r="CP46" s="52">
        <f t="shared" si="30"/>
        <v>0</v>
      </c>
      <c r="CQ46" s="52">
        <f t="shared" si="30"/>
        <v>0</v>
      </c>
      <c r="CR46" s="52">
        <f t="shared" si="30"/>
        <v>0</v>
      </c>
      <c r="CS46" s="52">
        <f t="shared" si="30"/>
        <v>0</v>
      </c>
      <c r="CT46" s="52">
        <f t="shared" si="30"/>
        <v>0</v>
      </c>
      <c r="CU46" s="52">
        <f t="shared" si="30"/>
        <v>0</v>
      </c>
      <c r="CV46" s="52">
        <f t="shared" si="30"/>
        <v>0</v>
      </c>
      <c r="CW46" s="52">
        <f t="shared" si="30"/>
        <v>0</v>
      </c>
      <c r="CX46" s="52">
        <f t="shared" si="30"/>
        <v>0</v>
      </c>
      <c r="CY46" s="52">
        <f t="shared" si="30"/>
        <v>0</v>
      </c>
      <c r="CZ46" s="52">
        <f t="shared" si="30"/>
        <v>0</v>
      </c>
      <c r="DA46" s="52">
        <f t="shared" si="30"/>
        <v>0</v>
      </c>
      <c r="DB46" s="52">
        <f t="shared" si="30"/>
        <v>0</v>
      </c>
      <c r="DC46" s="52">
        <f t="shared" si="30"/>
        <v>0</v>
      </c>
      <c r="DD46" s="52">
        <f t="shared" si="30"/>
        <v>0</v>
      </c>
      <c r="DE46" s="52">
        <f t="shared" si="30"/>
        <v>0</v>
      </c>
      <c r="DF46" s="52">
        <f t="shared" si="30"/>
        <v>0</v>
      </c>
      <c r="DG46" s="52">
        <f t="shared" si="30"/>
        <v>0</v>
      </c>
      <c r="DH46" s="52">
        <f t="shared" si="30"/>
        <v>0</v>
      </c>
      <c r="DI46" s="52">
        <f t="shared" si="30"/>
        <v>0</v>
      </c>
      <c r="DJ46" s="52">
        <f t="shared" si="30"/>
        <v>0</v>
      </c>
    </row>
    <row r="47" ht="15.75" customHeight="1">
      <c r="B47" s="52" t="s">
        <v>1792</v>
      </c>
      <c r="C47" s="63">
        <v>2.0</v>
      </c>
      <c r="D47" s="52" t="s">
        <v>1788</v>
      </c>
      <c r="E47" s="58"/>
      <c r="F47" s="58"/>
      <c r="G47" s="58"/>
      <c r="H47" s="58"/>
      <c r="I47" s="58"/>
      <c r="J47" s="58"/>
      <c r="K47" s="65">
        <v>0.08</v>
      </c>
      <c r="L47" s="65">
        <v>0.08</v>
      </c>
      <c r="M47" s="65">
        <v>0.07</v>
      </c>
      <c r="N47" s="65">
        <v>0.07</v>
      </c>
      <c r="O47" s="65">
        <v>0.06</v>
      </c>
      <c r="P47" s="65">
        <v>0.06</v>
      </c>
      <c r="Q47" s="65">
        <v>0.05</v>
      </c>
      <c r="R47" s="65">
        <v>0.05</v>
      </c>
      <c r="S47" s="65">
        <v>0.05</v>
      </c>
      <c r="T47" s="65">
        <v>0.04</v>
      </c>
      <c r="U47" s="65">
        <v>0.04</v>
      </c>
      <c r="V47" s="65">
        <v>0.04</v>
      </c>
      <c r="W47" s="65">
        <v>0.04</v>
      </c>
      <c r="X47" s="65">
        <v>0.03</v>
      </c>
      <c r="Y47" s="65">
        <v>0.03</v>
      </c>
      <c r="Z47" s="65">
        <v>0.03</v>
      </c>
      <c r="AA47" s="65">
        <v>0.03</v>
      </c>
      <c r="AB47" s="65">
        <v>0.03</v>
      </c>
      <c r="AC47" s="65">
        <v>0.02</v>
      </c>
      <c r="AD47" s="65">
        <v>0.02</v>
      </c>
      <c r="AE47" s="58"/>
      <c r="AF47" s="52"/>
      <c r="AG47" s="52"/>
      <c r="AH47" s="52"/>
      <c r="AI47" s="52"/>
      <c r="AJ47" s="52"/>
      <c r="BL47" s="52">
        <f t="shared" ref="BL47:DJ47" si="31">ROUND($BL31*E47,0)</f>
        <v>0</v>
      </c>
      <c r="BM47" s="52">
        <f t="shared" si="31"/>
        <v>0</v>
      </c>
      <c r="BN47" s="52">
        <f t="shared" si="31"/>
        <v>0</v>
      </c>
      <c r="BO47" s="52">
        <f t="shared" si="31"/>
        <v>0</v>
      </c>
      <c r="BP47" s="52">
        <f t="shared" si="31"/>
        <v>0</v>
      </c>
      <c r="BQ47" s="52">
        <f t="shared" si="31"/>
        <v>0</v>
      </c>
      <c r="BR47" s="52">
        <f t="shared" si="31"/>
        <v>0</v>
      </c>
      <c r="BS47" s="52">
        <f t="shared" si="31"/>
        <v>0</v>
      </c>
      <c r="BT47" s="52">
        <f t="shared" si="31"/>
        <v>0</v>
      </c>
      <c r="BU47" s="52">
        <f t="shared" si="31"/>
        <v>0</v>
      </c>
      <c r="BV47" s="52">
        <f t="shared" si="31"/>
        <v>0</v>
      </c>
      <c r="BW47" s="52">
        <f t="shared" si="31"/>
        <v>0</v>
      </c>
      <c r="BX47" s="52">
        <f t="shared" si="31"/>
        <v>0</v>
      </c>
      <c r="BY47" s="52">
        <f t="shared" si="31"/>
        <v>0</v>
      </c>
      <c r="BZ47" s="52">
        <f t="shared" si="31"/>
        <v>0</v>
      </c>
      <c r="CA47" s="52">
        <f t="shared" si="31"/>
        <v>0</v>
      </c>
      <c r="CB47" s="52">
        <f t="shared" si="31"/>
        <v>0</v>
      </c>
      <c r="CC47" s="52">
        <f t="shared" si="31"/>
        <v>0</v>
      </c>
      <c r="CD47" s="52">
        <f t="shared" si="31"/>
        <v>0</v>
      </c>
      <c r="CE47" s="52">
        <f t="shared" si="31"/>
        <v>0</v>
      </c>
      <c r="CF47" s="52">
        <f t="shared" si="31"/>
        <v>0</v>
      </c>
      <c r="CG47" s="52">
        <f t="shared" si="31"/>
        <v>0</v>
      </c>
      <c r="CH47" s="52">
        <f t="shared" si="31"/>
        <v>0</v>
      </c>
      <c r="CI47" s="52">
        <f t="shared" si="31"/>
        <v>0</v>
      </c>
      <c r="CJ47" s="52">
        <f t="shared" si="31"/>
        <v>0</v>
      </c>
      <c r="CK47" s="52">
        <f t="shared" si="31"/>
        <v>0</v>
      </c>
      <c r="CL47" s="52">
        <f t="shared" si="31"/>
        <v>0</v>
      </c>
      <c r="CM47" s="52">
        <f t="shared" si="31"/>
        <v>0</v>
      </c>
      <c r="CN47" s="52">
        <f t="shared" si="31"/>
        <v>0</v>
      </c>
      <c r="CO47" s="52">
        <f t="shared" si="31"/>
        <v>0</v>
      </c>
      <c r="CP47" s="52">
        <f t="shared" si="31"/>
        <v>0</v>
      </c>
      <c r="CQ47" s="52">
        <f t="shared" si="31"/>
        <v>0</v>
      </c>
      <c r="CR47" s="52">
        <f t="shared" si="31"/>
        <v>0</v>
      </c>
      <c r="CS47" s="52">
        <f t="shared" si="31"/>
        <v>0</v>
      </c>
      <c r="CT47" s="52">
        <f t="shared" si="31"/>
        <v>0</v>
      </c>
      <c r="CU47" s="52">
        <f t="shared" si="31"/>
        <v>0</v>
      </c>
      <c r="CV47" s="52">
        <f t="shared" si="31"/>
        <v>0</v>
      </c>
      <c r="CW47" s="52">
        <f t="shared" si="31"/>
        <v>0</v>
      </c>
      <c r="CX47" s="52">
        <f t="shared" si="31"/>
        <v>0</v>
      </c>
      <c r="CY47" s="52">
        <f t="shared" si="31"/>
        <v>0</v>
      </c>
      <c r="CZ47" s="52">
        <f t="shared" si="31"/>
        <v>0</v>
      </c>
      <c r="DA47" s="52">
        <f t="shared" si="31"/>
        <v>0</v>
      </c>
      <c r="DB47" s="52">
        <f t="shared" si="31"/>
        <v>0</v>
      </c>
      <c r="DC47" s="52">
        <f t="shared" si="31"/>
        <v>0</v>
      </c>
      <c r="DD47" s="52">
        <f t="shared" si="31"/>
        <v>0</v>
      </c>
      <c r="DE47" s="52">
        <f t="shared" si="31"/>
        <v>0</v>
      </c>
      <c r="DF47" s="52">
        <f t="shared" si="31"/>
        <v>0</v>
      </c>
      <c r="DG47" s="52">
        <f t="shared" si="31"/>
        <v>0</v>
      </c>
      <c r="DH47" s="52">
        <f t="shared" si="31"/>
        <v>0</v>
      </c>
      <c r="DI47" s="52">
        <f t="shared" si="31"/>
        <v>0</v>
      </c>
      <c r="DJ47" s="52">
        <f t="shared" si="31"/>
        <v>0</v>
      </c>
    </row>
    <row r="48" ht="15.75" customHeight="1">
      <c r="B48" s="52" t="s">
        <v>1792</v>
      </c>
      <c r="C48" s="63">
        <v>2.0</v>
      </c>
      <c r="D48" s="52" t="s">
        <v>1789</v>
      </c>
      <c r="E48" s="58"/>
      <c r="F48" s="58"/>
      <c r="G48" s="58"/>
      <c r="H48" s="58"/>
      <c r="I48" s="58"/>
      <c r="J48" s="58"/>
      <c r="K48" s="58"/>
      <c r="L48" s="65">
        <v>0.08</v>
      </c>
      <c r="M48" s="65">
        <v>0.08</v>
      </c>
      <c r="N48" s="65">
        <v>0.07</v>
      </c>
      <c r="O48" s="65">
        <v>0.07</v>
      </c>
      <c r="P48" s="65">
        <v>0.06</v>
      </c>
      <c r="Q48" s="65">
        <v>0.06</v>
      </c>
      <c r="R48" s="65">
        <v>0.05</v>
      </c>
      <c r="S48" s="65">
        <v>0.05</v>
      </c>
      <c r="T48" s="65">
        <v>0.05</v>
      </c>
      <c r="U48" s="65">
        <v>0.04</v>
      </c>
      <c r="V48" s="65">
        <v>0.04</v>
      </c>
      <c r="W48" s="65">
        <v>0.04</v>
      </c>
      <c r="X48" s="65">
        <v>0.04</v>
      </c>
      <c r="Y48" s="65">
        <v>0.03</v>
      </c>
      <c r="Z48" s="65">
        <v>0.03</v>
      </c>
      <c r="AA48" s="65">
        <v>0.03</v>
      </c>
      <c r="AB48" s="65">
        <v>0.03</v>
      </c>
      <c r="AC48" s="65">
        <v>0.03</v>
      </c>
      <c r="AD48" s="65">
        <v>0.02</v>
      </c>
      <c r="AE48" s="58"/>
      <c r="AF48" s="52"/>
      <c r="AG48" s="52"/>
      <c r="AH48" s="52"/>
      <c r="AI48" s="52"/>
      <c r="AJ48" s="52"/>
      <c r="BL48" s="52">
        <f t="shared" ref="BL48:DJ48" si="32">ROUND($BL32*E48,0)</f>
        <v>0</v>
      </c>
      <c r="BM48" s="52">
        <f t="shared" si="32"/>
        <v>0</v>
      </c>
      <c r="BN48" s="52">
        <f t="shared" si="32"/>
        <v>0</v>
      </c>
      <c r="BO48" s="52">
        <f t="shared" si="32"/>
        <v>0</v>
      </c>
      <c r="BP48" s="52">
        <f t="shared" si="32"/>
        <v>0</v>
      </c>
      <c r="BQ48" s="52">
        <f t="shared" si="32"/>
        <v>0</v>
      </c>
      <c r="BR48" s="52">
        <f t="shared" si="32"/>
        <v>0</v>
      </c>
      <c r="BS48" s="52">
        <f t="shared" si="32"/>
        <v>1</v>
      </c>
      <c r="BT48" s="52">
        <f t="shared" si="32"/>
        <v>1</v>
      </c>
      <c r="BU48" s="52">
        <f t="shared" si="32"/>
        <v>1</v>
      </c>
      <c r="BV48" s="52">
        <f t="shared" si="32"/>
        <v>1</v>
      </c>
      <c r="BW48" s="52">
        <f t="shared" si="32"/>
        <v>1</v>
      </c>
      <c r="BX48" s="52">
        <f t="shared" si="32"/>
        <v>1</v>
      </c>
      <c r="BY48" s="52">
        <f t="shared" si="32"/>
        <v>0</v>
      </c>
      <c r="BZ48" s="52">
        <f t="shared" si="32"/>
        <v>0</v>
      </c>
      <c r="CA48" s="52">
        <f t="shared" si="32"/>
        <v>0</v>
      </c>
      <c r="CB48" s="52">
        <f t="shared" si="32"/>
        <v>0</v>
      </c>
      <c r="CC48" s="52">
        <f t="shared" si="32"/>
        <v>0</v>
      </c>
      <c r="CD48" s="52">
        <f t="shared" si="32"/>
        <v>0</v>
      </c>
      <c r="CE48" s="52">
        <f t="shared" si="32"/>
        <v>0</v>
      </c>
      <c r="CF48" s="52">
        <f t="shared" si="32"/>
        <v>0</v>
      </c>
      <c r="CG48" s="52">
        <f t="shared" si="32"/>
        <v>0</v>
      </c>
      <c r="CH48" s="52">
        <f t="shared" si="32"/>
        <v>0</v>
      </c>
      <c r="CI48" s="52">
        <f t="shared" si="32"/>
        <v>0</v>
      </c>
      <c r="CJ48" s="52">
        <f t="shared" si="32"/>
        <v>0</v>
      </c>
      <c r="CK48" s="52">
        <f t="shared" si="32"/>
        <v>0</v>
      </c>
      <c r="CL48" s="52">
        <f t="shared" si="32"/>
        <v>0</v>
      </c>
      <c r="CM48" s="52">
        <f t="shared" si="32"/>
        <v>0</v>
      </c>
      <c r="CN48" s="52">
        <f t="shared" si="32"/>
        <v>0</v>
      </c>
      <c r="CO48" s="52">
        <f t="shared" si="32"/>
        <v>0</v>
      </c>
      <c r="CP48" s="52">
        <f t="shared" si="32"/>
        <v>0</v>
      </c>
      <c r="CQ48" s="52">
        <f t="shared" si="32"/>
        <v>0</v>
      </c>
      <c r="CR48" s="52">
        <f t="shared" si="32"/>
        <v>0</v>
      </c>
      <c r="CS48" s="52">
        <f t="shared" si="32"/>
        <v>0</v>
      </c>
      <c r="CT48" s="52">
        <f t="shared" si="32"/>
        <v>0</v>
      </c>
      <c r="CU48" s="52">
        <f t="shared" si="32"/>
        <v>0</v>
      </c>
      <c r="CV48" s="52">
        <f t="shared" si="32"/>
        <v>0</v>
      </c>
      <c r="CW48" s="52">
        <f t="shared" si="32"/>
        <v>0</v>
      </c>
      <c r="CX48" s="52">
        <f t="shared" si="32"/>
        <v>0</v>
      </c>
      <c r="CY48" s="52">
        <f t="shared" si="32"/>
        <v>0</v>
      </c>
      <c r="CZ48" s="52">
        <f t="shared" si="32"/>
        <v>0</v>
      </c>
      <c r="DA48" s="52">
        <f t="shared" si="32"/>
        <v>0</v>
      </c>
      <c r="DB48" s="52">
        <f t="shared" si="32"/>
        <v>0</v>
      </c>
      <c r="DC48" s="52">
        <f t="shared" si="32"/>
        <v>0</v>
      </c>
      <c r="DD48" s="52">
        <f t="shared" si="32"/>
        <v>0</v>
      </c>
      <c r="DE48" s="52">
        <f t="shared" si="32"/>
        <v>0</v>
      </c>
      <c r="DF48" s="52">
        <f t="shared" si="32"/>
        <v>0</v>
      </c>
      <c r="DG48" s="52">
        <f t="shared" si="32"/>
        <v>0</v>
      </c>
      <c r="DH48" s="52">
        <f t="shared" si="32"/>
        <v>0</v>
      </c>
      <c r="DI48" s="52">
        <f t="shared" si="32"/>
        <v>0</v>
      </c>
      <c r="DJ48" s="52">
        <f t="shared" si="32"/>
        <v>0</v>
      </c>
    </row>
    <row r="49" ht="15.75" customHeight="1">
      <c r="B49" s="52" t="s">
        <v>1792</v>
      </c>
      <c r="C49" s="63">
        <v>2.0</v>
      </c>
      <c r="D49" s="52" t="s">
        <v>1790</v>
      </c>
      <c r="E49" s="58"/>
      <c r="F49" s="58"/>
      <c r="G49" s="58"/>
      <c r="H49" s="58"/>
      <c r="I49" s="58"/>
      <c r="J49" s="58"/>
      <c r="K49" s="58"/>
      <c r="L49" s="58"/>
      <c r="M49" s="58"/>
      <c r="N49" s="65">
        <v>0.08</v>
      </c>
      <c r="O49" s="65">
        <v>0.08</v>
      </c>
      <c r="P49" s="65">
        <v>0.07</v>
      </c>
      <c r="Q49" s="65">
        <v>0.07</v>
      </c>
      <c r="R49" s="65">
        <v>0.06</v>
      </c>
      <c r="S49" s="65">
        <v>0.06</v>
      </c>
      <c r="T49" s="65">
        <v>0.05</v>
      </c>
      <c r="U49" s="65">
        <v>0.05</v>
      </c>
      <c r="V49" s="65">
        <v>0.05</v>
      </c>
      <c r="W49" s="65">
        <v>0.04</v>
      </c>
      <c r="X49" s="65">
        <v>0.04</v>
      </c>
      <c r="Y49" s="65">
        <v>0.04</v>
      </c>
      <c r="Z49" s="65">
        <v>0.04</v>
      </c>
      <c r="AA49" s="65">
        <v>0.03</v>
      </c>
      <c r="AB49" s="65">
        <v>0.03</v>
      </c>
      <c r="AC49" s="65">
        <v>0.03</v>
      </c>
      <c r="AD49" s="65">
        <v>0.03</v>
      </c>
      <c r="AE49" s="58"/>
      <c r="AF49" s="52"/>
      <c r="AG49" s="52"/>
      <c r="AH49" s="52"/>
      <c r="AI49" s="52"/>
      <c r="AJ49" s="52"/>
      <c r="BL49" s="52">
        <f t="shared" ref="BL49:DJ49" si="33">ROUND($BL33*E49,0)</f>
        <v>0</v>
      </c>
      <c r="BM49" s="52">
        <f t="shared" si="33"/>
        <v>0</v>
      </c>
      <c r="BN49" s="52">
        <f t="shared" si="33"/>
        <v>0</v>
      </c>
      <c r="BO49" s="52">
        <f t="shared" si="33"/>
        <v>0</v>
      </c>
      <c r="BP49" s="52">
        <f t="shared" si="33"/>
        <v>0</v>
      </c>
      <c r="BQ49" s="52">
        <f t="shared" si="33"/>
        <v>0</v>
      </c>
      <c r="BR49" s="52">
        <f t="shared" si="33"/>
        <v>0</v>
      </c>
      <c r="BS49" s="52">
        <f t="shared" si="33"/>
        <v>0</v>
      </c>
      <c r="BT49" s="52">
        <f t="shared" si="33"/>
        <v>0</v>
      </c>
      <c r="BU49" s="52">
        <f t="shared" si="33"/>
        <v>1</v>
      </c>
      <c r="BV49" s="52">
        <f t="shared" si="33"/>
        <v>1</v>
      </c>
      <c r="BW49" s="52">
        <f t="shared" si="33"/>
        <v>1</v>
      </c>
      <c r="BX49" s="52">
        <f t="shared" si="33"/>
        <v>1</v>
      </c>
      <c r="BY49" s="52">
        <f t="shared" si="33"/>
        <v>1</v>
      </c>
      <c r="BZ49" s="52">
        <f t="shared" si="33"/>
        <v>1</v>
      </c>
      <c r="CA49" s="52">
        <f t="shared" si="33"/>
        <v>1</v>
      </c>
      <c r="CB49" s="52">
        <f t="shared" si="33"/>
        <v>1</v>
      </c>
      <c r="CC49" s="52">
        <f t="shared" si="33"/>
        <v>1</v>
      </c>
      <c r="CD49" s="52">
        <f t="shared" si="33"/>
        <v>0</v>
      </c>
      <c r="CE49" s="52">
        <f t="shared" si="33"/>
        <v>0</v>
      </c>
      <c r="CF49" s="52">
        <f t="shared" si="33"/>
        <v>0</v>
      </c>
      <c r="CG49" s="52">
        <f t="shared" si="33"/>
        <v>0</v>
      </c>
      <c r="CH49" s="52">
        <f t="shared" si="33"/>
        <v>0</v>
      </c>
      <c r="CI49" s="52">
        <f t="shared" si="33"/>
        <v>0</v>
      </c>
      <c r="CJ49" s="52">
        <f t="shared" si="33"/>
        <v>0</v>
      </c>
      <c r="CK49" s="52">
        <f t="shared" si="33"/>
        <v>0</v>
      </c>
      <c r="CL49" s="52">
        <f t="shared" si="33"/>
        <v>0</v>
      </c>
      <c r="CM49" s="52">
        <f t="shared" si="33"/>
        <v>0</v>
      </c>
      <c r="CN49" s="52">
        <f t="shared" si="33"/>
        <v>0</v>
      </c>
      <c r="CO49" s="52">
        <f t="shared" si="33"/>
        <v>0</v>
      </c>
      <c r="CP49" s="52">
        <f t="shared" si="33"/>
        <v>0</v>
      </c>
      <c r="CQ49" s="52">
        <f t="shared" si="33"/>
        <v>0</v>
      </c>
      <c r="CR49" s="52">
        <f t="shared" si="33"/>
        <v>0</v>
      </c>
      <c r="CS49" s="52">
        <f t="shared" si="33"/>
        <v>0</v>
      </c>
      <c r="CT49" s="52">
        <f t="shared" si="33"/>
        <v>0</v>
      </c>
      <c r="CU49" s="52">
        <f t="shared" si="33"/>
        <v>0</v>
      </c>
      <c r="CV49" s="52">
        <f t="shared" si="33"/>
        <v>0</v>
      </c>
      <c r="CW49" s="52">
        <f t="shared" si="33"/>
        <v>0</v>
      </c>
      <c r="CX49" s="52">
        <f t="shared" si="33"/>
        <v>0</v>
      </c>
      <c r="CY49" s="52">
        <f t="shared" si="33"/>
        <v>0</v>
      </c>
      <c r="CZ49" s="52">
        <f t="shared" si="33"/>
        <v>0</v>
      </c>
      <c r="DA49" s="52">
        <f t="shared" si="33"/>
        <v>0</v>
      </c>
      <c r="DB49" s="52">
        <f t="shared" si="33"/>
        <v>0</v>
      </c>
      <c r="DC49" s="52">
        <f t="shared" si="33"/>
        <v>0</v>
      </c>
      <c r="DD49" s="52">
        <f t="shared" si="33"/>
        <v>0</v>
      </c>
      <c r="DE49" s="52">
        <f t="shared" si="33"/>
        <v>0</v>
      </c>
      <c r="DF49" s="52">
        <f t="shared" si="33"/>
        <v>0</v>
      </c>
      <c r="DG49" s="52">
        <f t="shared" si="33"/>
        <v>0</v>
      </c>
      <c r="DH49" s="52">
        <f t="shared" si="33"/>
        <v>0</v>
      </c>
      <c r="DI49" s="52">
        <f t="shared" si="33"/>
        <v>0</v>
      </c>
      <c r="DJ49" s="52">
        <f t="shared" si="33"/>
        <v>0</v>
      </c>
    </row>
    <row r="50" ht="15.75" customHeight="1">
      <c r="B50" s="52" t="s">
        <v>1792</v>
      </c>
      <c r="C50" s="63">
        <v>3.0</v>
      </c>
      <c r="D50" s="52">
        <v>0.0</v>
      </c>
      <c r="E50" s="65">
        <v>0.07</v>
      </c>
      <c r="F50" s="65">
        <v>0.07</v>
      </c>
      <c r="G50" s="65">
        <v>0.07</v>
      </c>
      <c r="H50" s="65">
        <v>0.07</v>
      </c>
      <c r="I50" s="65">
        <v>0.07</v>
      </c>
      <c r="J50" s="65">
        <v>0.07</v>
      </c>
      <c r="K50" s="65">
        <v>0.07</v>
      </c>
      <c r="L50" s="65">
        <v>0.07</v>
      </c>
      <c r="M50" s="65">
        <v>0.07</v>
      </c>
      <c r="N50" s="65">
        <v>0.03</v>
      </c>
      <c r="O50" s="65">
        <v>0.03</v>
      </c>
      <c r="P50" s="65">
        <v>0.03</v>
      </c>
      <c r="Q50" s="65">
        <v>0.03</v>
      </c>
      <c r="R50" s="65">
        <v>0.03</v>
      </c>
      <c r="S50" s="65">
        <v>0.03</v>
      </c>
      <c r="T50" s="65">
        <v>0.03</v>
      </c>
      <c r="U50" s="65">
        <v>0.02</v>
      </c>
      <c r="V50" s="65">
        <v>0.02</v>
      </c>
      <c r="W50" s="65">
        <v>0.02</v>
      </c>
      <c r="X50" s="65">
        <v>0.02</v>
      </c>
      <c r="Y50" s="65">
        <v>0.02</v>
      </c>
      <c r="Z50" s="65">
        <v>0.02</v>
      </c>
      <c r="AA50" s="65">
        <v>0.02</v>
      </c>
      <c r="AB50" s="65">
        <v>0.02</v>
      </c>
      <c r="AC50" s="58"/>
      <c r="AD50" s="58"/>
      <c r="AE50" s="58"/>
      <c r="AF50" s="52"/>
      <c r="AG50" s="52"/>
      <c r="AH50" s="52"/>
      <c r="AI50" s="52"/>
      <c r="AJ50" s="52"/>
      <c r="BM50" s="52">
        <f t="shared" ref="BM50:DJ50" si="34">ROUND($BM27*E50,0)</f>
        <v>10</v>
      </c>
      <c r="BN50" s="52">
        <f t="shared" si="34"/>
        <v>10</v>
      </c>
      <c r="BO50" s="52">
        <f t="shared" si="34"/>
        <v>10</v>
      </c>
      <c r="BP50" s="52">
        <f t="shared" si="34"/>
        <v>10</v>
      </c>
      <c r="BQ50" s="52">
        <f t="shared" si="34"/>
        <v>10</v>
      </c>
      <c r="BR50" s="52">
        <f t="shared" si="34"/>
        <v>10</v>
      </c>
      <c r="BS50" s="52">
        <f t="shared" si="34"/>
        <v>10</v>
      </c>
      <c r="BT50" s="52">
        <f t="shared" si="34"/>
        <v>10</v>
      </c>
      <c r="BU50" s="52">
        <f t="shared" si="34"/>
        <v>10</v>
      </c>
      <c r="BV50" s="52">
        <f t="shared" si="34"/>
        <v>4</v>
      </c>
      <c r="BW50" s="52">
        <f t="shared" si="34"/>
        <v>4</v>
      </c>
      <c r="BX50" s="52">
        <f t="shared" si="34"/>
        <v>4</v>
      </c>
      <c r="BY50" s="52">
        <f t="shared" si="34"/>
        <v>4</v>
      </c>
      <c r="BZ50" s="52">
        <f t="shared" si="34"/>
        <v>4</v>
      </c>
      <c r="CA50" s="52">
        <f t="shared" si="34"/>
        <v>4</v>
      </c>
      <c r="CB50" s="52">
        <f t="shared" si="34"/>
        <v>4</v>
      </c>
      <c r="CC50" s="52">
        <f t="shared" si="34"/>
        <v>3</v>
      </c>
      <c r="CD50" s="52">
        <f t="shared" si="34"/>
        <v>3</v>
      </c>
      <c r="CE50" s="52">
        <f t="shared" si="34"/>
        <v>3</v>
      </c>
      <c r="CF50" s="52">
        <f t="shared" si="34"/>
        <v>3</v>
      </c>
      <c r="CG50" s="52">
        <f t="shared" si="34"/>
        <v>3</v>
      </c>
      <c r="CH50" s="52">
        <f t="shared" si="34"/>
        <v>3</v>
      </c>
      <c r="CI50" s="52">
        <f t="shared" si="34"/>
        <v>3</v>
      </c>
      <c r="CJ50" s="52">
        <f t="shared" si="34"/>
        <v>3</v>
      </c>
      <c r="CK50" s="52">
        <f t="shared" si="34"/>
        <v>0</v>
      </c>
      <c r="CL50" s="52">
        <f t="shared" si="34"/>
        <v>0</v>
      </c>
      <c r="CM50" s="52">
        <f t="shared" si="34"/>
        <v>0</v>
      </c>
      <c r="CN50" s="52">
        <f t="shared" si="34"/>
        <v>0</v>
      </c>
      <c r="CO50" s="52">
        <f t="shared" si="34"/>
        <v>0</v>
      </c>
      <c r="CP50" s="52">
        <f t="shared" si="34"/>
        <v>0</v>
      </c>
      <c r="CQ50" s="52">
        <f t="shared" si="34"/>
        <v>0</v>
      </c>
      <c r="CR50" s="52">
        <f t="shared" si="34"/>
        <v>0</v>
      </c>
      <c r="CS50" s="52">
        <f t="shared" si="34"/>
        <v>0</v>
      </c>
      <c r="CT50" s="52">
        <f t="shared" si="34"/>
        <v>0</v>
      </c>
      <c r="CU50" s="52">
        <f t="shared" si="34"/>
        <v>0</v>
      </c>
      <c r="CV50" s="52">
        <f t="shared" si="34"/>
        <v>0</v>
      </c>
      <c r="CW50" s="52">
        <f t="shared" si="34"/>
        <v>0</v>
      </c>
      <c r="CX50" s="52">
        <f t="shared" si="34"/>
        <v>0</v>
      </c>
      <c r="CY50" s="52">
        <f t="shared" si="34"/>
        <v>0</v>
      </c>
      <c r="CZ50" s="52">
        <f t="shared" si="34"/>
        <v>0</v>
      </c>
      <c r="DA50" s="52">
        <f t="shared" si="34"/>
        <v>0</v>
      </c>
      <c r="DB50" s="52">
        <f t="shared" si="34"/>
        <v>0</v>
      </c>
      <c r="DC50" s="52">
        <f t="shared" si="34"/>
        <v>0</v>
      </c>
      <c r="DD50" s="52">
        <f t="shared" si="34"/>
        <v>0</v>
      </c>
      <c r="DE50" s="52">
        <f t="shared" si="34"/>
        <v>0</v>
      </c>
      <c r="DF50" s="52">
        <f t="shared" si="34"/>
        <v>0</v>
      </c>
      <c r="DG50" s="52">
        <f t="shared" si="34"/>
        <v>0</v>
      </c>
      <c r="DH50" s="52">
        <f t="shared" si="34"/>
        <v>0</v>
      </c>
      <c r="DI50" s="52">
        <f t="shared" si="34"/>
        <v>0</v>
      </c>
      <c r="DJ50" s="52">
        <f t="shared" si="34"/>
        <v>0</v>
      </c>
    </row>
    <row r="51" ht="15.75" customHeight="1">
      <c r="B51" s="52" t="s">
        <v>1792</v>
      </c>
      <c r="C51" s="63">
        <v>3.0</v>
      </c>
      <c r="D51" s="52" t="s">
        <v>1785</v>
      </c>
      <c r="E51" s="65">
        <v>0.02</v>
      </c>
      <c r="F51" s="65">
        <v>0.02</v>
      </c>
      <c r="G51" s="65">
        <v>0.02</v>
      </c>
      <c r="H51" s="65">
        <v>0.02</v>
      </c>
      <c r="I51" s="65">
        <v>0.08</v>
      </c>
      <c r="J51" s="65">
        <v>0.08</v>
      </c>
      <c r="K51" s="65">
        <v>0.07</v>
      </c>
      <c r="L51" s="65">
        <v>0.07</v>
      </c>
      <c r="M51" s="65">
        <v>0.06</v>
      </c>
      <c r="N51" s="65">
        <v>0.06</v>
      </c>
      <c r="O51" s="65">
        <v>0.05</v>
      </c>
      <c r="P51" s="65">
        <v>0.05</v>
      </c>
      <c r="Q51" s="65">
        <v>0.05</v>
      </c>
      <c r="R51" s="65">
        <v>0.04</v>
      </c>
      <c r="S51" s="65">
        <v>0.04</v>
      </c>
      <c r="T51" s="65">
        <v>0.04</v>
      </c>
      <c r="U51" s="65">
        <v>0.04</v>
      </c>
      <c r="V51" s="65">
        <v>0.03</v>
      </c>
      <c r="W51" s="65">
        <v>0.03</v>
      </c>
      <c r="X51" s="65">
        <v>0.03</v>
      </c>
      <c r="Y51" s="65">
        <v>0.03</v>
      </c>
      <c r="Z51" s="65">
        <v>0.03</v>
      </c>
      <c r="AA51" s="65">
        <v>0.02</v>
      </c>
      <c r="AB51" s="65">
        <v>0.02</v>
      </c>
      <c r="AC51" s="58"/>
      <c r="AD51" s="58"/>
      <c r="AE51" s="58"/>
      <c r="AF51" s="52"/>
      <c r="AG51" s="52"/>
      <c r="AH51" s="52"/>
      <c r="AI51" s="52"/>
      <c r="AJ51" s="52"/>
      <c r="BM51" s="52">
        <f t="shared" ref="BM51:DJ51" si="35">ROUND($BM28*E51,0)</f>
        <v>0</v>
      </c>
      <c r="BN51" s="52">
        <f t="shared" si="35"/>
        <v>0</v>
      </c>
      <c r="BO51" s="52">
        <f t="shared" si="35"/>
        <v>0</v>
      </c>
      <c r="BP51" s="52">
        <f t="shared" si="35"/>
        <v>0</v>
      </c>
      <c r="BQ51" s="52">
        <f t="shared" si="35"/>
        <v>1</v>
      </c>
      <c r="BR51" s="52">
        <f t="shared" si="35"/>
        <v>1</v>
      </c>
      <c r="BS51" s="52">
        <f t="shared" si="35"/>
        <v>1</v>
      </c>
      <c r="BT51" s="52">
        <f t="shared" si="35"/>
        <v>1</v>
      </c>
      <c r="BU51" s="52">
        <f t="shared" si="35"/>
        <v>1</v>
      </c>
      <c r="BV51" s="52">
        <f t="shared" si="35"/>
        <v>1</v>
      </c>
      <c r="BW51" s="52">
        <f t="shared" si="35"/>
        <v>1</v>
      </c>
      <c r="BX51" s="52">
        <f t="shared" si="35"/>
        <v>1</v>
      </c>
      <c r="BY51" s="52">
        <f t="shared" si="35"/>
        <v>1</v>
      </c>
      <c r="BZ51" s="52">
        <f t="shared" si="35"/>
        <v>1</v>
      </c>
      <c r="CA51" s="52">
        <f t="shared" si="35"/>
        <v>1</v>
      </c>
      <c r="CB51" s="52">
        <f t="shared" si="35"/>
        <v>1</v>
      </c>
      <c r="CC51" s="52">
        <f t="shared" si="35"/>
        <v>1</v>
      </c>
      <c r="CD51" s="52">
        <f t="shared" si="35"/>
        <v>0</v>
      </c>
      <c r="CE51" s="52">
        <f t="shared" si="35"/>
        <v>0</v>
      </c>
      <c r="CF51" s="52">
        <f t="shared" si="35"/>
        <v>0</v>
      </c>
      <c r="CG51" s="52">
        <f t="shared" si="35"/>
        <v>0</v>
      </c>
      <c r="CH51" s="52">
        <f t="shared" si="35"/>
        <v>0</v>
      </c>
      <c r="CI51" s="52">
        <f t="shared" si="35"/>
        <v>0</v>
      </c>
      <c r="CJ51" s="52">
        <f t="shared" si="35"/>
        <v>0</v>
      </c>
      <c r="CK51" s="52">
        <f t="shared" si="35"/>
        <v>0</v>
      </c>
      <c r="CL51" s="52">
        <f t="shared" si="35"/>
        <v>0</v>
      </c>
      <c r="CM51" s="52">
        <f t="shared" si="35"/>
        <v>0</v>
      </c>
      <c r="CN51" s="52">
        <f t="shared" si="35"/>
        <v>0</v>
      </c>
      <c r="CO51" s="52">
        <f t="shared" si="35"/>
        <v>0</v>
      </c>
      <c r="CP51" s="52">
        <f t="shared" si="35"/>
        <v>0</v>
      </c>
      <c r="CQ51" s="52">
        <f t="shared" si="35"/>
        <v>0</v>
      </c>
      <c r="CR51" s="52">
        <f t="shared" si="35"/>
        <v>0</v>
      </c>
      <c r="CS51" s="52">
        <f t="shared" si="35"/>
        <v>0</v>
      </c>
      <c r="CT51" s="52">
        <f t="shared" si="35"/>
        <v>0</v>
      </c>
      <c r="CU51" s="52">
        <f t="shared" si="35"/>
        <v>0</v>
      </c>
      <c r="CV51" s="52">
        <f t="shared" si="35"/>
        <v>0</v>
      </c>
      <c r="CW51" s="52">
        <f t="shared" si="35"/>
        <v>0</v>
      </c>
      <c r="CX51" s="52">
        <f t="shared" si="35"/>
        <v>0</v>
      </c>
      <c r="CY51" s="52">
        <f t="shared" si="35"/>
        <v>0</v>
      </c>
      <c r="CZ51" s="52">
        <f t="shared" si="35"/>
        <v>0</v>
      </c>
      <c r="DA51" s="52">
        <f t="shared" si="35"/>
        <v>0</v>
      </c>
      <c r="DB51" s="52">
        <f t="shared" si="35"/>
        <v>0</v>
      </c>
      <c r="DC51" s="52">
        <f t="shared" si="35"/>
        <v>0</v>
      </c>
      <c r="DD51" s="52">
        <f t="shared" si="35"/>
        <v>0</v>
      </c>
      <c r="DE51" s="52">
        <f t="shared" si="35"/>
        <v>0</v>
      </c>
      <c r="DF51" s="52">
        <f t="shared" si="35"/>
        <v>0</v>
      </c>
      <c r="DG51" s="52">
        <f t="shared" si="35"/>
        <v>0</v>
      </c>
      <c r="DH51" s="52">
        <f t="shared" si="35"/>
        <v>0</v>
      </c>
      <c r="DI51" s="52">
        <f t="shared" si="35"/>
        <v>0</v>
      </c>
      <c r="DJ51" s="52">
        <f t="shared" si="35"/>
        <v>0</v>
      </c>
    </row>
    <row r="52" ht="15.75" customHeight="1">
      <c r="B52" s="52" t="s">
        <v>1792</v>
      </c>
      <c r="C52" s="63">
        <v>3.0</v>
      </c>
      <c r="D52" s="52" t="s">
        <v>1786</v>
      </c>
      <c r="E52" s="58"/>
      <c r="F52" s="58"/>
      <c r="G52" s="58"/>
      <c r="H52" s="65">
        <v>0.08</v>
      </c>
      <c r="I52" s="65">
        <v>0.08</v>
      </c>
      <c r="J52" s="65">
        <v>0.07</v>
      </c>
      <c r="K52" s="65">
        <v>0.07</v>
      </c>
      <c r="L52" s="65">
        <v>0.06</v>
      </c>
      <c r="M52" s="65">
        <v>0.06</v>
      </c>
      <c r="N52" s="65">
        <v>0.05</v>
      </c>
      <c r="O52" s="65">
        <v>0.05</v>
      </c>
      <c r="P52" s="65">
        <v>0.05</v>
      </c>
      <c r="Q52" s="65">
        <v>0.04</v>
      </c>
      <c r="R52" s="65">
        <v>0.04</v>
      </c>
      <c r="S52" s="65">
        <v>0.04</v>
      </c>
      <c r="T52" s="65">
        <v>0.04</v>
      </c>
      <c r="U52" s="65">
        <v>0.03</v>
      </c>
      <c r="V52" s="65">
        <v>0.03</v>
      </c>
      <c r="W52" s="65">
        <v>0.03</v>
      </c>
      <c r="X52" s="65">
        <v>0.03</v>
      </c>
      <c r="Y52" s="65">
        <v>0.03</v>
      </c>
      <c r="Z52" s="65">
        <v>0.02</v>
      </c>
      <c r="AA52" s="65">
        <v>0.02</v>
      </c>
      <c r="AB52" s="65">
        <v>0.03</v>
      </c>
      <c r="AC52" s="65">
        <v>0.03</v>
      </c>
      <c r="AD52" s="65">
        <v>0.02</v>
      </c>
      <c r="AE52" s="58"/>
      <c r="AF52" s="52"/>
      <c r="AG52" s="52"/>
      <c r="AH52" s="52"/>
      <c r="AI52" s="52"/>
      <c r="AJ52" s="52"/>
      <c r="BM52" s="52">
        <f t="shared" ref="BM52:DJ52" si="36">ROUND($BM29*E52,0)</f>
        <v>0</v>
      </c>
      <c r="BN52" s="52">
        <f t="shared" si="36"/>
        <v>0</v>
      </c>
      <c r="BO52" s="52">
        <f t="shared" si="36"/>
        <v>0</v>
      </c>
      <c r="BP52" s="52">
        <f t="shared" si="36"/>
        <v>2</v>
      </c>
      <c r="BQ52" s="52">
        <f t="shared" si="36"/>
        <v>2</v>
      </c>
      <c r="BR52" s="52">
        <f t="shared" si="36"/>
        <v>2</v>
      </c>
      <c r="BS52" s="52">
        <f t="shared" si="36"/>
        <v>2</v>
      </c>
      <c r="BT52" s="52">
        <f t="shared" si="36"/>
        <v>2</v>
      </c>
      <c r="BU52" s="52">
        <f t="shared" si="36"/>
        <v>2</v>
      </c>
      <c r="BV52" s="52">
        <f t="shared" si="36"/>
        <v>1</v>
      </c>
      <c r="BW52" s="52">
        <f t="shared" si="36"/>
        <v>1</v>
      </c>
      <c r="BX52" s="52">
        <f t="shared" si="36"/>
        <v>1</v>
      </c>
      <c r="BY52" s="52">
        <f t="shared" si="36"/>
        <v>1</v>
      </c>
      <c r="BZ52" s="52">
        <f t="shared" si="36"/>
        <v>1</v>
      </c>
      <c r="CA52" s="52">
        <f t="shared" si="36"/>
        <v>1</v>
      </c>
      <c r="CB52" s="52">
        <f t="shared" si="36"/>
        <v>1</v>
      </c>
      <c r="CC52" s="52">
        <f t="shared" si="36"/>
        <v>1</v>
      </c>
      <c r="CD52" s="52">
        <f t="shared" si="36"/>
        <v>1</v>
      </c>
      <c r="CE52" s="52">
        <f t="shared" si="36"/>
        <v>1</v>
      </c>
      <c r="CF52" s="52">
        <f t="shared" si="36"/>
        <v>1</v>
      </c>
      <c r="CG52" s="52">
        <f t="shared" si="36"/>
        <v>1</v>
      </c>
      <c r="CH52" s="52">
        <f t="shared" si="36"/>
        <v>1</v>
      </c>
      <c r="CI52" s="52">
        <f t="shared" si="36"/>
        <v>1</v>
      </c>
      <c r="CJ52" s="52">
        <f t="shared" si="36"/>
        <v>1</v>
      </c>
      <c r="CK52" s="52">
        <f t="shared" si="36"/>
        <v>1</v>
      </c>
      <c r="CL52" s="52">
        <f t="shared" si="36"/>
        <v>1</v>
      </c>
      <c r="CM52" s="52">
        <f t="shared" si="36"/>
        <v>0</v>
      </c>
      <c r="CN52" s="52">
        <f t="shared" si="36"/>
        <v>0</v>
      </c>
      <c r="CO52" s="52">
        <f t="shared" si="36"/>
        <v>0</v>
      </c>
      <c r="CP52" s="52">
        <f t="shared" si="36"/>
        <v>0</v>
      </c>
      <c r="CQ52" s="52">
        <f t="shared" si="36"/>
        <v>0</v>
      </c>
      <c r="CR52" s="52">
        <f t="shared" si="36"/>
        <v>0</v>
      </c>
      <c r="CS52" s="52">
        <f t="shared" si="36"/>
        <v>0</v>
      </c>
      <c r="CT52" s="52">
        <f t="shared" si="36"/>
        <v>0</v>
      </c>
      <c r="CU52" s="52">
        <f t="shared" si="36"/>
        <v>0</v>
      </c>
      <c r="CV52" s="52">
        <f t="shared" si="36"/>
        <v>0</v>
      </c>
      <c r="CW52" s="52">
        <f t="shared" si="36"/>
        <v>0</v>
      </c>
      <c r="CX52" s="52">
        <f t="shared" si="36"/>
        <v>0</v>
      </c>
      <c r="CY52" s="52">
        <f t="shared" si="36"/>
        <v>0</v>
      </c>
      <c r="CZ52" s="52">
        <f t="shared" si="36"/>
        <v>0</v>
      </c>
      <c r="DA52" s="52">
        <f t="shared" si="36"/>
        <v>0</v>
      </c>
      <c r="DB52" s="52">
        <f t="shared" si="36"/>
        <v>0</v>
      </c>
      <c r="DC52" s="52">
        <f t="shared" si="36"/>
        <v>0</v>
      </c>
      <c r="DD52" s="52">
        <f t="shared" si="36"/>
        <v>0</v>
      </c>
      <c r="DE52" s="52">
        <f t="shared" si="36"/>
        <v>0</v>
      </c>
      <c r="DF52" s="52">
        <f t="shared" si="36"/>
        <v>0</v>
      </c>
      <c r="DG52" s="52">
        <f t="shared" si="36"/>
        <v>0</v>
      </c>
      <c r="DH52" s="52">
        <f t="shared" si="36"/>
        <v>0</v>
      </c>
      <c r="DI52" s="52">
        <f t="shared" si="36"/>
        <v>0</v>
      </c>
      <c r="DJ52" s="52">
        <f t="shared" si="36"/>
        <v>0</v>
      </c>
    </row>
    <row r="53" ht="15.75" customHeight="1">
      <c r="B53" s="52" t="s">
        <v>1792</v>
      </c>
      <c r="C53" s="63">
        <v>3.0</v>
      </c>
      <c r="D53" s="52" t="s">
        <v>1787</v>
      </c>
      <c r="E53" s="58"/>
      <c r="F53" s="58"/>
      <c r="G53" s="58"/>
      <c r="H53" s="58"/>
      <c r="I53" s="58"/>
      <c r="J53" s="65">
        <v>0.08</v>
      </c>
      <c r="K53" s="65">
        <v>0.08</v>
      </c>
      <c r="L53" s="65">
        <v>0.07</v>
      </c>
      <c r="M53" s="65">
        <v>0.07</v>
      </c>
      <c r="N53" s="65">
        <v>0.06</v>
      </c>
      <c r="O53" s="65">
        <v>0.06</v>
      </c>
      <c r="P53" s="65">
        <v>0.05</v>
      </c>
      <c r="Q53" s="65">
        <v>0.05</v>
      </c>
      <c r="R53" s="65">
        <v>0.05</v>
      </c>
      <c r="S53" s="65">
        <v>0.04</v>
      </c>
      <c r="T53" s="65">
        <v>0.04</v>
      </c>
      <c r="U53" s="65">
        <v>0.04</v>
      </c>
      <c r="V53" s="65">
        <v>0.04</v>
      </c>
      <c r="W53" s="65">
        <v>0.03</v>
      </c>
      <c r="X53" s="65">
        <v>0.03</v>
      </c>
      <c r="Y53" s="65">
        <v>0.03</v>
      </c>
      <c r="Z53" s="65">
        <v>0.03</v>
      </c>
      <c r="AA53" s="65">
        <v>0.03</v>
      </c>
      <c r="AB53" s="65">
        <v>0.02</v>
      </c>
      <c r="AC53" s="65">
        <v>0.02</v>
      </c>
      <c r="AD53" s="65">
        <v>0.03</v>
      </c>
      <c r="AE53" s="58"/>
      <c r="AF53" s="52"/>
      <c r="AG53" s="52"/>
      <c r="AH53" s="52"/>
      <c r="AI53" s="52"/>
      <c r="AJ53" s="52"/>
      <c r="BM53" s="52">
        <f t="shared" ref="BM53:DJ53" si="37">ROUND($BM30*E53,0)</f>
        <v>0</v>
      </c>
      <c r="BN53" s="52">
        <f t="shared" si="37"/>
        <v>0</v>
      </c>
      <c r="BO53" s="52">
        <f t="shared" si="37"/>
        <v>0</v>
      </c>
      <c r="BP53" s="52">
        <f t="shared" si="37"/>
        <v>0</v>
      </c>
      <c r="BQ53" s="52">
        <f t="shared" si="37"/>
        <v>0</v>
      </c>
      <c r="BR53" s="52">
        <f t="shared" si="37"/>
        <v>0</v>
      </c>
      <c r="BS53" s="52">
        <f t="shared" si="37"/>
        <v>0</v>
      </c>
      <c r="BT53" s="52">
        <f t="shared" si="37"/>
        <v>0</v>
      </c>
      <c r="BU53" s="52">
        <f t="shared" si="37"/>
        <v>0</v>
      </c>
      <c r="BV53" s="52">
        <f t="shared" si="37"/>
        <v>0</v>
      </c>
      <c r="BW53" s="52">
        <f t="shared" si="37"/>
        <v>0</v>
      </c>
      <c r="BX53" s="52">
        <f t="shared" si="37"/>
        <v>0</v>
      </c>
      <c r="BY53" s="52">
        <f t="shared" si="37"/>
        <v>0</v>
      </c>
      <c r="BZ53" s="52">
        <f t="shared" si="37"/>
        <v>0</v>
      </c>
      <c r="CA53" s="52">
        <f t="shared" si="37"/>
        <v>0</v>
      </c>
      <c r="CB53" s="52">
        <f t="shared" si="37"/>
        <v>0</v>
      </c>
      <c r="CC53" s="52">
        <f t="shared" si="37"/>
        <v>0</v>
      </c>
      <c r="CD53" s="52">
        <f t="shared" si="37"/>
        <v>0</v>
      </c>
      <c r="CE53" s="52">
        <f t="shared" si="37"/>
        <v>0</v>
      </c>
      <c r="CF53" s="52">
        <f t="shared" si="37"/>
        <v>0</v>
      </c>
      <c r="CG53" s="52">
        <f t="shared" si="37"/>
        <v>0</v>
      </c>
      <c r="CH53" s="52">
        <f t="shared" si="37"/>
        <v>0</v>
      </c>
      <c r="CI53" s="52">
        <f t="shared" si="37"/>
        <v>0</v>
      </c>
      <c r="CJ53" s="52">
        <f t="shared" si="37"/>
        <v>0</v>
      </c>
      <c r="CK53" s="52">
        <f t="shared" si="37"/>
        <v>0</v>
      </c>
      <c r="CL53" s="52">
        <f t="shared" si="37"/>
        <v>0</v>
      </c>
      <c r="CM53" s="52">
        <f t="shared" si="37"/>
        <v>0</v>
      </c>
      <c r="CN53" s="52">
        <f t="shared" si="37"/>
        <v>0</v>
      </c>
      <c r="CO53" s="52">
        <f t="shared" si="37"/>
        <v>0</v>
      </c>
      <c r="CP53" s="52">
        <f t="shared" si="37"/>
        <v>0</v>
      </c>
      <c r="CQ53" s="52">
        <f t="shared" si="37"/>
        <v>0</v>
      </c>
      <c r="CR53" s="52">
        <f t="shared" si="37"/>
        <v>0</v>
      </c>
      <c r="CS53" s="52">
        <f t="shared" si="37"/>
        <v>0</v>
      </c>
      <c r="CT53" s="52">
        <f t="shared" si="37"/>
        <v>0</v>
      </c>
      <c r="CU53" s="52">
        <f t="shared" si="37"/>
        <v>0</v>
      </c>
      <c r="CV53" s="52">
        <f t="shared" si="37"/>
        <v>0</v>
      </c>
      <c r="CW53" s="52">
        <f t="shared" si="37"/>
        <v>0</v>
      </c>
      <c r="CX53" s="52">
        <f t="shared" si="37"/>
        <v>0</v>
      </c>
      <c r="CY53" s="52">
        <f t="shared" si="37"/>
        <v>0</v>
      </c>
      <c r="CZ53" s="52">
        <f t="shared" si="37"/>
        <v>0</v>
      </c>
      <c r="DA53" s="52">
        <f t="shared" si="37"/>
        <v>0</v>
      </c>
      <c r="DB53" s="52">
        <f t="shared" si="37"/>
        <v>0</v>
      </c>
      <c r="DC53" s="52">
        <f t="shared" si="37"/>
        <v>0</v>
      </c>
      <c r="DD53" s="52">
        <f t="shared" si="37"/>
        <v>0</v>
      </c>
      <c r="DE53" s="52">
        <f t="shared" si="37"/>
        <v>0</v>
      </c>
      <c r="DF53" s="52">
        <f t="shared" si="37"/>
        <v>0</v>
      </c>
      <c r="DG53" s="52">
        <f t="shared" si="37"/>
        <v>0</v>
      </c>
      <c r="DH53" s="52">
        <f t="shared" si="37"/>
        <v>0</v>
      </c>
      <c r="DI53" s="52">
        <f t="shared" si="37"/>
        <v>0</v>
      </c>
      <c r="DJ53" s="52">
        <f t="shared" si="37"/>
        <v>0</v>
      </c>
    </row>
    <row r="54" ht="15.75" customHeight="1">
      <c r="B54" s="52" t="s">
        <v>1792</v>
      </c>
      <c r="C54" s="63">
        <v>3.0</v>
      </c>
      <c r="D54" s="52" t="s">
        <v>1788</v>
      </c>
      <c r="E54" s="58"/>
      <c r="F54" s="58"/>
      <c r="G54" s="58"/>
      <c r="H54" s="58"/>
      <c r="I54" s="58"/>
      <c r="J54" s="58"/>
      <c r="K54" s="65">
        <v>0.08</v>
      </c>
      <c r="L54" s="65">
        <v>0.08</v>
      </c>
      <c r="M54" s="65">
        <v>0.07</v>
      </c>
      <c r="N54" s="65">
        <v>0.07</v>
      </c>
      <c r="O54" s="65">
        <v>0.06</v>
      </c>
      <c r="P54" s="65">
        <v>0.06</v>
      </c>
      <c r="Q54" s="65">
        <v>0.05</v>
      </c>
      <c r="R54" s="65">
        <v>0.05</v>
      </c>
      <c r="S54" s="65">
        <v>0.05</v>
      </c>
      <c r="T54" s="65">
        <v>0.04</v>
      </c>
      <c r="U54" s="65">
        <v>0.04</v>
      </c>
      <c r="V54" s="65">
        <v>0.04</v>
      </c>
      <c r="W54" s="65">
        <v>0.04</v>
      </c>
      <c r="X54" s="65">
        <v>0.03</v>
      </c>
      <c r="Y54" s="65">
        <v>0.03</v>
      </c>
      <c r="Z54" s="65">
        <v>0.03</v>
      </c>
      <c r="AA54" s="65">
        <v>0.03</v>
      </c>
      <c r="AB54" s="65">
        <v>0.03</v>
      </c>
      <c r="AC54" s="65">
        <v>0.02</v>
      </c>
      <c r="AD54" s="65">
        <v>0.02</v>
      </c>
      <c r="AE54" s="58"/>
      <c r="AF54" s="52"/>
      <c r="AG54" s="52"/>
      <c r="AH54" s="52"/>
      <c r="AI54" s="52"/>
      <c r="AJ54" s="52"/>
      <c r="BM54" s="52">
        <f t="shared" ref="BM54:DJ54" si="38">ROUND($BM31*E54,0)</f>
        <v>0</v>
      </c>
      <c r="BN54" s="52">
        <f t="shared" si="38"/>
        <v>0</v>
      </c>
      <c r="BO54" s="52">
        <f t="shared" si="38"/>
        <v>0</v>
      </c>
      <c r="BP54" s="52">
        <f t="shared" si="38"/>
        <v>0</v>
      </c>
      <c r="BQ54" s="52">
        <f t="shared" si="38"/>
        <v>0</v>
      </c>
      <c r="BR54" s="52">
        <f t="shared" si="38"/>
        <v>0</v>
      </c>
      <c r="BS54" s="52">
        <f t="shared" si="38"/>
        <v>0</v>
      </c>
      <c r="BT54" s="52">
        <f t="shared" si="38"/>
        <v>0</v>
      </c>
      <c r="BU54" s="52">
        <f t="shared" si="38"/>
        <v>0</v>
      </c>
      <c r="BV54" s="52">
        <f t="shared" si="38"/>
        <v>0</v>
      </c>
      <c r="BW54" s="52">
        <f t="shared" si="38"/>
        <v>0</v>
      </c>
      <c r="BX54" s="52">
        <f t="shared" si="38"/>
        <v>0</v>
      </c>
      <c r="BY54" s="52">
        <f t="shared" si="38"/>
        <v>0</v>
      </c>
      <c r="BZ54" s="52">
        <f t="shared" si="38"/>
        <v>0</v>
      </c>
      <c r="CA54" s="52">
        <f t="shared" si="38"/>
        <v>0</v>
      </c>
      <c r="CB54" s="52">
        <f t="shared" si="38"/>
        <v>0</v>
      </c>
      <c r="CC54" s="52">
        <f t="shared" si="38"/>
        <v>0</v>
      </c>
      <c r="CD54" s="52">
        <f t="shared" si="38"/>
        <v>0</v>
      </c>
      <c r="CE54" s="52">
        <f t="shared" si="38"/>
        <v>0</v>
      </c>
      <c r="CF54" s="52">
        <f t="shared" si="38"/>
        <v>0</v>
      </c>
      <c r="CG54" s="52">
        <f t="shared" si="38"/>
        <v>0</v>
      </c>
      <c r="CH54" s="52">
        <f t="shared" si="38"/>
        <v>0</v>
      </c>
      <c r="CI54" s="52">
        <f t="shared" si="38"/>
        <v>0</v>
      </c>
      <c r="CJ54" s="52">
        <f t="shared" si="38"/>
        <v>0</v>
      </c>
      <c r="CK54" s="52">
        <f t="shared" si="38"/>
        <v>0</v>
      </c>
      <c r="CL54" s="52">
        <f t="shared" si="38"/>
        <v>0</v>
      </c>
      <c r="CM54" s="52">
        <f t="shared" si="38"/>
        <v>0</v>
      </c>
      <c r="CN54" s="52">
        <f t="shared" si="38"/>
        <v>0</v>
      </c>
      <c r="CO54" s="52">
        <f t="shared" si="38"/>
        <v>0</v>
      </c>
      <c r="CP54" s="52">
        <f t="shared" si="38"/>
        <v>0</v>
      </c>
      <c r="CQ54" s="52">
        <f t="shared" si="38"/>
        <v>0</v>
      </c>
      <c r="CR54" s="52">
        <f t="shared" si="38"/>
        <v>0</v>
      </c>
      <c r="CS54" s="52">
        <f t="shared" si="38"/>
        <v>0</v>
      </c>
      <c r="CT54" s="52">
        <f t="shared" si="38"/>
        <v>0</v>
      </c>
      <c r="CU54" s="52">
        <f t="shared" si="38"/>
        <v>0</v>
      </c>
      <c r="CV54" s="52">
        <f t="shared" si="38"/>
        <v>0</v>
      </c>
      <c r="CW54" s="52">
        <f t="shared" si="38"/>
        <v>0</v>
      </c>
      <c r="CX54" s="52">
        <f t="shared" si="38"/>
        <v>0</v>
      </c>
      <c r="CY54" s="52">
        <f t="shared" si="38"/>
        <v>0</v>
      </c>
      <c r="CZ54" s="52">
        <f t="shared" si="38"/>
        <v>0</v>
      </c>
      <c r="DA54" s="52">
        <f t="shared" si="38"/>
        <v>0</v>
      </c>
      <c r="DB54" s="52">
        <f t="shared" si="38"/>
        <v>0</v>
      </c>
      <c r="DC54" s="52">
        <f t="shared" si="38"/>
        <v>0</v>
      </c>
      <c r="DD54" s="52">
        <f t="shared" si="38"/>
        <v>0</v>
      </c>
      <c r="DE54" s="52">
        <f t="shared" si="38"/>
        <v>0</v>
      </c>
      <c r="DF54" s="52">
        <f t="shared" si="38"/>
        <v>0</v>
      </c>
      <c r="DG54" s="52">
        <f t="shared" si="38"/>
        <v>0</v>
      </c>
      <c r="DH54" s="52">
        <f t="shared" si="38"/>
        <v>0</v>
      </c>
      <c r="DI54" s="52">
        <f t="shared" si="38"/>
        <v>0</v>
      </c>
      <c r="DJ54" s="52">
        <f t="shared" si="38"/>
        <v>0</v>
      </c>
    </row>
    <row r="55" ht="15.75" customHeight="1">
      <c r="B55" s="52" t="s">
        <v>1792</v>
      </c>
      <c r="C55" s="63">
        <v>3.0</v>
      </c>
      <c r="D55" s="52" t="s">
        <v>1789</v>
      </c>
      <c r="E55" s="58"/>
      <c r="F55" s="58"/>
      <c r="G55" s="58"/>
      <c r="H55" s="58"/>
      <c r="I55" s="58"/>
      <c r="J55" s="58"/>
      <c r="K55" s="58"/>
      <c r="L55" s="65">
        <v>0.08</v>
      </c>
      <c r="M55" s="65">
        <v>0.08</v>
      </c>
      <c r="N55" s="65">
        <v>0.07</v>
      </c>
      <c r="O55" s="65">
        <v>0.07</v>
      </c>
      <c r="P55" s="65">
        <v>0.06</v>
      </c>
      <c r="Q55" s="65">
        <v>0.06</v>
      </c>
      <c r="R55" s="65">
        <v>0.05</v>
      </c>
      <c r="S55" s="65">
        <v>0.05</v>
      </c>
      <c r="T55" s="65">
        <v>0.05</v>
      </c>
      <c r="U55" s="65">
        <v>0.04</v>
      </c>
      <c r="V55" s="65">
        <v>0.04</v>
      </c>
      <c r="W55" s="65">
        <v>0.04</v>
      </c>
      <c r="X55" s="65">
        <v>0.04</v>
      </c>
      <c r="Y55" s="65">
        <v>0.03</v>
      </c>
      <c r="Z55" s="65">
        <v>0.03</v>
      </c>
      <c r="AA55" s="65">
        <v>0.03</v>
      </c>
      <c r="AB55" s="65">
        <v>0.03</v>
      </c>
      <c r="AC55" s="65">
        <v>0.03</v>
      </c>
      <c r="AD55" s="65">
        <v>0.02</v>
      </c>
      <c r="AE55" s="58"/>
      <c r="AF55" s="52"/>
      <c r="AG55" s="52"/>
      <c r="AH55" s="52"/>
      <c r="AI55" s="52"/>
      <c r="AJ55" s="52"/>
      <c r="BM55" s="52">
        <f t="shared" ref="BM55:DJ55" si="39">ROUND($BM32*E55,0)</f>
        <v>0</v>
      </c>
      <c r="BN55" s="52">
        <f t="shared" si="39"/>
        <v>0</v>
      </c>
      <c r="BO55" s="52">
        <f t="shared" si="39"/>
        <v>0</v>
      </c>
      <c r="BP55" s="52">
        <f t="shared" si="39"/>
        <v>0</v>
      </c>
      <c r="BQ55" s="52">
        <f t="shared" si="39"/>
        <v>0</v>
      </c>
      <c r="BR55" s="52">
        <f t="shared" si="39"/>
        <v>0</v>
      </c>
      <c r="BS55" s="52">
        <f t="shared" si="39"/>
        <v>0</v>
      </c>
      <c r="BT55" s="52">
        <f t="shared" si="39"/>
        <v>1</v>
      </c>
      <c r="BU55" s="52">
        <f t="shared" si="39"/>
        <v>1</v>
      </c>
      <c r="BV55" s="52">
        <f t="shared" si="39"/>
        <v>1</v>
      </c>
      <c r="BW55" s="52">
        <f t="shared" si="39"/>
        <v>1</v>
      </c>
      <c r="BX55" s="52">
        <f t="shared" si="39"/>
        <v>1</v>
      </c>
      <c r="BY55" s="52">
        <f t="shared" si="39"/>
        <v>1</v>
      </c>
      <c r="BZ55" s="52">
        <f t="shared" si="39"/>
        <v>0</v>
      </c>
      <c r="CA55" s="52">
        <f t="shared" si="39"/>
        <v>0</v>
      </c>
      <c r="CB55" s="52">
        <f t="shared" si="39"/>
        <v>0</v>
      </c>
      <c r="CC55" s="52">
        <f t="shared" si="39"/>
        <v>0</v>
      </c>
      <c r="CD55" s="52">
        <f t="shared" si="39"/>
        <v>0</v>
      </c>
      <c r="CE55" s="52">
        <f t="shared" si="39"/>
        <v>0</v>
      </c>
      <c r="CF55" s="52">
        <f t="shared" si="39"/>
        <v>0</v>
      </c>
      <c r="CG55" s="52">
        <f t="shared" si="39"/>
        <v>0</v>
      </c>
      <c r="CH55" s="52">
        <f t="shared" si="39"/>
        <v>0</v>
      </c>
      <c r="CI55" s="52">
        <f t="shared" si="39"/>
        <v>0</v>
      </c>
      <c r="CJ55" s="52">
        <f t="shared" si="39"/>
        <v>0</v>
      </c>
      <c r="CK55" s="52">
        <f t="shared" si="39"/>
        <v>0</v>
      </c>
      <c r="CL55" s="52">
        <f t="shared" si="39"/>
        <v>0</v>
      </c>
      <c r="CM55" s="52">
        <f t="shared" si="39"/>
        <v>0</v>
      </c>
      <c r="CN55" s="52">
        <f t="shared" si="39"/>
        <v>0</v>
      </c>
      <c r="CO55" s="52">
        <f t="shared" si="39"/>
        <v>0</v>
      </c>
      <c r="CP55" s="52">
        <f t="shared" si="39"/>
        <v>0</v>
      </c>
      <c r="CQ55" s="52">
        <f t="shared" si="39"/>
        <v>0</v>
      </c>
      <c r="CR55" s="52">
        <f t="shared" si="39"/>
        <v>0</v>
      </c>
      <c r="CS55" s="52">
        <f t="shared" si="39"/>
        <v>0</v>
      </c>
      <c r="CT55" s="52">
        <f t="shared" si="39"/>
        <v>0</v>
      </c>
      <c r="CU55" s="52">
        <f t="shared" si="39"/>
        <v>0</v>
      </c>
      <c r="CV55" s="52">
        <f t="shared" si="39"/>
        <v>0</v>
      </c>
      <c r="CW55" s="52">
        <f t="shared" si="39"/>
        <v>0</v>
      </c>
      <c r="CX55" s="52">
        <f t="shared" si="39"/>
        <v>0</v>
      </c>
      <c r="CY55" s="52">
        <f t="shared" si="39"/>
        <v>0</v>
      </c>
      <c r="CZ55" s="52">
        <f t="shared" si="39"/>
        <v>0</v>
      </c>
      <c r="DA55" s="52">
        <f t="shared" si="39"/>
        <v>0</v>
      </c>
      <c r="DB55" s="52">
        <f t="shared" si="39"/>
        <v>0</v>
      </c>
      <c r="DC55" s="52">
        <f t="shared" si="39"/>
        <v>0</v>
      </c>
      <c r="DD55" s="52">
        <f t="shared" si="39"/>
        <v>0</v>
      </c>
      <c r="DE55" s="52">
        <f t="shared" si="39"/>
        <v>0</v>
      </c>
      <c r="DF55" s="52">
        <f t="shared" si="39"/>
        <v>0</v>
      </c>
      <c r="DG55" s="52">
        <f t="shared" si="39"/>
        <v>0</v>
      </c>
      <c r="DH55" s="52">
        <f t="shared" si="39"/>
        <v>0</v>
      </c>
      <c r="DI55" s="52">
        <f t="shared" si="39"/>
        <v>0</v>
      </c>
      <c r="DJ55" s="52">
        <f t="shared" si="39"/>
        <v>0</v>
      </c>
    </row>
    <row r="56" ht="15.75" customHeight="1">
      <c r="B56" s="52" t="s">
        <v>1792</v>
      </c>
      <c r="C56" s="63">
        <v>3.0</v>
      </c>
      <c r="D56" s="52" t="s">
        <v>1790</v>
      </c>
      <c r="E56" s="58"/>
      <c r="F56" s="58"/>
      <c r="G56" s="58"/>
      <c r="H56" s="58"/>
      <c r="I56" s="58"/>
      <c r="J56" s="58"/>
      <c r="K56" s="58"/>
      <c r="L56" s="58"/>
      <c r="M56" s="58"/>
      <c r="N56" s="65">
        <v>0.08</v>
      </c>
      <c r="O56" s="65">
        <v>0.08</v>
      </c>
      <c r="P56" s="65">
        <v>0.07</v>
      </c>
      <c r="Q56" s="65">
        <v>0.07</v>
      </c>
      <c r="R56" s="65">
        <v>0.06</v>
      </c>
      <c r="S56" s="65">
        <v>0.06</v>
      </c>
      <c r="T56" s="65">
        <v>0.05</v>
      </c>
      <c r="U56" s="65">
        <v>0.05</v>
      </c>
      <c r="V56" s="65">
        <v>0.05</v>
      </c>
      <c r="W56" s="65">
        <v>0.04</v>
      </c>
      <c r="X56" s="65">
        <v>0.04</v>
      </c>
      <c r="Y56" s="65">
        <v>0.04</v>
      </c>
      <c r="Z56" s="65">
        <v>0.04</v>
      </c>
      <c r="AA56" s="65">
        <v>0.03</v>
      </c>
      <c r="AB56" s="65">
        <v>0.03</v>
      </c>
      <c r="AC56" s="65">
        <v>0.03</v>
      </c>
      <c r="AD56" s="65">
        <v>0.03</v>
      </c>
      <c r="AE56" s="58"/>
      <c r="AF56" s="52"/>
      <c r="AG56" s="52"/>
      <c r="AH56" s="52"/>
      <c r="AI56" s="52"/>
      <c r="AJ56" s="52"/>
      <c r="BM56" s="52">
        <f t="shared" ref="BM56:DJ56" si="40">ROUND($BM33*E56,0)</f>
        <v>0</v>
      </c>
      <c r="BN56" s="52">
        <f t="shared" si="40"/>
        <v>0</v>
      </c>
      <c r="BO56" s="52">
        <f t="shared" si="40"/>
        <v>0</v>
      </c>
      <c r="BP56" s="52">
        <f t="shared" si="40"/>
        <v>0</v>
      </c>
      <c r="BQ56" s="52">
        <f t="shared" si="40"/>
        <v>0</v>
      </c>
      <c r="BR56" s="52">
        <f t="shared" si="40"/>
        <v>0</v>
      </c>
      <c r="BS56" s="52">
        <f t="shared" si="40"/>
        <v>0</v>
      </c>
      <c r="BT56" s="52">
        <f t="shared" si="40"/>
        <v>0</v>
      </c>
      <c r="BU56" s="52">
        <f t="shared" si="40"/>
        <v>0</v>
      </c>
      <c r="BV56" s="52">
        <f t="shared" si="40"/>
        <v>1</v>
      </c>
      <c r="BW56" s="52">
        <f t="shared" si="40"/>
        <v>1</v>
      </c>
      <c r="BX56" s="52">
        <f t="shared" si="40"/>
        <v>1</v>
      </c>
      <c r="BY56" s="52">
        <f t="shared" si="40"/>
        <v>1</v>
      </c>
      <c r="BZ56" s="52">
        <f t="shared" si="40"/>
        <v>1</v>
      </c>
      <c r="CA56" s="52">
        <f t="shared" si="40"/>
        <v>1</v>
      </c>
      <c r="CB56" s="52">
        <f t="shared" si="40"/>
        <v>1</v>
      </c>
      <c r="CC56" s="52">
        <f t="shared" si="40"/>
        <v>1</v>
      </c>
      <c r="CD56" s="52">
        <f t="shared" si="40"/>
        <v>1</v>
      </c>
      <c r="CE56" s="52">
        <f t="shared" si="40"/>
        <v>0</v>
      </c>
      <c r="CF56" s="52">
        <f t="shared" si="40"/>
        <v>0</v>
      </c>
      <c r="CG56" s="52">
        <f t="shared" si="40"/>
        <v>0</v>
      </c>
      <c r="CH56" s="52">
        <f t="shared" si="40"/>
        <v>0</v>
      </c>
      <c r="CI56" s="52">
        <f t="shared" si="40"/>
        <v>0</v>
      </c>
      <c r="CJ56" s="52">
        <f t="shared" si="40"/>
        <v>0</v>
      </c>
      <c r="CK56" s="52">
        <f t="shared" si="40"/>
        <v>0</v>
      </c>
      <c r="CL56" s="52">
        <f t="shared" si="40"/>
        <v>0</v>
      </c>
      <c r="CM56" s="52">
        <f t="shared" si="40"/>
        <v>0</v>
      </c>
      <c r="CN56" s="52">
        <f t="shared" si="40"/>
        <v>0</v>
      </c>
      <c r="CO56" s="52">
        <f t="shared" si="40"/>
        <v>0</v>
      </c>
      <c r="CP56" s="52">
        <f t="shared" si="40"/>
        <v>0</v>
      </c>
      <c r="CQ56" s="52">
        <f t="shared" si="40"/>
        <v>0</v>
      </c>
      <c r="CR56" s="52">
        <f t="shared" si="40"/>
        <v>0</v>
      </c>
      <c r="CS56" s="52">
        <f t="shared" si="40"/>
        <v>0</v>
      </c>
      <c r="CT56" s="52">
        <f t="shared" si="40"/>
        <v>0</v>
      </c>
      <c r="CU56" s="52">
        <f t="shared" si="40"/>
        <v>0</v>
      </c>
      <c r="CV56" s="52">
        <f t="shared" si="40"/>
        <v>0</v>
      </c>
      <c r="CW56" s="52">
        <f t="shared" si="40"/>
        <v>0</v>
      </c>
      <c r="CX56" s="52">
        <f t="shared" si="40"/>
        <v>0</v>
      </c>
      <c r="CY56" s="52">
        <f t="shared" si="40"/>
        <v>0</v>
      </c>
      <c r="CZ56" s="52">
        <f t="shared" si="40"/>
        <v>0</v>
      </c>
      <c r="DA56" s="52">
        <f t="shared" si="40"/>
        <v>0</v>
      </c>
      <c r="DB56" s="52">
        <f t="shared" si="40"/>
        <v>0</v>
      </c>
      <c r="DC56" s="52">
        <f t="shared" si="40"/>
        <v>0</v>
      </c>
      <c r="DD56" s="52">
        <f t="shared" si="40"/>
        <v>0</v>
      </c>
      <c r="DE56" s="52">
        <f t="shared" si="40"/>
        <v>0</v>
      </c>
      <c r="DF56" s="52">
        <f t="shared" si="40"/>
        <v>0</v>
      </c>
      <c r="DG56" s="52">
        <f t="shared" si="40"/>
        <v>0</v>
      </c>
      <c r="DH56" s="52">
        <f t="shared" si="40"/>
        <v>0</v>
      </c>
      <c r="DI56" s="52">
        <f t="shared" si="40"/>
        <v>0</v>
      </c>
      <c r="DJ56" s="52">
        <f t="shared" si="40"/>
        <v>0</v>
      </c>
    </row>
    <row r="57" ht="15.75" customHeight="1">
      <c r="B57" s="52" t="s">
        <v>1792</v>
      </c>
      <c r="C57" s="63">
        <v>4.0</v>
      </c>
      <c r="D57" s="52">
        <v>0.0</v>
      </c>
      <c r="E57" s="65">
        <v>0.07</v>
      </c>
      <c r="F57" s="65">
        <v>0.07</v>
      </c>
      <c r="G57" s="65">
        <v>0.07</v>
      </c>
      <c r="H57" s="65">
        <v>0.07</v>
      </c>
      <c r="I57" s="65">
        <v>0.07</v>
      </c>
      <c r="J57" s="65">
        <v>0.07</v>
      </c>
      <c r="K57" s="65">
        <v>0.07</v>
      </c>
      <c r="L57" s="65">
        <v>0.07</v>
      </c>
      <c r="M57" s="65">
        <v>0.07</v>
      </c>
      <c r="N57" s="65">
        <v>0.03</v>
      </c>
      <c r="O57" s="65">
        <v>0.03</v>
      </c>
      <c r="P57" s="65">
        <v>0.03</v>
      </c>
      <c r="Q57" s="65">
        <v>0.03</v>
      </c>
      <c r="R57" s="65">
        <v>0.03</v>
      </c>
      <c r="S57" s="65">
        <v>0.03</v>
      </c>
      <c r="T57" s="65">
        <v>0.03</v>
      </c>
      <c r="U57" s="65">
        <v>0.02</v>
      </c>
      <c r="V57" s="65">
        <v>0.02</v>
      </c>
      <c r="W57" s="65">
        <v>0.02</v>
      </c>
      <c r="X57" s="65">
        <v>0.02</v>
      </c>
      <c r="Y57" s="65">
        <v>0.02</v>
      </c>
      <c r="Z57" s="65">
        <v>0.02</v>
      </c>
      <c r="AA57" s="65">
        <v>0.02</v>
      </c>
      <c r="AB57" s="65">
        <v>0.02</v>
      </c>
      <c r="AC57" s="58"/>
      <c r="AD57" s="58"/>
      <c r="AE57" s="58"/>
      <c r="AF57" s="52"/>
      <c r="AG57" s="52"/>
      <c r="AH57" s="52"/>
      <c r="AI57" s="52"/>
      <c r="AJ57" s="52"/>
      <c r="BN57" s="52">
        <f t="shared" ref="BN57:DJ57" si="41">ROUND($BN27*E57,0)</f>
        <v>10</v>
      </c>
      <c r="BO57" s="52">
        <f t="shared" si="41"/>
        <v>10</v>
      </c>
      <c r="BP57" s="52">
        <f t="shared" si="41"/>
        <v>10</v>
      </c>
      <c r="BQ57" s="52">
        <f t="shared" si="41"/>
        <v>10</v>
      </c>
      <c r="BR57" s="52">
        <f t="shared" si="41"/>
        <v>10</v>
      </c>
      <c r="BS57" s="52">
        <f t="shared" si="41"/>
        <v>10</v>
      </c>
      <c r="BT57" s="52">
        <f t="shared" si="41"/>
        <v>10</v>
      </c>
      <c r="BU57" s="52">
        <f t="shared" si="41"/>
        <v>10</v>
      </c>
      <c r="BV57" s="52">
        <f t="shared" si="41"/>
        <v>10</v>
      </c>
      <c r="BW57" s="52">
        <f t="shared" si="41"/>
        <v>4</v>
      </c>
      <c r="BX57" s="52">
        <f t="shared" si="41"/>
        <v>4</v>
      </c>
      <c r="BY57" s="52">
        <f t="shared" si="41"/>
        <v>4</v>
      </c>
      <c r="BZ57" s="52">
        <f t="shared" si="41"/>
        <v>4</v>
      </c>
      <c r="CA57" s="52">
        <f t="shared" si="41"/>
        <v>4</v>
      </c>
      <c r="CB57" s="52">
        <f t="shared" si="41"/>
        <v>4</v>
      </c>
      <c r="CC57" s="52">
        <f t="shared" si="41"/>
        <v>4</v>
      </c>
      <c r="CD57" s="52">
        <f t="shared" si="41"/>
        <v>3</v>
      </c>
      <c r="CE57" s="52">
        <f t="shared" si="41"/>
        <v>3</v>
      </c>
      <c r="CF57" s="52">
        <f t="shared" si="41"/>
        <v>3</v>
      </c>
      <c r="CG57" s="52">
        <f t="shared" si="41"/>
        <v>3</v>
      </c>
      <c r="CH57" s="52">
        <f t="shared" si="41"/>
        <v>3</v>
      </c>
      <c r="CI57" s="52">
        <f t="shared" si="41"/>
        <v>3</v>
      </c>
      <c r="CJ57" s="52">
        <f t="shared" si="41"/>
        <v>3</v>
      </c>
      <c r="CK57" s="52">
        <f t="shared" si="41"/>
        <v>3</v>
      </c>
      <c r="CL57" s="52">
        <f t="shared" si="41"/>
        <v>0</v>
      </c>
      <c r="CM57" s="52">
        <f t="shared" si="41"/>
        <v>0</v>
      </c>
      <c r="CN57" s="52">
        <f t="shared" si="41"/>
        <v>0</v>
      </c>
      <c r="CO57" s="52">
        <f t="shared" si="41"/>
        <v>0</v>
      </c>
      <c r="CP57" s="52">
        <f t="shared" si="41"/>
        <v>0</v>
      </c>
      <c r="CQ57" s="52">
        <f t="shared" si="41"/>
        <v>0</v>
      </c>
      <c r="CR57" s="52">
        <f t="shared" si="41"/>
        <v>0</v>
      </c>
      <c r="CS57" s="52">
        <f t="shared" si="41"/>
        <v>0</v>
      </c>
      <c r="CT57" s="52">
        <f t="shared" si="41"/>
        <v>0</v>
      </c>
      <c r="CU57" s="52">
        <f t="shared" si="41"/>
        <v>0</v>
      </c>
      <c r="CV57" s="52">
        <f t="shared" si="41"/>
        <v>0</v>
      </c>
      <c r="CW57" s="52">
        <f t="shared" si="41"/>
        <v>0</v>
      </c>
      <c r="CX57" s="52">
        <f t="shared" si="41"/>
        <v>0</v>
      </c>
      <c r="CY57" s="52">
        <f t="shared" si="41"/>
        <v>0</v>
      </c>
      <c r="CZ57" s="52">
        <f t="shared" si="41"/>
        <v>0</v>
      </c>
      <c r="DA57" s="52">
        <f t="shared" si="41"/>
        <v>0</v>
      </c>
      <c r="DB57" s="52">
        <f t="shared" si="41"/>
        <v>0</v>
      </c>
      <c r="DC57" s="52">
        <f t="shared" si="41"/>
        <v>0</v>
      </c>
      <c r="DD57" s="52">
        <f t="shared" si="41"/>
        <v>0</v>
      </c>
      <c r="DE57" s="52">
        <f t="shared" si="41"/>
        <v>0</v>
      </c>
      <c r="DF57" s="52">
        <f t="shared" si="41"/>
        <v>0</v>
      </c>
      <c r="DG57" s="52">
        <f t="shared" si="41"/>
        <v>0</v>
      </c>
      <c r="DH57" s="52">
        <f t="shared" si="41"/>
        <v>0</v>
      </c>
      <c r="DI57" s="52">
        <f t="shared" si="41"/>
        <v>0</v>
      </c>
      <c r="DJ57" s="52">
        <f t="shared" si="41"/>
        <v>0</v>
      </c>
    </row>
    <row r="58" ht="15.75" customHeight="1">
      <c r="B58" s="52" t="s">
        <v>1792</v>
      </c>
      <c r="C58" s="63">
        <v>4.0</v>
      </c>
      <c r="D58" s="52" t="s">
        <v>1785</v>
      </c>
      <c r="E58" s="65">
        <v>0.02</v>
      </c>
      <c r="F58" s="65">
        <v>0.02</v>
      </c>
      <c r="G58" s="65">
        <v>0.02</v>
      </c>
      <c r="H58" s="65">
        <v>0.02</v>
      </c>
      <c r="I58" s="65">
        <v>0.08</v>
      </c>
      <c r="J58" s="65">
        <v>0.08</v>
      </c>
      <c r="K58" s="65">
        <v>0.07</v>
      </c>
      <c r="L58" s="65">
        <v>0.07</v>
      </c>
      <c r="M58" s="65">
        <v>0.06</v>
      </c>
      <c r="N58" s="65">
        <v>0.06</v>
      </c>
      <c r="O58" s="65">
        <v>0.05</v>
      </c>
      <c r="P58" s="65">
        <v>0.05</v>
      </c>
      <c r="Q58" s="65">
        <v>0.05</v>
      </c>
      <c r="R58" s="65">
        <v>0.04</v>
      </c>
      <c r="S58" s="65">
        <v>0.04</v>
      </c>
      <c r="T58" s="65">
        <v>0.04</v>
      </c>
      <c r="U58" s="65">
        <v>0.04</v>
      </c>
      <c r="V58" s="65">
        <v>0.03</v>
      </c>
      <c r="W58" s="65">
        <v>0.03</v>
      </c>
      <c r="X58" s="65">
        <v>0.03</v>
      </c>
      <c r="Y58" s="65">
        <v>0.03</v>
      </c>
      <c r="Z58" s="65">
        <v>0.03</v>
      </c>
      <c r="AA58" s="65">
        <v>0.02</v>
      </c>
      <c r="AB58" s="65">
        <v>0.02</v>
      </c>
      <c r="AC58" s="58"/>
      <c r="AD58" s="58"/>
      <c r="AE58" s="58"/>
      <c r="AF58" s="52"/>
      <c r="AG58" s="52"/>
      <c r="AH58" s="52"/>
      <c r="AI58" s="52"/>
      <c r="AJ58" s="52"/>
      <c r="BN58" s="52">
        <f t="shared" ref="BN58:DJ58" si="42">ROUND($BN28*E58,0)</f>
        <v>0</v>
      </c>
      <c r="BO58" s="52">
        <f t="shared" si="42"/>
        <v>0</v>
      </c>
      <c r="BP58" s="52">
        <f t="shared" si="42"/>
        <v>0</v>
      </c>
      <c r="BQ58" s="52">
        <f t="shared" si="42"/>
        <v>0</v>
      </c>
      <c r="BR58" s="52">
        <f t="shared" si="42"/>
        <v>1</v>
      </c>
      <c r="BS58" s="52">
        <f t="shared" si="42"/>
        <v>1</v>
      </c>
      <c r="BT58" s="52">
        <f t="shared" si="42"/>
        <v>1</v>
      </c>
      <c r="BU58" s="52">
        <f t="shared" si="42"/>
        <v>1</v>
      </c>
      <c r="BV58" s="52">
        <f t="shared" si="42"/>
        <v>1</v>
      </c>
      <c r="BW58" s="52">
        <f t="shared" si="42"/>
        <v>1</v>
      </c>
      <c r="BX58" s="52">
        <f t="shared" si="42"/>
        <v>1</v>
      </c>
      <c r="BY58" s="52">
        <f t="shared" si="42"/>
        <v>1</v>
      </c>
      <c r="BZ58" s="52">
        <f t="shared" si="42"/>
        <v>1</v>
      </c>
      <c r="CA58" s="52">
        <f t="shared" si="42"/>
        <v>1</v>
      </c>
      <c r="CB58" s="52">
        <f t="shared" si="42"/>
        <v>1</v>
      </c>
      <c r="CC58" s="52">
        <f t="shared" si="42"/>
        <v>1</v>
      </c>
      <c r="CD58" s="52">
        <f t="shared" si="42"/>
        <v>1</v>
      </c>
      <c r="CE58" s="52">
        <f t="shared" si="42"/>
        <v>0</v>
      </c>
      <c r="CF58" s="52">
        <f t="shared" si="42"/>
        <v>0</v>
      </c>
      <c r="CG58" s="52">
        <f t="shared" si="42"/>
        <v>0</v>
      </c>
      <c r="CH58" s="52">
        <f t="shared" si="42"/>
        <v>0</v>
      </c>
      <c r="CI58" s="52">
        <f t="shared" si="42"/>
        <v>0</v>
      </c>
      <c r="CJ58" s="52">
        <f t="shared" si="42"/>
        <v>0</v>
      </c>
      <c r="CK58" s="52">
        <f t="shared" si="42"/>
        <v>0</v>
      </c>
      <c r="CL58" s="52">
        <f t="shared" si="42"/>
        <v>0</v>
      </c>
      <c r="CM58" s="52">
        <f t="shared" si="42"/>
        <v>0</v>
      </c>
      <c r="CN58" s="52">
        <f t="shared" si="42"/>
        <v>0</v>
      </c>
      <c r="CO58" s="52">
        <f t="shared" si="42"/>
        <v>0</v>
      </c>
      <c r="CP58" s="52">
        <f t="shared" si="42"/>
        <v>0</v>
      </c>
      <c r="CQ58" s="52">
        <f t="shared" si="42"/>
        <v>0</v>
      </c>
      <c r="CR58" s="52">
        <f t="shared" si="42"/>
        <v>0</v>
      </c>
      <c r="CS58" s="52">
        <f t="shared" si="42"/>
        <v>0</v>
      </c>
      <c r="CT58" s="52">
        <f t="shared" si="42"/>
        <v>0</v>
      </c>
      <c r="CU58" s="52">
        <f t="shared" si="42"/>
        <v>0</v>
      </c>
      <c r="CV58" s="52">
        <f t="shared" si="42"/>
        <v>0</v>
      </c>
      <c r="CW58" s="52">
        <f t="shared" si="42"/>
        <v>0</v>
      </c>
      <c r="CX58" s="52">
        <f t="shared" si="42"/>
        <v>0</v>
      </c>
      <c r="CY58" s="52">
        <f t="shared" si="42"/>
        <v>0</v>
      </c>
      <c r="CZ58" s="52">
        <f t="shared" si="42"/>
        <v>0</v>
      </c>
      <c r="DA58" s="52">
        <f t="shared" si="42"/>
        <v>0</v>
      </c>
      <c r="DB58" s="52">
        <f t="shared" si="42"/>
        <v>0</v>
      </c>
      <c r="DC58" s="52">
        <f t="shared" si="42"/>
        <v>0</v>
      </c>
      <c r="DD58" s="52">
        <f t="shared" si="42"/>
        <v>0</v>
      </c>
      <c r="DE58" s="52">
        <f t="shared" si="42"/>
        <v>0</v>
      </c>
      <c r="DF58" s="52">
        <f t="shared" si="42"/>
        <v>0</v>
      </c>
      <c r="DG58" s="52">
        <f t="shared" si="42"/>
        <v>0</v>
      </c>
      <c r="DH58" s="52">
        <f t="shared" si="42"/>
        <v>0</v>
      </c>
      <c r="DI58" s="52">
        <f t="shared" si="42"/>
        <v>0</v>
      </c>
      <c r="DJ58" s="52">
        <f t="shared" si="42"/>
        <v>0</v>
      </c>
    </row>
    <row r="59" ht="15.75" customHeight="1">
      <c r="B59" s="52" t="s">
        <v>1792</v>
      </c>
      <c r="C59" s="63">
        <v>4.0</v>
      </c>
      <c r="D59" s="52" t="s">
        <v>1786</v>
      </c>
      <c r="E59" s="58"/>
      <c r="F59" s="58"/>
      <c r="G59" s="58"/>
      <c r="H59" s="65">
        <v>0.08</v>
      </c>
      <c r="I59" s="65">
        <v>0.08</v>
      </c>
      <c r="J59" s="65">
        <v>0.07</v>
      </c>
      <c r="K59" s="65">
        <v>0.07</v>
      </c>
      <c r="L59" s="65">
        <v>0.06</v>
      </c>
      <c r="M59" s="65">
        <v>0.06</v>
      </c>
      <c r="N59" s="65">
        <v>0.05</v>
      </c>
      <c r="O59" s="65">
        <v>0.05</v>
      </c>
      <c r="P59" s="65">
        <v>0.05</v>
      </c>
      <c r="Q59" s="65">
        <v>0.04</v>
      </c>
      <c r="R59" s="65">
        <v>0.04</v>
      </c>
      <c r="S59" s="65">
        <v>0.04</v>
      </c>
      <c r="T59" s="65">
        <v>0.04</v>
      </c>
      <c r="U59" s="65">
        <v>0.03</v>
      </c>
      <c r="V59" s="65">
        <v>0.03</v>
      </c>
      <c r="W59" s="65">
        <v>0.03</v>
      </c>
      <c r="X59" s="65">
        <v>0.03</v>
      </c>
      <c r="Y59" s="65">
        <v>0.03</v>
      </c>
      <c r="Z59" s="65">
        <v>0.02</v>
      </c>
      <c r="AA59" s="65">
        <v>0.02</v>
      </c>
      <c r="AB59" s="65">
        <v>0.03</v>
      </c>
      <c r="AC59" s="65">
        <v>0.03</v>
      </c>
      <c r="AD59" s="65">
        <v>0.02</v>
      </c>
      <c r="AE59" s="58"/>
      <c r="AF59" s="52"/>
      <c r="AG59" s="52"/>
      <c r="AH59" s="52"/>
      <c r="AI59" s="52"/>
      <c r="AJ59" s="52"/>
      <c r="BN59" s="52">
        <f t="shared" ref="BN59:DJ59" si="43">ROUND($BN29*E59,0)</f>
        <v>0</v>
      </c>
      <c r="BO59" s="52">
        <f t="shared" si="43"/>
        <v>0</v>
      </c>
      <c r="BP59" s="52">
        <f t="shared" si="43"/>
        <v>0</v>
      </c>
      <c r="BQ59" s="52">
        <f t="shared" si="43"/>
        <v>2</v>
      </c>
      <c r="BR59" s="52">
        <f t="shared" si="43"/>
        <v>2</v>
      </c>
      <c r="BS59" s="52">
        <f t="shared" si="43"/>
        <v>2</v>
      </c>
      <c r="BT59" s="52">
        <f t="shared" si="43"/>
        <v>2</v>
      </c>
      <c r="BU59" s="52">
        <f t="shared" si="43"/>
        <v>2</v>
      </c>
      <c r="BV59" s="52">
        <f t="shared" si="43"/>
        <v>2</v>
      </c>
      <c r="BW59" s="52">
        <f t="shared" si="43"/>
        <v>1</v>
      </c>
      <c r="BX59" s="52">
        <f t="shared" si="43"/>
        <v>1</v>
      </c>
      <c r="BY59" s="52">
        <f t="shared" si="43"/>
        <v>1</v>
      </c>
      <c r="BZ59" s="52">
        <f t="shared" si="43"/>
        <v>1</v>
      </c>
      <c r="CA59" s="52">
        <f t="shared" si="43"/>
        <v>1</v>
      </c>
      <c r="CB59" s="52">
        <f t="shared" si="43"/>
        <v>1</v>
      </c>
      <c r="CC59" s="52">
        <f t="shared" si="43"/>
        <v>1</v>
      </c>
      <c r="CD59" s="52">
        <f t="shared" si="43"/>
        <v>1</v>
      </c>
      <c r="CE59" s="52">
        <f t="shared" si="43"/>
        <v>1</v>
      </c>
      <c r="CF59" s="52">
        <f t="shared" si="43"/>
        <v>1</v>
      </c>
      <c r="CG59" s="52">
        <f t="shared" si="43"/>
        <v>1</v>
      </c>
      <c r="CH59" s="52">
        <f t="shared" si="43"/>
        <v>1</v>
      </c>
      <c r="CI59" s="52">
        <f t="shared" si="43"/>
        <v>1</v>
      </c>
      <c r="CJ59" s="52">
        <f t="shared" si="43"/>
        <v>1</v>
      </c>
      <c r="CK59" s="52">
        <f t="shared" si="43"/>
        <v>1</v>
      </c>
      <c r="CL59" s="52">
        <f t="shared" si="43"/>
        <v>1</v>
      </c>
      <c r="CM59" s="52">
        <f t="shared" si="43"/>
        <v>1</v>
      </c>
      <c r="CN59" s="52">
        <f t="shared" si="43"/>
        <v>0</v>
      </c>
      <c r="CO59" s="52">
        <f t="shared" si="43"/>
        <v>0</v>
      </c>
      <c r="CP59" s="52">
        <f t="shared" si="43"/>
        <v>0</v>
      </c>
      <c r="CQ59" s="52">
        <f t="shared" si="43"/>
        <v>0</v>
      </c>
      <c r="CR59" s="52">
        <f t="shared" si="43"/>
        <v>0</v>
      </c>
      <c r="CS59" s="52">
        <f t="shared" si="43"/>
        <v>0</v>
      </c>
      <c r="CT59" s="52">
        <f t="shared" si="43"/>
        <v>0</v>
      </c>
      <c r="CU59" s="52">
        <f t="shared" si="43"/>
        <v>0</v>
      </c>
      <c r="CV59" s="52">
        <f t="shared" si="43"/>
        <v>0</v>
      </c>
      <c r="CW59" s="52">
        <f t="shared" si="43"/>
        <v>0</v>
      </c>
      <c r="CX59" s="52">
        <f t="shared" si="43"/>
        <v>0</v>
      </c>
      <c r="CY59" s="52">
        <f t="shared" si="43"/>
        <v>0</v>
      </c>
      <c r="CZ59" s="52">
        <f t="shared" si="43"/>
        <v>0</v>
      </c>
      <c r="DA59" s="52">
        <f t="shared" si="43"/>
        <v>0</v>
      </c>
      <c r="DB59" s="52">
        <f t="shared" si="43"/>
        <v>0</v>
      </c>
      <c r="DC59" s="52">
        <f t="shared" si="43"/>
        <v>0</v>
      </c>
      <c r="DD59" s="52">
        <f t="shared" si="43"/>
        <v>0</v>
      </c>
      <c r="DE59" s="52">
        <f t="shared" si="43"/>
        <v>0</v>
      </c>
      <c r="DF59" s="52">
        <f t="shared" si="43"/>
        <v>0</v>
      </c>
      <c r="DG59" s="52">
        <f t="shared" si="43"/>
        <v>0</v>
      </c>
      <c r="DH59" s="52">
        <f t="shared" si="43"/>
        <v>0</v>
      </c>
      <c r="DI59" s="52">
        <f t="shared" si="43"/>
        <v>0</v>
      </c>
      <c r="DJ59" s="52">
        <f t="shared" si="43"/>
        <v>0</v>
      </c>
    </row>
    <row r="60" ht="15.75" customHeight="1">
      <c r="B60" s="52" t="s">
        <v>1792</v>
      </c>
      <c r="C60" s="63">
        <v>4.0</v>
      </c>
      <c r="D60" s="52" t="s">
        <v>1787</v>
      </c>
      <c r="E60" s="58"/>
      <c r="F60" s="58"/>
      <c r="G60" s="58"/>
      <c r="H60" s="58"/>
      <c r="I60" s="58"/>
      <c r="J60" s="65">
        <v>0.08</v>
      </c>
      <c r="K60" s="65">
        <v>0.08</v>
      </c>
      <c r="L60" s="65">
        <v>0.07</v>
      </c>
      <c r="M60" s="65">
        <v>0.07</v>
      </c>
      <c r="N60" s="65">
        <v>0.06</v>
      </c>
      <c r="O60" s="65">
        <v>0.06</v>
      </c>
      <c r="P60" s="65">
        <v>0.05</v>
      </c>
      <c r="Q60" s="65">
        <v>0.05</v>
      </c>
      <c r="R60" s="65">
        <v>0.05</v>
      </c>
      <c r="S60" s="65">
        <v>0.04</v>
      </c>
      <c r="T60" s="65">
        <v>0.04</v>
      </c>
      <c r="U60" s="65">
        <v>0.04</v>
      </c>
      <c r="V60" s="65">
        <v>0.04</v>
      </c>
      <c r="W60" s="65">
        <v>0.03</v>
      </c>
      <c r="X60" s="65">
        <v>0.03</v>
      </c>
      <c r="Y60" s="65">
        <v>0.03</v>
      </c>
      <c r="Z60" s="65">
        <v>0.03</v>
      </c>
      <c r="AA60" s="65">
        <v>0.03</v>
      </c>
      <c r="AB60" s="65">
        <v>0.02</v>
      </c>
      <c r="AC60" s="65">
        <v>0.02</v>
      </c>
      <c r="AD60" s="65">
        <v>0.03</v>
      </c>
      <c r="AE60" s="58"/>
      <c r="AF60" s="52"/>
      <c r="AG60" s="52"/>
      <c r="AH60" s="52"/>
      <c r="AI60" s="52"/>
      <c r="AJ60" s="52"/>
      <c r="BN60" s="52">
        <f t="shared" ref="BN60:DJ60" si="44">ROUND($BN30*E60,0)</f>
        <v>0</v>
      </c>
      <c r="BO60" s="52">
        <f t="shared" si="44"/>
        <v>0</v>
      </c>
      <c r="BP60" s="52">
        <f t="shared" si="44"/>
        <v>0</v>
      </c>
      <c r="BQ60" s="52">
        <f t="shared" si="44"/>
        <v>0</v>
      </c>
      <c r="BR60" s="52">
        <f t="shared" si="44"/>
        <v>0</v>
      </c>
      <c r="BS60" s="52">
        <f t="shared" si="44"/>
        <v>0</v>
      </c>
      <c r="BT60" s="52">
        <f t="shared" si="44"/>
        <v>0</v>
      </c>
      <c r="BU60" s="52">
        <f t="shared" si="44"/>
        <v>0</v>
      </c>
      <c r="BV60" s="52">
        <f t="shared" si="44"/>
        <v>0</v>
      </c>
      <c r="BW60" s="52">
        <f t="shared" si="44"/>
        <v>0</v>
      </c>
      <c r="BX60" s="52">
        <f t="shared" si="44"/>
        <v>0</v>
      </c>
      <c r="BY60" s="52">
        <f t="shared" si="44"/>
        <v>0</v>
      </c>
      <c r="BZ60" s="52">
        <f t="shared" si="44"/>
        <v>0</v>
      </c>
      <c r="CA60" s="52">
        <f t="shared" si="44"/>
        <v>0</v>
      </c>
      <c r="CB60" s="52">
        <f t="shared" si="44"/>
        <v>0</v>
      </c>
      <c r="CC60" s="52">
        <f t="shared" si="44"/>
        <v>0</v>
      </c>
      <c r="CD60" s="52">
        <f t="shared" si="44"/>
        <v>0</v>
      </c>
      <c r="CE60" s="52">
        <f t="shared" si="44"/>
        <v>0</v>
      </c>
      <c r="CF60" s="52">
        <f t="shared" si="44"/>
        <v>0</v>
      </c>
      <c r="CG60" s="52">
        <f t="shared" si="44"/>
        <v>0</v>
      </c>
      <c r="CH60" s="52">
        <f t="shared" si="44"/>
        <v>0</v>
      </c>
      <c r="CI60" s="52">
        <f t="shared" si="44"/>
        <v>0</v>
      </c>
      <c r="CJ60" s="52">
        <f t="shared" si="44"/>
        <v>0</v>
      </c>
      <c r="CK60" s="52">
        <f t="shared" si="44"/>
        <v>0</v>
      </c>
      <c r="CL60" s="52">
        <f t="shared" si="44"/>
        <v>0</v>
      </c>
      <c r="CM60" s="52">
        <f t="shared" si="44"/>
        <v>0</v>
      </c>
      <c r="CN60" s="52">
        <f t="shared" si="44"/>
        <v>0</v>
      </c>
      <c r="CO60" s="52">
        <f t="shared" si="44"/>
        <v>0</v>
      </c>
      <c r="CP60" s="52">
        <f t="shared" si="44"/>
        <v>0</v>
      </c>
      <c r="CQ60" s="52">
        <f t="shared" si="44"/>
        <v>0</v>
      </c>
      <c r="CR60" s="52">
        <f t="shared" si="44"/>
        <v>0</v>
      </c>
      <c r="CS60" s="52">
        <f t="shared" si="44"/>
        <v>0</v>
      </c>
      <c r="CT60" s="52">
        <f t="shared" si="44"/>
        <v>0</v>
      </c>
      <c r="CU60" s="52">
        <f t="shared" si="44"/>
        <v>0</v>
      </c>
      <c r="CV60" s="52">
        <f t="shared" si="44"/>
        <v>0</v>
      </c>
      <c r="CW60" s="52">
        <f t="shared" si="44"/>
        <v>0</v>
      </c>
      <c r="CX60" s="52">
        <f t="shared" si="44"/>
        <v>0</v>
      </c>
      <c r="CY60" s="52">
        <f t="shared" si="44"/>
        <v>0</v>
      </c>
      <c r="CZ60" s="52">
        <f t="shared" si="44"/>
        <v>0</v>
      </c>
      <c r="DA60" s="52">
        <f t="shared" si="44"/>
        <v>0</v>
      </c>
      <c r="DB60" s="52">
        <f t="shared" si="44"/>
        <v>0</v>
      </c>
      <c r="DC60" s="52">
        <f t="shared" si="44"/>
        <v>0</v>
      </c>
      <c r="DD60" s="52">
        <f t="shared" si="44"/>
        <v>0</v>
      </c>
      <c r="DE60" s="52">
        <f t="shared" si="44"/>
        <v>0</v>
      </c>
      <c r="DF60" s="52">
        <f t="shared" si="44"/>
        <v>0</v>
      </c>
      <c r="DG60" s="52">
        <f t="shared" si="44"/>
        <v>0</v>
      </c>
      <c r="DH60" s="52">
        <f t="shared" si="44"/>
        <v>0</v>
      </c>
      <c r="DI60" s="52">
        <f t="shared" si="44"/>
        <v>0</v>
      </c>
      <c r="DJ60" s="52">
        <f t="shared" si="44"/>
        <v>0</v>
      </c>
    </row>
    <row r="61" ht="15.75" customHeight="1">
      <c r="B61" s="52" t="s">
        <v>1792</v>
      </c>
      <c r="C61" s="63">
        <v>4.0</v>
      </c>
      <c r="D61" s="52" t="s">
        <v>1788</v>
      </c>
      <c r="E61" s="58"/>
      <c r="F61" s="58"/>
      <c r="G61" s="58"/>
      <c r="H61" s="58"/>
      <c r="I61" s="58"/>
      <c r="J61" s="58"/>
      <c r="K61" s="65">
        <v>0.08</v>
      </c>
      <c r="L61" s="65">
        <v>0.08</v>
      </c>
      <c r="M61" s="65">
        <v>0.07</v>
      </c>
      <c r="N61" s="65">
        <v>0.07</v>
      </c>
      <c r="O61" s="65">
        <v>0.06</v>
      </c>
      <c r="P61" s="65">
        <v>0.06</v>
      </c>
      <c r="Q61" s="65">
        <v>0.05</v>
      </c>
      <c r="R61" s="65">
        <v>0.05</v>
      </c>
      <c r="S61" s="65">
        <v>0.05</v>
      </c>
      <c r="T61" s="65">
        <v>0.04</v>
      </c>
      <c r="U61" s="65">
        <v>0.04</v>
      </c>
      <c r="V61" s="65">
        <v>0.04</v>
      </c>
      <c r="W61" s="65">
        <v>0.04</v>
      </c>
      <c r="X61" s="65">
        <v>0.03</v>
      </c>
      <c r="Y61" s="65">
        <v>0.03</v>
      </c>
      <c r="Z61" s="65">
        <v>0.03</v>
      </c>
      <c r="AA61" s="65">
        <v>0.03</v>
      </c>
      <c r="AB61" s="65">
        <v>0.03</v>
      </c>
      <c r="AC61" s="65">
        <v>0.02</v>
      </c>
      <c r="AD61" s="65">
        <v>0.02</v>
      </c>
      <c r="AE61" s="58"/>
      <c r="AF61" s="52"/>
      <c r="AG61" s="52"/>
      <c r="AH61" s="52"/>
      <c r="AI61" s="52"/>
      <c r="AJ61" s="52"/>
      <c r="BN61" s="52">
        <f t="shared" ref="BN61:DJ61" si="45">ROUND($BN31*E61,0)</f>
        <v>0</v>
      </c>
      <c r="BO61" s="52">
        <f t="shared" si="45"/>
        <v>0</v>
      </c>
      <c r="BP61" s="52">
        <f t="shared" si="45"/>
        <v>0</v>
      </c>
      <c r="BQ61" s="52">
        <f t="shared" si="45"/>
        <v>0</v>
      </c>
      <c r="BR61" s="52">
        <f t="shared" si="45"/>
        <v>0</v>
      </c>
      <c r="BS61" s="52">
        <f t="shared" si="45"/>
        <v>0</v>
      </c>
      <c r="BT61" s="52">
        <f t="shared" si="45"/>
        <v>0</v>
      </c>
      <c r="BU61" s="52">
        <f t="shared" si="45"/>
        <v>0</v>
      </c>
      <c r="BV61" s="52">
        <f t="shared" si="45"/>
        <v>0</v>
      </c>
      <c r="BW61" s="52">
        <f t="shared" si="45"/>
        <v>0</v>
      </c>
      <c r="BX61" s="52">
        <f t="shared" si="45"/>
        <v>0</v>
      </c>
      <c r="BY61" s="52">
        <f t="shared" si="45"/>
        <v>0</v>
      </c>
      <c r="BZ61" s="52">
        <f t="shared" si="45"/>
        <v>0</v>
      </c>
      <c r="CA61" s="52">
        <f t="shared" si="45"/>
        <v>0</v>
      </c>
      <c r="CB61" s="52">
        <f t="shared" si="45"/>
        <v>0</v>
      </c>
      <c r="CC61" s="52">
        <f t="shared" si="45"/>
        <v>0</v>
      </c>
      <c r="CD61" s="52">
        <f t="shared" si="45"/>
        <v>0</v>
      </c>
      <c r="CE61" s="52">
        <f t="shared" si="45"/>
        <v>0</v>
      </c>
      <c r="CF61" s="52">
        <f t="shared" si="45"/>
        <v>0</v>
      </c>
      <c r="CG61" s="52">
        <f t="shared" si="45"/>
        <v>0</v>
      </c>
      <c r="CH61" s="52">
        <f t="shared" si="45"/>
        <v>0</v>
      </c>
      <c r="CI61" s="52">
        <f t="shared" si="45"/>
        <v>0</v>
      </c>
      <c r="CJ61" s="52">
        <f t="shared" si="45"/>
        <v>0</v>
      </c>
      <c r="CK61" s="52">
        <f t="shared" si="45"/>
        <v>0</v>
      </c>
      <c r="CL61" s="52">
        <f t="shared" si="45"/>
        <v>0</v>
      </c>
      <c r="CM61" s="52">
        <f t="shared" si="45"/>
        <v>0</v>
      </c>
      <c r="CN61" s="52">
        <f t="shared" si="45"/>
        <v>0</v>
      </c>
      <c r="CO61" s="52">
        <f t="shared" si="45"/>
        <v>0</v>
      </c>
      <c r="CP61" s="52">
        <f t="shared" si="45"/>
        <v>0</v>
      </c>
      <c r="CQ61" s="52">
        <f t="shared" si="45"/>
        <v>0</v>
      </c>
      <c r="CR61" s="52">
        <f t="shared" si="45"/>
        <v>0</v>
      </c>
      <c r="CS61" s="52">
        <f t="shared" si="45"/>
        <v>0</v>
      </c>
      <c r="CT61" s="52">
        <f t="shared" si="45"/>
        <v>0</v>
      </c>
      <c r="CU61" s="52">
        <f t="shared" si="45"/>
        <v>0</v>
      </c>
      <c r="CV61" s="52">
        <f t="shared" si="45"/>
        <v>0</v>
      </c>
      <c r="CW61" s="52">
        <f t="shared" si="45"/>
        <v>0</v>
      </c>
      <c r="CX61" s="52">
        <f t="shared" si="45"/>
        <v>0</v>
      </c>
      <c r="CY61" s="52">
        <f t="shared" si="45"/>
        <v>0</v>
      </c>
      <c r="CZ61" s="52">
        <f t="shared" si="45"/>
        <v>0</v>
      </c>
      <c r="DA61" s="52">
        <f t="shared" si="45"/>
        <v>0</v>
      </c>
      <c r="DB61" s="52">
        <f t="shared" si="45"/>
        <v>0</v>
      </c>
      <c r="DC61" s="52">
        <f t="shared" si="45"/>
        <v>0</v>
      </c>
      <c r="DD61" s="52">
        <f t="shared" si="45"/>
        <v>0</v>
      </c>
      <c r="DE61" s="52">
        <f t="shared" si="45"/>
        <v>0</v>
      </c>
      <c r="DF61" s="52">
        <f t="shared" si="45"/>
        <v>0</v>
      </c>
      <c r="DG61" s="52">
        <f t="shared" si="45"/>
        <v>0</v>
      </c>
      <c r="DH61" s="52">
        <f t="shared" si="45"/>
        <v>0</v>
      </c>
      <c r="DI61" s="52">
        <f t="shared" si="45"/>
        <v>0</v>
      </c>
      <c r="DJ61" s="52">
        <f t="shared" si="45"/>
        <v>0</v>
      </c>
    </row>
    <row r="62" ht="15.75" customHeight="1">
      <c r="B62" s="52" t="s">
        <v>1792</v>
      </c>
      <c r="C62" s="63">
        <v>4.0</v>
      </c>
      <c r="D62" s="52" t="s">
        <v>1789</v>
      </c>
      <c r="E62" s="58"/>
      <c r="F62" s="58"/>
      <c r="G62" s="58"/>
      <c r="H62" s="58"/>
      <c r="I62" s="58"/>
      <c r="J62" s="58"/>
      <c r="K62" s="58"/>
      <c r="L62" s="65">
        <v>0.08</v>
      </c>
      <c r="M62" s="65">
        <v>0.08</v>
      </c>
      <c r="N62" s="65">
        <v>0.07</v>
      </c>
      <c r="O62" s="65">
        <v>0.07</v>
      </c>
      <c r="P62" s="65">
        <v>0.06</v>
      </c>
      <c r="Q62" s="65">
        <v>0.06</v>
      </c>
      <c r="R62" s="65">
        <v>0.05</v>
      </c>
      <c r="S62" s="65">
        <v>0.05</v>
      </c>
      <c r="T62" s="65">
        <v>0.05</v>
      </c>
      <c r="U62" s="65">
        <v>0.04</v>
      </c>
      <c r="V62" s="65">
        <v>0.04</v>
      </c>
      <c r="W62" s="65">
        <v>0.04</v>
      </c>
      <c r="X62" s="65">
        <v>0.04</v>
      </c>
      <c r="Y62" s="65">
        <v>0.03</v>
      </c>
      <c r="Z62" s="65">
        <v>0.03</v>
      </c>
      <c r="AA62" s="65">
        <v>0.03</v>
      </c>
      <c r="AB62" s="65">
        <v>0.03</v>
      </c>
      <c r="AC62" s="65">
        <v>0.03</v>
      </c>
      <c r="AD62" s="65">
        <v>0.02</v>
      </c>
      <c r="AE62" s="58"/>
      <c r="AF62" s="52"/>
      <c r="AG62" s="52"/>
      <c r="AH62" s="52"/>
      <c r="AI62" s="52"/>
      <c r="AJ62" s="52"/>
      <c r="BN62" s="52">
        <f t="shared" ref="BN62:DJ62" si="46">ROUND($BN32*E62,0)</f>
        <v>0</v>
      </c>
      <c r="BO62" s="52">
        <f t="shared" si="46"/>
        <v>0</v>
      </c>
      <c r="BP62" s="52">
        <f t="shared" si="46"/>
        <v>0</v>
      </c>
      <c r="BQ62" s="52">
        <f t="shared" si="46"/>
        <v>0</v>
      </c>
      <c r="BR62" s="52">
        <f t="shared" si="46"/>
        <v>0</v>
      </c>
      <c r="BS62" s="52">
        <f t="shared" si="46"/>
        <v>0</v>
      </c>
      <c r="BT62" s="52">
        <f t="shared" si="46"/>
        <v>0</v>
      </c>
      <c r="BU62" s="52">
        <f t="shared" si="46"/>
        <v>1</v>
      </c>
      <c r="BV62" s="52">
        <f t="shared" si="46"/>
        <v>1</v>
      </c>
      <c r="BW62" s="52">
        <f t="shared" si="46"/>
        <v>1</v>
      </c>
      <c r="BX62" s="52">
        <f t="shared" si="46"/>
        <v>1</v>
      </c>
      <c r="BY62" s="52">
        <f t="shared" si="46"/>
        <v>1</v>
      </c>
      <c r="BZ62" s="52">
        <f t="shared" si="46"/>
        <v>1</v>
      </c>
      <c r="CA62" s="52">
        <f t="shared" si="46"/>
        <v>0</v>
      </c>
      <c r="CB62" s="52">
        <f t="shared" si="46"/>
        <v>0</v>
      </c>
      <c r="CC62" s="52">
        <f t="shared" si="46"/>
        <v>0</v>
      </c>
      <c r="CD62" s="52">
        <f t="shared" si="46"/>
        <v>0</v>
      </c>
      <c r="CE62" s="52">
        <f t="shared" si="46"/>
        <v>0</v>
      </c>
      <c r="CF62" s="52">
        <f t="shared" si="46"/>
        <v>0</v>
      </c>
      <c r="CG62" s="52">
        <f t="shared" si="46"/>
        <v>0</v>
      </c>
      <c r="CH62" s="52">
        <f t="shared" si="46"/>
        <v>0</v>
      </c>
      <c r="CI62" s="52">
        <f t="shared" si="46"/>
        <v>0</v>
      </c>
      <c r="CJ62" s="52">
        <f t="shared" si="46"/>
        <v>0</v>
      </c>
      <c r="CK62" s="52">
        <f t="shared" si="46"/>
        <v>0</v>
      </c>
      <c r="CL62" s="52">
        <f t="shared" si="46"/>
        <v>0</v>
      </c>
      <c r="CM62" s="52">
        <f t="shared" si="46"/>
        <v>0</v>
      </c>
      <c r="CN62" s="52">
        <f t="shared" si="46"/>
        <v>0</v>
      </c>
      <c r="CO62" s="52">
        <f t="shared" si="46"/>
        <v>0</v>
      </c>
      <c r="CP62" s="52">
        <f t="shared" si="46"/>
        <v>0</v>
      </c>
      <c r="CQ62" s="52">
        <f t="shared" si="46"/>
        <v>0</v>
      </c>
      <c r="CR62" s="52">
        <f t="shared" si="46"/>
        <v>0</v>
      </c>
      <c r="CS62" s="52">
        <f t="shared" si="46"/>
        <v>0</v>
      </c>
      <c r="CT62" s="52">
        <f t="shared" si="46"/>
        <v>0</v>
      </c>
      <c r="CU62" s="52">
        <f t="shared" si="46"/>
        <v>0</v>
      </c>
      <c r="CV62" s="52">
        <f t="shared" si="46"/>
        <v>0</v>
      </c>
      <c r="CW62" s="52">
        <f t="shared" si="46"/>
        <v>0</v>
      </c>
      <c r="CX62" s="52">
        <f t="shared" si="46"/>
        <v>0</v>
      </c>
      <c r="CY62" s="52">
        <f t="shared" si="46"/>
        <v>0</v>
      </c>
      <c r="CZ62" s="52">
        <f t="shared" si="46"/>
        <v>0</v>
      </c>
      <c r="DA62" s="52">
        <f t="shared" si="46"/>
        <v>0</v>
      </c>
      <c r="DB62" s="52">
        <f t="shared" si="46"/>
        <v>0</v>
      </c>
      <c r="DC62" s="52">
        <f t="shared" si="46"/>
        <v>0</v>
      </c>
      <c r="DD62" s="52">
        <f t="shared" si="46"/>
        <v>0</v>
      </c>
      <c r="DE62" s="52">
        <f t="shared" si="46"/>
        <v>0</v>
      </c>
      <c r="DF62" s="52">
        <f t="shared" si="46"/>
        <v>0</v>
      </c>
      <c r="DG62" s="52">
        <f t="shared" si="46"/>
        <v>0</v>
      </c>
      <c r="DH62" s="52">
        <f t="shared" si="46"/>
        <v>0</v>
      </c>
      <c r="DI62" s="52">
        <f t="shared" si="46"/>
        <v>0</v>
      </c>
      <c r="DJ62" s="52">
        <f t="shared" si="46"/>
        <v>0</v>
      </c>
    </row>
    <row r="63" ht="15.75" customHeight="1">
      <c r="B63" s="52" t="s">
        <v>1792</v>
      </c>
      <c r="C63" s="63">
        <v>4.0</v>
      </c>
      <c r="D63" s="52" t="s">
        <v>1790</v>
      </c>
      <c r="E63" s="58"/>
      <c r="F63" s="58"/>
      <c r="G63" s="58"/>
      <c r="H63" s="58"/>
      <c r="I63" s="58"/>
      <c r="J63" s="58"/>
      <c r="K63" s="58"/>
      <c r="L63" s="58"/>
      <c r="M63" s="58"/>
      <c r="N63" s="65">
        <v>0.08</v>
      </c>
      <c r="O63" s="65">
        <v>0.08</v>
      </c>
      <c r="P63" s="65">
        <v>0.07</v>
      </c>
      <c r="Q63" s="65">
        <v>0.07</v>
      </c>
      <c r="R63" s="65">
        <v>0.06</v>
      </c>
      <c r="S63" s="65">
        <v>0.06</v>
      </c>
      <c r="T63" s="65">
        <v>0.05</v>
      </c>
      <c r="U63" s="65">
        <v>0.05</v>
      </c>
      <c r="V63" s="65">
        <v>0.05</v>
      </c>
      <c r="W63" s="65">
        <v>0.04</v>
      </c>
      <c r="X63" s="65">
        <v>0.04</v>
      </c>
      <c r="Y63" s="65">
        <v>0.04</v>
      </c>
      <c r="Z63" s="65">
        <v>0.04</v>
      </c>
      <c r="AA63" s="65">
        <v>0.03</v>
      </c>
      <c r="AB63" s="65">
        <v>0.03</v>
      </c>
      <c r="AC63" s="65">
        <v>0.03</v>
      </c>
      <c r="AD63" s="65">
        <v>0.03</v>
      </c>
      <c r="AE63" s="58"/>
      <c r="AF63" s="52"/>
      <c r="AG63" s="52"/>
      <c r="AH63" s="52"/>
      <c r="AI63" s="52"/>
      <c r="AJ63" s="52"/>
      <c r="BN63" s="52">
        <f t="shared" ref="BN63:DJ63" si="47">ROUND($BN33*E63,0)</f>
        <v>0</v>
      </c>
      <c r="BO63" s="52">
        <f t="shared" si="47"/>
        <v>0</v>
      </c>
      <c r="BP63" s="52">
        <f t="shared" si="47"/>
        <v>0</v>
      </c>
      <c r="BQ63" s="52">
        <f t="shared" si="47"/>
        <v>0</v>
      </c>
      <c r="BR63" s="52">
        <f t="shared" si="47"/>
        <v>0</v>
      </c>
      <c r="BS63" s="52">
        <f t="shared" si="47"/>
        <v>0</v>
      </c>
      <c r="BT63" s="52">
        <f t="shared" si="47"/>
        <v>0</v>
      </c>
      <c r="BU63" s="52">
        <f t="shared" si="47"/>
        <v>0</v>
      </c>
      <c r="BV63" s="52">
        <f t="shared" si="47"/>
        <v>0</v>
      </c>
      <c r="BW63" s="52">
        <f t="shared" si="47"/>
        <v>1</v>
      </c>
      <c r="BX63" s="52">
        <f t="shared" si="47"/>
        <v>1</v>
      </c>
      <c r="BY63" s="52">
        <f t="shared" si="47"/>
        <v>1</v>
      </c>
      <c r="BZ63" s="52">
        <f t="shared" si="47"/>
        <v>1</v>
      </c>
      <c r="CA63" s="52">
        <f t="shared" si="47"/>
        <v>1</v>
      </c>
      <c r="CB63" s="52">
        <f t="shared" si="47"/>
        <v>1</v>
      </c>
      <c r="CC63" s="52">
        <f t="shared" si="47"/>
        <v>1</v>
      </c>
      <c r="CD63" s="52">
        <f t="shared" si="47"/>
        <v>1</v>
      </c>
      <c r="CE63" s="52">
        <f t="shared" si="47"/>
        <v>1</v>
      </c>
      <c r="CF63" s="52">
        <f t="shared" si="47"/>
        <v>0</v>
      </c>
      <c r="CG63" s="52">
        <f t="shared" si="47"/>
        <v>0</v>
      </c>
      <c r="CH63" s="52">
        <f t="shared" si="47"/>
        <v>0</v>
      </c>
      <c r="CI63" s="52">
        <f t="shared" si="47"/>
        <v>0</v>
      </c>
      <c r="CJ63" s="52">
        <f t="shared" si="47"/>
        <v>0</v>
      </c>
      <c r="CK63" s="52">
        <f t="shared" si="47"/>
        <v>0</v>
      </c>
      <c r="CL63" s="52">
        <f t="shared" si="47"/>
        <v>0</v>
      </c>
      <c r="CM63" s="52">
        <f t="shared" si="47"/>
        <v>0</v>
      </c>
      <c r="CN63" s="52">
        <f t="shared" si="47"/>
        <v>0</v>
      </c>
      <c r="CO63" s="52">
        <f t="shared" si="47"/>
        <v>0</v>
      </c>
      <c r="CP63" s="52">
        <f t="shared" si="47"/>
        <v>0</v>
      </c>
      <c r="CQ63" s="52">
        <f t="shared" si="47"/>
        <v>0</v>
      </c>
      <c r="CR63" s="52">
        <f t="shared" si="47"/>
        <v>0</v>
      </c>
      <c r="CS63" s="52">
        <f t="shared" si="47"/>
        <v>0</v>
      </c>
      <c r="CT63" s="52">
        <f t="shared" si="47"/>
        <v>0</v>
      </c>
      <c r="CU63" s="52">
        <f t="shared" si="47"/>
        <v>0</v>
      </c>
      <c r="CV63" s="52">
        <f t="shared" si="47"/>
        <v>0</v>
      </c>
      <c r="CW63" s="52">
        <f t="shared" si="47"/>
        <v>0</v>
      </c>
      <c r="CX63" s="52">
        <f t="shared" si="47"/>
        <v>0</v>
      </c>
      <c r="CY63" s="52">
        <f t="shared" si="47"/>
        <v>0</v>
      </c>
      <c r="CZ63" s="52">
        <f t="shared" si="47"/>
        <v>0</v>
      </c>
      <c r="DA63" s="52">
        <f t="shared" si="47"/>
        <v>0</v>
      </c>
      <c r="DB63" s="52">
        <f t="shared" si="47"/>
        <v>0</v>
      </c>
      <c r="DC63" s="52">
        <f t="shared" si="47"/>
        <v>0</v>
      </c>
      <c r="DD63" s="52">
        <f t="shared" si="47"/>
        <v>0</v>
      </c>
      <c r="DE63" s="52">
        <f t="shared" si="47"/>
        <v>0</v>
      </c>
      <c r="DF63" s="52">
        <f t="shared" si="47"/>
        <v>0</v>
      </c>
      <c r="DG63" s="52">
        <f t="shared" si="47"/>
        <v>0</v>
      </c>
      <c r="DH63" s="52">
        <f t="shared" si="47"/>
        <v>0</v>
      </c>
      <c r="DI63" s="52">
        <f t="shared" si="47"/>
        <v>0</v>
      </c>
      <c r="DJ63" s="52">
        <f t="shared" si="47"/>
        <v>0</v>
      </c>
    </row>
    <row r="64" ht="15.75" customHeight="1">
      <c r="B64" s="52" t="s">
        <v>1792</v>
      </c>
      <c r="C64" s="63">
        <v>5.0</v>
      </c>
      <c r="D64" s="52">
        <v>0.0</v>
      </c>
      <c r="E64" s="65">
        <v>0.07</v>
      </c>
      <c r="F64" s="65">
        <v>0.07</v>
      </c>
      <c r="G64" s="65">
        <v>0.07</v>
      </c>
      <c r="H64" s="65">
        <v>0.07</v>
      </c>
      <c r="I64" s="65">
        <v>0.07</v>
      </c>
      <c r="J64" s="65">
        <v>0.07</v>
      </c>
      <c r="K64" s="65">
        <v>0.07</v>
      </c>
      <c r="L64" s="65">
        <v>0.07</v>
      </c>
      <c r="M64" s="65">
        <v>0.07</v>
      </c>
      <c r="N64" s="65">
        <v>0.03</v>
      </c>
      <c r="O64" s="65">
        <v>0.03</v>
      </c>
      <c r="P64" s="65">
        <v>0.03</v>
      </c>
      <c r="Q64" s="65">
        <v>0.03</v>
      </c>
      <c r="R64" s="65">
        <v>0.03</v>
      </c>
      <c r="S64" s="65">
        <v>0.03</v>
      </c>
      <c r="T64" s="65">
        <v>0.03</v>
      </c>
      <c r="U64" s="65">
        <v>0.02</v>
      </c>
      <c r="V64" s="65">
        <v>0.02</v>
      </c>
      <c r="W64" s="65">
        <v>0.02</v>
      </c>
      <c r="X64" s="65">
        <v>0.02</v>
      </c>
      <c r="Y64" s="65">
        <v>0.02</v>
      </c>
      <c r="Z64" s="65">
        <v>0.02</v>
      </c>
      <c r="AA64" s="65">
        <v>0.02</v>
      </c>
      <c r="AB64" s="65">
        <v>0.02</v>
      </c>
      <c r="AC64" s="58"/>
      <c r="AD64" s="58"/>
      <c r="AE64" s="58"/>
      <c r="AF64" s="52"/>
      <c r="AG64" s="52"/>
      <c r="AH64" s="52"/>
      <c r="AI64" s="52"/>
      <c r="AJ64" s="52"/>
      <c r="BO64" s="52">
        <f t="shared" ref="BO64:DJ64" si="48">ROUND($BO27*E64,0)</f>
        <v>10</v>
      </c>
      <c r="BP64" s="52">
        <f t="shared" si="48"/>
        <v>10</v>
      </c>
      <c r="BQ64" s="52">
        <f t="shared" si="48"/>
        <v>10</v>
      </c>
      <c r="BR64" s="52">
        <f t="shared" si="48"/>
        <v>10</v>
      </c>
      <c r="BS64" s="52">
        <f t="shared" si="48"/>
        <v>10</v>
      </c>
      <c r="BT64" s="52">
        <f t="shared" si="48"/>
        <v>10</v>
      </c>
      <c r="BU64" s="52">
        <f t="shared" si="48"/>
        <v>10</v>
      </c>
      <c r="BV64" s="52">
        <f t="shared" si="48"/>
        <v>10</v>
      </c>
      <c r="BW64" s="52">
        <f t="shared" si="48"/>
        <v>10</v>
      </c>
      <c r="BX64" s="52">
        <f t="shared" si="48"/>
        <v>4</v>
      </c>
      <c r="BY64" s="52">
        <f t="shared" si="48"/>
        <v>4</v>
      </c>
      <c r="BZ64" s="52">
        <f t="shared" si="48"/>
        <v>4</v>
      </c>
      <c r="CA64" s="52">
        <f t="shared" si="48"/>
        <v>4</v>
      </c>
      <c r="CB64" s="52">
        <f t="shared" si="48"/>
        <v>4</v>
      </c>
      <c r="CC64" s="52">
        <f t="shared" si="48"/>
        <v>4</v>
      </c>
      <c r="CD64" s="52">
        <f t="shared" si="48"/>
        <v>4</v>
      </c>
      <c r="CE64" s="52">
        <f t="shared" si="48"/>
        <v>3</v>
      </c>
      <c r="CF64" s="52">
        <f t="shared" si="48"/>
        <v>3</v>
      </c>
      <c r="CG64" s="52">
        <f t="shared" si="48"/>
        <v>3</v>
      </c>
      <c r="CH64" s="52">
        <f t="shared" si="48"/>
        <v>3</v>
      </c>
      <c r="CI64" s="52">
        <f t="shared" si="48"/>
        <v>3</v>
      </c>
      <c r="CJ64" s="52">
        <f t="shared" si="48"/>
        <v>3</v>
      </c>
      <c r="CK64" s="52">
        <f t="shared" si="48"/>
        <v>3</v>
      </c>
      <c r="CL64" s="52">
        <f t="shared" si="48"/>
        <v>3</v>
      </c>
      <c r="CM64" s="52">
        <f t="shared" si="48"/>
        <v>0</v>
      </c>
      <c r="CN64" s="52">
        <f t="shared" si="48"/>
        <v>0</v>
      </c>
      <c r="CO64" s="52">
        <f t="shared" si="48"/>
        <v>0</v>
      </c>
      <c r="CP64" s="52">
        <f t="shared" si="48"/>
        <v>0</v>
      </c>
      <c r="CQ64" s="52">
        <f t="shared" si="48"/>
        <v>0</v>
      </c>
      <c r="CR64" s="52">
        <f t="shared" si="48"/>
        <v>0</v>
      </c>
      <c r="CS64" s="52">
        <f t="shared" si="48"/>
        <v>0</v>
      </c>
      <c r="CT64" s="52">
        <f t="shared" si="48"/>
        <v>0</v>
      </c>
      <c r="CU64" s="52">
        <f t="shared" si="48"/>
        <v>0</v>
      </c>
      <c r="CV64" s="52">
        <f t="shared" si="48"/>
        <v>0</v>
      </c>
      <c r="CW64" s="52">
        <f t="shared" si="48"/>
        <v>0</v>
      </c>
      <c r="CX64" s="52">
        <f t="shared" si="48"/>
        <v>0</v>
      </c>
      <c r="CY64" s="52">
        <f t="shared" si="48"/>
        <v>0</v>
      </c>
      <c r="CZ64" s="52">
        <f t="shared" si="48"/>
        <v>0</v>
      </c>
      <c r="DA64" s="52">
        <f t="shared" si="48"/>
        <v>0</v>
      </c>
      <c r="DB64" s="52">
        <f t="shared" si="48"/>
        <v>0</v>
      </c>
      <c r="DC64" s="52">
        <f t="shared" si="48"/>
        <v>0</v>
      </c>
      <c r="DD64" s="52">
        <f t="shared" si="48"/>
        <v>0</v>
      </c>
      <c r="DE64" s="52">
        <f t="shared" si="48"/>
        <v>0</v>
      </c>
      <c r="DF64" s="52">
        <f t="shared" si="48"/>
        <v>0</v>
      </c>
      <c r="DG64" s="52">
        <f t="shared" si="48"/>
        <v>0</v>
      </c>
      <c r="DH64" s="52">
        <f t="shared" si="48"/>
        <v>0</v>
      </c>
      <c r="DI64" s="52">
        <f t="shared" si="48"/>
        <v>0</v>
      </c>
      <c r="DJ64" s="52">
        <f t="shared" si="48"/>
        <v>0</v>
      </c>
    </row>
    <row r="65" ht="15.75" customHeight="1">
      <c r="B65" s="52" t="s">
        <v>1792</v>
      </c>
      <c r="C65" s="63">
        <v>5.0</v>
      </c>
      <c r="D65" s="52" t="s">
        <v>1785</v>
      </c>
      <c r="E65" s="65">
        <v>0.02</v>
      </c>
      <c r="F65" s="65">
        <v>0.02</v>
      </c>
      <c r="G65" s="65">
        <v>0.02</v>
      </c>
      <c r="H65" s="65">
        <v>0.02</v>
      </c>
      <c r="I65" s="65">
        <v>0.08</v>
      </c>
      <c r="J65" s="65">
        <v>0.08</v>
      </c>
      <c r="K65" s="65">
        <v>0.07</v>
      </c>
      <c r="L65" s="65">
        <v>0.07</v>
      </c>
      <c r="M65" s="65">
        <v>0.06</v>
      </c>
      <c r="N65" s="65">
        <v>0.06</v>
      </c>
      <c r="O65" s="65">
        <v>0.05</v>
      </c>
      <c r="P65" s="65">
        <v>0.05</v>
      </c>
      <c r="Q65" s="65">
        <v>0.05</v>
      </c>
      <c r="R65" s="65">
        <v>0.04</v>
      </c>
      <c r="S65" s="65">
        <v>0.04</v>
      </c>
      <c r="T65" s="65">
        <v>0.04</v>
      </c>
      <c r="U65" s="65">
        <v>0.04</v>
      </c>
      <c r="V65" s="65">
        <v>0.03</v>
      </c>
      <c r="W65" s="65">
        <v>0.03</v>
      </c>
      <c r="X65" s="65">
        <v>0.03</v>
      </c>
      <c r="Y65" s="65">
        <v>0.03</v>
      </c>
      <c r="Z65" s="65">
        <v>0.03</v>
      </c>
      <c r="AA65" s="65">
        <v>0.02</v>
      </c>
      <c r="AB65" s="65">
        <v>0.02</v>
      </c>
      <c r="AC65" s="58"/>
      <c r="AD65" s="58"/>
      <c r="AE65" s="58"/>
      <c r="AF65" s="52"/>
      <c r="AG65" s="52"/>
      <c r="AH65" s="52"/>
      <c r="AI65" s="52"/>
      <c r="AJ65" s="52"/>
      <c r="BO65" s="52">
        <f t="shared" ref="BO65:DJ65" si="49">ROUND($BO28*E65,0)</f>
        <v>0</v>
      </c>
      <c r="BP65" s="52">
        <f t="shared" si="49"/>
        <v>0</v>
      </c>
      <c r="BQ65" s="52">
        <f t="shared" si="49"/>
        <v>0</v>
      </c>
      <c r="BR65" s="52">
        <f t="shared" si="49"/>
        <v>0</v>
      </c>
      <c r="BS65" s="52">
        <f t="shared" si="49"/>
        <v>1</v>
      </c>
      <c r="BT65" s="52">
        <f t="shared" si="49"/>
        <v>1</v>
      </c>
      <c r="BU65" s="52">
        <f t="shared" si="49"/>
        <v>1</v>
      </c>
      <c r="BV65" s="52">
        <f t="shared" si="49"/>
        <v>1</v>
      </c>
      <c r="BW65" s="52">
        <f t="shared" si="49"/>
        <v>1</v>
      </c>
      <c r="BX65" s="52">
        <f t="shared" si="49"/>
        <v>1</v>
      </c>
      <c r="BY65" s="52">
        <f t="shared" si="49"/>
        <v>1</v>
      </c>
      <c r="BZ65" s="52">
        <f t="shared" si="49"/>
        <v>1</v>
      </c>
      <c r="CA65" s="52">
        <f t="shared" si="49"/>
        <v>1</v>
      </c>
      <c r="CB65" s="52">
        <f t="shared" si="49"/>
        <v>1</v>
      </c>
      <c r="CC65" s="52">
        <f t="shared" si="49"/>
        <v>1</v>
      </c>
      <c r="CD65" s="52">
        <f t="shared" si="49"/>
        <v>1</v>
      </c>
      <c r="CE65" s="52">
        <f t="shared" si="49"/>
        <v>1</v>
      </c>
      <c r="CF65" s="52">
        <f t="shared" si="49"/>
        <v>0</v>
      </c>
      <c r="CG65" s="52">
        <f t="shared" si="49"/>
        <v>0</v>
      </c>
      <c r="CH65" s="52">
        <f t="shared" si="49"/>
        <v>0</v>
      </c>
      <c r="CI65" s="52">
        <f t="shared" si="49"/>
        <v>0</v>
      </c>
      <c r="CJ65" s="52">
        <f t="shared" si="49"/>
        <v>0</v>
      </c>
      <c r="CK65" s="52">
        <f t="shared" si="49"/>
        <v>0</v>
      </c>
      <c r="CL65" s="52">
        <f t="shared" si="49"/>
        <v>0</v>
      </c>
      <c r="CM65" s="52">
        <f t="shared" si="49"/>
        <v>0</v>
      </c>
      <c r="CN65" s="52">
        <f t="shared" si="49"/>
        <v>0</v>
      </c>
      <c r="CO65" s="52">
        <f t="shared" si="49"/>
        <v>0</v>
      </c>
      <c r="CP65" s="52">
        <f t="shared" si="49"/>
        <v>0</v>
      </c>
      <c r="CQ65" s="52">
        <f t="shared" si="49"/>
        <v>0</v>
      </c>
      <c r="CR65" s="52">
        <f t="shared" si="49"/>
        <v>0</v>
      </c>
      <c r="CS65" s="52">
        <f t="shared" si="49"/>
        <v>0</v>
      </c>
      <c r="CT65" s="52">
        <f t="shared" si="49"/>
        <v>0</v>
      </c>
      <c r="CU65" s="52">
        <f t="shared" si="49"/>
        <v>0</v>
      </c>
      <c r="CV65" s="52">
        <f t="shared" si="49"/>
        <v>0</v>
      </c>
      <c r="CW65" s="52">
        <f t="shared" si="49"/>
        <v>0</v>
      </c>
      <c r="CX65" s="52">
        <f t="shared" si="49"/>
        <v>0</v>
      </c>
      <c r="CY65" s="52">
        <f t="shared" si="49"/>
        <v>0</v>
      </c>
      <c r="CZ65" s="52">
        <f t="shared" si="49"/>
        <v>0</v>
      </c>
      <c r="DA65" s="52">
        <f t="shared" si="49"/>
        <v>0</v>
      </c>
      <c r="DB65" s="52">
        <f t="shared" si="49"/>
        <v>0</v>
      </c>
      <c r="DC65" s="52">
        <f t="shared" si="49"/>
        <v>0</v>
      </c>
      <c r="DD65" s="52">
        <f t="shared" si="49"/>
        <v>0</v>
      </c>
      <c r="DE65" s="52">
        <f t="shared" si="49"/>
        <v>0</v>
      </c>
      <c r="DF65" s="52">
        <f t="shared" si="49"/>
        <v>0</v>
      </c>
      <c r="DG65" s="52">
        <f t="shared" si="49"/>
        <v>0</v>
      </c>
      <c r="DH65" s="52">
        <f t="shared" si="49"/>
        <v>0</v>
      </c>
      <c r="DI65" s="52">
        <f t="shared" si="49"/>
        <v>0</v>
      </c>
      <c r="DJ65" s="52">
        <f t="shared" si="49"/>
        <v>0</v>
      </c>
    </row>
    <row r="66" ht="15.75" customHeight="1">
      <c r="B66" s="52" t="s">
        <v>1792</v>
      </c>
      <c r="C66" s="63">
        <v>5.0</v>
      </c>
      <c r="D66" s="52" t="s">
        <v>1786</v>
      </c>
      <c r="E66" s="58"/>
      <c r="F66" s="58"/>
      <c r="G66" s="58"/>
      <c r="H66" s="65">
        <v>0.08</v>
      </c>
      <c r="I66" s="65">
        <v>0.08</v>
      </c>
      <c r="J66" s="65">
        <v>0.07</v>
      </c>
      <c r="K66" s="65">
        <v>0.07</v>
      </c>
      <c r="L66" s="65">
        <v>0.06</v>
      </c>
      <c r="M66" s="65">
        <v>0.06</v>
      </c>
      <c r="N66" s="65">
        <v>0.05</v>
      </c>
      <c r="O66" s="65">
        <v>0.05</v>
      </c>
      <c r="P66" s="65">
        <v>0.05</v>
      </c>
      <c r="Q66" s="65">
        <v>0.04</v>
      </c>
      <c r="R66" s="65">
        <v>0.04</v>
      </c>
      <c r="S66" s="65">
        <v>0.04</v>
      </c>
      <c r="T66" s="65">
        <v>0.04</v>
      </c>
      <c r="U66" s="65">
        <v>0.03</v>
      </c>
      <c r="V66" s="65">
        <v>0.03</v>
      </c>
      <c r="W66" s="65">
        <v>0.03</v>
      </c>
      <c r="X66" s="65">
        <v>0.03</v>
      </c>
      <c r="Y66" s="65">
        <v>0.03</v>
      </c>
      <c r="Z66" s="65">
        <v>0.02</v>
      </c>
      <c r="AA66" s="65">
        <v>0.02</v>
      </c>
      <c r="AB66" s="65">
        <v>0.03</v>
      </c>
      <c r="AC66" s="65">
        <v>0.03</v>
      </c>
      <c r="AD66" s="65">
        <v>0.02</v>
      </c>
      <c r="AE66" s="58"/>
      <c r="AF66" s="52"/>
      <c r="AG66" s="52"/>
      <c r="AH66" s="52"/>
      <c r="AI66" s="52"/>
      <c r="AJ66" s="52"/>
      <c r="BO66" s="52">
        <f t="shared" ref="BO66:DJ66" si="50">ROUND($BO29*E66,0)</f>
        <v>0</v>
      </c>
      <c r="BP66" s="52">
        <f t="shared" si="50"/>
        <v>0</v>
      </c>
      <c r="BQ66" s="52">
        <f t="shared" si="50"/>
        <v>0</v>
      </c>
      <c r="BR66" s="52">
        <f t="shared" si="50"/>
        <v>2</v>
      </c>
      <c r="BS66" s="52">
        <f t="shared" si="50"/>
        <v>2</v>
      </c>
      <c r="BT66" s="52">
        <f t="shared" si="50"/>
        <v>2</v>
      </c>
      <c r="BU66" s="52">
        <f t="shared" si="50"/>
        <v>2</v>
      </c>
      <c r="BV66" s="52">
        <f t="shared" si="50"/>
        <v>2</v>
      </c>
      <c r="BW66" s="52">
        <f t="shared" si="50"/>
        <v>2</v>
      </c>
      <c r="BX66" s="52">
        <f t="shared" si="50"/>
        <v>1</v>
      </c>
      <c r="BY66" s="52">
        <f t="shared" si="50"/>
        <v>1</v>
      </c>
      <c r="BZ66" s="52">
        <f t="shared" si="50"/>
        <v>1</v>
      </c>
      <c r="CA66" s="52">
        <f t="shared" si="50"/>
        <v>1</v>
      </c>
      <c r="CB66" s="52">
        <f t="shared" si="50"/>
        <v>1</v>
      </c>
      <c r="CC66" s="52">
        <f t="shared" si="50"/>
        <v>1</v>
      </c>
      <c r="CD66" s="52">
        <f t="shared" si="50"/>
        <v>1</v>
      </c>
      <c r="CE66" s="52">
        <f t="shared" si="50"/>
        <v>1</v>
      </c>
      <c r="CF66" s="52">
        <f t="shared" si="50"/>
        <v>1</v>
      </c>
      <c r="CG66" s="52">
        <f t="shared" si="50"/>
        <v>1</v>
      </c>
      <c r="CH66" s="52">
        <f t="shared" si="50"/>
        <v>1</v>
      </c>
      <c r="CI66" s="52">
        <f t="shared" si="50"/>
        <v>1</v>
      </c>
      <c r="CJ66" s="52">
        <f t="shared" si="50"/>
        <v>1</v>
      </c>
      <c r="CK66" s="52">
        <f t="shared" si="50"/>
        <v>1</v>
      </c>
      <c r="CL66" s="52">
        <f t="shared" si="50"/>
        <v>1</v>
      </c>
      <c r="CM66" s="52">
        <f t="shared" si="50"/>
        <v>1</v>
      </c>
      <c r="CN66" s="52">
        <f t="shared" si="50"/>
        <v>1</v>
      </c>
      <c r="CO66" s="52">
        <f t="shared" si="50"/>
        <v>0</v>
      </c>
      <c r="CP66" s="52">
        <f t="shared" si="50"/>
        <v>0</v>
      </c>
      <c r="CQ66" s="52">
        <f t="shared" si="50"/>
        <v>0</v>
      </c>
      <c r="CR66" s="52">
        <f t="shared" si="50"/>
        <v>0</v>
      </c>
      <c r="CS66" s="52">
        <f t="shared" si="50"/>
        <v>0</v>
      </c>
      <c r="CT66" s="52">
        <f t="shared" si="50"/>
        <v>0</v>
      </c>
      <c r="CU66" s="52">
        <f t="shared" si="50"/>
        <v>0</v>
      </c>
      <c r="CV66" s="52">
        <f t="shared" si="50"/>
        <v>0</v>
      </c>
      <c r="CW66" s="52">
        <f t="shared" si="50"/>
        <v>0</v>
      </c>
      <c r="CX66" s="52">
        <f t="shared" si="50"/>
        <v>0</v>
      </c>
      <c r="CY66" s="52">
        <f t="shared" si="50"/>
        <v>0</v>
      </c>
      <c r="CZ66" s="52">
        <f t="shared" si="50"/>
        <v>0</v>
      </c>
      <c r="DA66" s="52">
        <f t="shared" si="50"/>
        <v>0</v>
      </c>
      <c r="DB66" s="52">
        <f t="shared" si="50"/>
        <v>0</v>
      </c>
      <c r="DC66" s="52">
        <f t="shared" si="50"/>
        <v>0</v>
      </c>
      <c r="DD66" s="52">
        <f t="shared" si="50"/>
        <v>0</v>
      </c>
      <c r="DE66" s="52">
        <f t="shared" si="50"/>
        <v>0</v>
      </c>
      <c r="DF66" s="52">
        <f t="shared" si="50"/>
        <v>0</v>
      </c>
      <c r="DG66" s="52">
        <f t="shared" si="50"/>
        <v>0</v>
      </c>
      <c r="DH66" s="52">
        <f t="shared" si="50"/>
        <v>0</v>
      </c>
      <c r="DI66" s="52">
        <f t="shared" si="50"/>
        <v>0</v>
      </c>
      <c r="DJ66" s="52">
        <f t="shared" si="50"/>
        <v>0</v>
      </c>
    </row>
    <row r="67" ht="15.75" customHeight="1">
      <c r="B67" s="52" t="s">
        <v>1792</v>
      </c>
      <c r="C67" s="63">
        <v>5.0</v>
      </c>
      <c r="D67" s="52" t="s">
        <v>1787</v>
      </c>
      <c r="E67" s="58"/>
      <c r="F67" s="58"/>
      <c r="G67" s="58"/>
      <c r="H67" s="58"/>
      <c r="I67" s="58"/>
      <c r="J67" s="65">
        <v>0.08</v>
      </c>
      <c r="K67" s="65">
        <v>0.08</v>
      </c>
      <c r="L67" s="65">
        <v>0.07</v>
      </c>
      <c r="M67" s="65">
        <v>0.07</v>
      </c>
      <c r="N67" s="65">
        <v>0.06</v>
      </c>
      <c r="O67" s="65">
        <v>0.06</v>
      </c>
      <c r="P67" s="65">
        <v>0.05</v>
      </c>
      <c r="Q67" s="65">
        <v>0.05</v>
      </c>
      <c r="R67" s="65">
        <v>0.05</v>
      </c>
      <c r="S67" s="65">
        <v>0.04</v>
      </c>
      <c r="T67" s="65">
        <v>0.04</v>
      </c>
      <c r="U67" s="65">
        <v>0.04</v>
      </c>
      <c r="V67" s="65">
        <v>0.04</v>
      </c>
      <c r="W67" s="65">
        <v>0.03</v>
      </c>
      <c r="X67" s="65">
        <v>0.03</v>
      </c>
      <c r="Y67" s="65">
        <v>0.03</v>
      </c>
      <c r="Z67" s="65">
        <v>0.03</v>
      </c>
      <c r="AA67" s="65">
        <v>0.03</v>
      </c>
      <c r="AB67" s="65">
        <v>0.02</v>
      </c>
      <c r="AC67" s="65">
        <v>0.02</v>
      </c>
      <c r="AD67" s="65">
        <v>0.03</v>
      </c>
      <c r="AE67" s="58"/>
      <c r="AF67" s="52"/>
      <c r="AG67" s="52"/>
      <c r="AH67" s="52"/>
      <c r="AI67" s="52"/>
      <c r="AJ67" s="52"/>
      <c r="BO67" s="52">
        <f t="shared" ref="BO67:DJ67" si="51">ROUND($BO30*E67,0)</f>
        <v>0</v>
      </c>
      <c r="BP67" s="52">
        <f t="shared" si="51"/>
        <v>0</v>
      </c>
      <c r="BQ67" s="52">
        <f t="shared" si="51"/>
        <v>0</v>
      </c>
      <c r="BR67" s="52">
        <f t="shared" si="51"/>
        <v>0</v>
      </c>
      <c r="BS67" s="52">
        <f t="shared" si="51"/>
        <v>0</v>
      </c>
      <c r="BT67" s="52">
        <f t="shared" si="51"/>
        <v>0</v>
      </c>
      <c r="BU67" s="52">
        <f t="shared" si="51"/>
        <v>0</v>
      </c>
      <c r="BV67" s="52">
        <f t="shared" si="51"/>
        <v>0</v>
      </c>
      <c r="BW67" s="52">
        <f t="shared" si="51"/>
        <v>0</v>
      </c>
      <c r="BX67" s="52">
        <f t="shared" si="51"/>
        <v>0</v>
      </c>
      <c r="BY67" s="52">
        <f t="shared" si="51"/>
        <v>0</v>
      </c>
      <c r="BZ67" s="52">
        <f t="shared" si="51"/>
        <v>0</v>
      </c>
      <c r="CA67" s="52">
        <f t="shared" si="51"/>
        <v>0</v>
      </c>
      <c r="CB67" s="52">
        <f t="shared" si="51"/>
        <v>0</v>
      </c>
      <c r="CC67" s="52">
        <f t="shared" si="51"/>
        <v>0</v>
      </c>
      <c r="CD67" s="52">
        <f t="shared" si="51"/>
        <v>0</v>
      </c>
      <c r="CE67" s="52">
        <f t="shared" si="51"/>
        <v>0</v>
      </c>
      <c r="CF67" s="52">
        <f t="shared" si="51"/>
        <v>0</v>
      </c>
      <c r="CG67" s="52">
        <f t="shared" si="51"/>
        <v>0</v>
      </c>
      <c r="CH67" s="52">
        <f t="shared" si="51"/>
        <v>0</v>
      </c>
      <c r="CI67" s="52">
        <f t="shared" si="51"/>
        <v>0</v>
      </c>
      <c r="CJ67" s="52">
        <f t="shared" si="51"/>
        <v>0</v>
      </c>
      <c r="CK67" s="52">
        <f t="shared" si="51"/>
        <v>0</v>
      </c>
      <c r="CL67" s="52">
        <f t="shared" si="51"/>
        <v>0</v>
      </c>
      <c r="CM67" s="52">
        <f t="shared" si="51"/>
        <v>0</v>
      </c>
      <c r="CN67" s="52">
        <f t="shared" si="51"/>
        <v>0</v>
      </c>
      <c r="CO67" s="52">
        <f t="shared" si="51"/>
        <v>0</v>
      </c>
      <c r="CP67" s="52">
        <f t="shared" si="51"/>
        <v>0</v>
      </c>
      <c r="CQ67" s="52">
        <f t="shared" si="51"/>
        <v>0</v>
      </c>
      <c r="CR67" s="52">
        <f t="shared" si="51"/>
        <v>0</v>
      </c>
      <c r="CS67" s="52">
        <f t="shared" si="51"/>
        <v>0</v>
      </c>
      <c r="CT67" s="52">
        <f t="shared" si="51"/>
        <v>0</v>
      </c>
      <c r="CU67" s="52">
        <f t="shared" si="51"/>
        <v>0</v>
      </c>
      <c r="CV67" s="52">
        <f t="shared" si="51"/>
        <v>0</v>
      </c>
      <c r="CW67" s="52">
        <f t="shared" si="51"/>
        <v>0</v>
      </c>
      <c r="CX67" s="52">
        <f t="shared" si="51"/>
        <v>0</v>
      </c>
      <c r="CY67" s="52">
        <f t="shared" si="51"/>
        <v>0</v>
      </c>
      <c r="CZ67" s="52">
        <f t="shared" si="51"/>
        <v>0</v>
      </c>
      <c r="DA67" s="52">
        <f t="shared" si="51"/>
        <v>0</v>
      </c>
      <c r="DB67" s="52">
        <f t="shared" si="51"/>
        <v>0</v>
      </c>
      <c r="DC67" s="52">
        <f t="shared" si="51"/>
        <v>0</v>
      </c>
      <c r="DD67" s="52">
        <f t="shared" si="51"/>
        <v>0</v>
      </c>
      <c r="DE67" s="52">
        <f t="shared" si="51"/>
        <v>0</v>
      </c>
      <c r="DF67" s="52">
        <f t="shared" si="51"/>
        <v>0</v>
      </c>
      <c r="DG67" s="52">
        <f t="shared" si="51"/>
        <v>0</v>
      </c>
      <c r="DH67" s="52">
        <f t="shared" si="51"/>
        <v>0</v>
      </c>
      <c r="DI67" s="52">
        <f t="shared" si="51"/>
        <v>0</v>
      </c>
      <c r="DJ67" s="52">
        <f t="shared" si="51"/>
        <v>0</v>
      </c>
    </row>
    <row r="68" ht="15.75" customHeight="1">
      <c r="B68" s="52" t="s">
        <v>1792</v>
      </c>
      <c r="C68" s="63">
        <v>5.0</v>
      </c>
      <c r="D68" s="52" t="s">
        <v>1788</v>
      </c>
      <c r="E68" s="58"/>
      <c r="F68" s="58"/>
      <c r="G68" s="58"/>
      <c r="H68" s="58"/>
      <c r="I68" s="58"/>
      <c r="J68" s="58"/>
      <c r="K68" s="65">
        <v>0.08</v>
      </c>
      <c r="L68" s="65">
        <v>0.08</v>
      </c>
      <c r="M68" s="65">
        <v>0.07</v>
      </c>
      <c r="N68" s="65">
        <v>0.07</v>
      </c>
      <c r="O68" s="65">
        <v>0.06</v>
      </c>
      <c r="P68" s="65">
        <v>0.06</v>
      </c>
      <c r="Q68" s="65">
        <v>0.05</v>
      </c>
      <c r="R68" s="65">
        <v>0.05</v>
      </c>
      <c r="S68" s="65">
        <v>0.05</v>
      </c>
      <c r="T68" s="65">
        <v>0.04</v>
      </c>
      <c r="U68" s="65">
        <v>0.04</v>
      </c>
      <c r="V68" s="65">
        <v>0.04</v>
      </c>
      <c r="W68" s="65">
        <v>0.04</v>
      </c>
      <c r="X68" s="65">
        <v>0.03</v>
      </c>
      <c r="Y68" s="65">
        <v>0.03</v>
      </c>
      <c r="Z68" s="65">
        <v>0.03</v>
      </c>
      <c r="AA68" s="65">
        <v>0.03</v>
      </c>
      <c r="AB68" s="65">
        <v>0.03</v>
      </c>
      <c r="AC68" s="65">
        <v>0.02</v>
      </c>
      <c r="AD68" s="65">
        <v>0.02</v>
      </c>
      <c r="AE68" s="58"/>
      <c r="AF68" s="52"/>
      <c r="AG68" s="52"/>
      <c r="AH68" s="52"/>
      <c r="AI68" s="52"/>
      <c r="AJ68" s="52"/>
      <c r="BO68" s="52">
        <f t="shared" ref="BO68:DJ68" si="52">ROUND($BO31*E68,0)</f>
        <v>0</v>
      </c>
      <c r="BP68" s="52">
        <f t="shared" si="52"/>
        <v>0</v>
      </c>
      <c r="BQ68" s="52">
        <f t="shared" si="52"/>
        <v>0</v>
      </c>
      <c r="BR68" s="52">
        <f t="shared" si="52"/>
        <v>0</v>
      </c>
      <c r="BS68" s="52">
        <f t="shared" si="52"/>
        <v>0</v>
      </c>
      <c r="BT68" s="52">
        <f t="shared" si="52"/>
        <v>0</v>
      </c>
      <c r="BU68" s="52">
        <f t="shared" si="52"/>
        <v>0</v>
      </c>
      <c r="BV68" s="52">
        <f t="shared" si="52"/>
        <v>0</v>
      </c>
      <c r="BW68" s="52">
        <f t="shared" si="52"/>
        <v>0</v>
      </c>
      <c r="BX68" s="52">
        <f t="shared" si="52"/>
        <v>0</v>
      </c>
      <c r="BY68" s="52">
        <f t="shared" si="52"/>
        <v>0</v>
      </c>
      <c r="BZ68" s="52">
        <f t="shared" si="52"/>
        <v>0</v>
      </c>
      <c r="CA68" s="52">
        <f t="shared" si="52"/>
        <v>0</v>
      </c>
      <c r="CB68" s="52">
        <f t="shared" si="52"/>
        <v>0</v>
      </c>
      <c r="CC68" s="52">
        <f t="shared" si="52"/>
        <v>0</v>
      </c>
      <c r="CD68" s="52">
        <f t="shared" si="52"/>
        <v>0</v>
      </c>
      <c r="CE68" s="52">
        <f t="shared" si="52"/>
        <v>0</v>
      </c>
      <c r="CF68" s="52">
        <f t="shared" si="52"/>
        <v>0</v>
      </c>
      <c r="CG68" s="52">
        <f t="shared" si="52"/>
        <v>0</v>
      </c>
      <c r="CH68" s="52">
        <f t="shared" si="52"/>
        <v>0</v>
      </c>
      <c r="CI68" s="52">
        <f t="shared" si="52"/>
        <v>0</v>
      </c>
      <c r="CJ68" s="52">
        <f t="shared" si="52"/>
        <v>0</v>
      </c>
      <c r="CK68" s="52">
        <f t="shared" si="52"/>
        <v>0</v>
      </c>
      <c r="CL68" s="52">
        <f t="shared" si="52"/>
        <v>0</v>
      </c>
      <c r="CM68" s="52">
        <f t="shared" si="52"/>
        <v>0</v>
      </c>
      <c r="CN68" s="52">
        <f t="shared" si="52"/>
        <v>0</v>
      </c>
      <c r="CO68" s="52">
        <f t="shared" si="52"/>
        <v>0</v>
      </c>
      <c r="CP68" s="52">
        <f t="shared" si="52"/>
        <v>0</v>
      </c>
      <c r="CQ68" s="52">
        <f t="shared" si="52"/>
        <v>0</v>
      </c>
      <c r="CR68" s="52">
        <f t="shared" si="52"/>
        <v>0</v>
      </c>
      <c r="CS68" s="52">
        <f t="shared" si="52"/>
        <v>0</v>
      </c>
      <c r="CT68" s="52">
        <f t="shared" si="52"/>
        <v>0</v>
      </c>
      <c r="CU68" s="52">
        <f t="shared" si="52"/>
        <v>0</v>
      </c>
      <c r="CV68" s="52">
        <f t="shared" si="52"/>
        <v>0</v>
      </c>
      <c r="CW68" s="52">
        <f t="shared" si="52"/>
        <v>0</v>
      </c>
      <c r="CX68" s="52">
        <f t="shared" si="52"/>
        <v>0</v>
      </c>
      <c r="CY68" s="52">
        <f t="shared" si="52"/>
        <v>0</v>
      </c>
      <c r="CZ68" s="52">
        <f t="shared" si="52"/>
        <v>0</v>
      </c>
      <c r="DA68" s="52">
        <f t="shared" si="52"/>
        <v>0</v>
      </c>
      <c r="DB68" s="52">
        <f t="shared" si="52"/>
        <v>0</v>
      </c>
      <c r="DC68" s="52">
        <f t="shared" si="52"/>
        <v>0</v>
      </c>
      <c r="DD68" s="52">
        <f t="shared" si="52"/>
        <v>0</v>
      </c>
      <c r="DE68" s="52">
        <f t="shared" si="52"/>
        <v>0</v>
      </c>
      <c r="DF68" s="52">
        <f t="shared" si="52"/>
        <v>0</v>
      </c>
      <c r="DG68" s="52">
        <f t="shared" si="52"/>
        <v>0</v>
      </c>
      <c r="DH68" s="52">
        <f t="shared" si="52"/>
        <v>0</v>
      </c>
      <c r="DI68" s="52">
        <f t="shared" si="52"/>
        <v>0</v>
      </c>
      <c r="DJ68" s="52">
        <f t="shared" si="52"/>
        <v>0</v>
      </c>
    </row>
    <row r="69" ht="15.75" customHeight="1">
      <c r="B69" s="52" t="s">
        <v>1792</v>
      </c>
      <c r="C69" s="63">
        <v>5.0</v>
      </c>
      <c r="D69" s="52" t="s">
        <v>1789</v>
      </c>
      <c r="E69" s="58"/>
      <c r="F69" s="58"/>
      <c r="G69" s="58"/>
      <c r="H69" s="58"/>
      <c r="I69" s="58"/>
      <c r="J69" s="58"/>
      <c r="K69" s="58"/>
      <c r="L69" s="65">
        <v>0.08</v>
      </c>
      <c r="M69" s="65">
        <v>0.08</v>
      </c>
      <c r="N69" s="65">
        <v>0.07</v>
      </c>
      <c r="O69" s="65">
        <v>0.07</v>
      </c>
      <c r="P69" s="65">
        <v>0.06</v>
      </c>
      <c r="Q69" s="65">
        <v>0.06</v>
      </c>
      <c r="R69" s="65">
        <v>0.05</v>
      </c>
      <c r="S69" s="65">
        <v>0.05</v>
      </c>
      <c r="T69" s="65">
        <v>0.05</v>
      </c>
      <c r="U69" s="65">
        <v>0.04</v>
      </c>
      <c r="V69" s="65">
        <v>0.04</v>
      </c>
      <c r="W69" s="65">
        <v>0.04</v>
      </c>
      <c r="X69" s="65">
        <v>0.04</v>
      </c>
      <c r="Y69" s="65">
        <v>0.03</v>
      </c>
      <c r="Z69" s="65">
        <v>0.03</v>
      </c>
      <c r="AA69" s="65">
        <v>0.03</v>
      </c>
      <c r="AB69" s="65">
        <v>0.03</v>
      </c>
      <c r="AC69" s="65">
        <v>0.03</v>
      </c>
      <c r="AD69" s="65">
        <v>0.02</v>
      </c>
      <c r="AE69" s="58"/>
      <c r="AF69" s="52"/>
      <c r="AG69" s="52"/>
      <c r="AH69" s="52"/>
      <c r="AI69" s="52"/>
      <c r="AJ69" s="52"/>
      <c r="BO69" s="52">
        <f t="shared" ref="BO69:DJ69" si="53">ROUND($BO32*E69,0)</f>
        <v>0</v>
      </c>
      <c r="BP69" s="52">
        <f t="shared" si="53"/>
        <v>0</v>
      </c>
      <c r="BQ69" s="52">
        <f t="shared" si="53"/>
        <v>0</v>
      </c>
      <c r="BR69" s="52">
        <f t="shared" si="53"/>
        <v>0</v>
      </c>
      <c r="BS69" s="52">
        <f t="shared" si="53"/>
        <v>0</v>
      </c>
      <c r="BT69" s="52">
        <f t="shared" si="53"/>
        <v>0</v>
      </c>
      <c r="BU69" s="52">
        <f t="shared" si="53"/>
        <v>0</v>
      </c>
      <c r="BV69" s="52">
        <f t="shared" si="53"/>
        <v>1</v>
      </c>
      <c r="BW69" s="52">
        <f t="shared" si="53"/>
        <v>1</v>
      </c>
      <c r="BX69" s="52">
        <f t="shared" si="53"/>
        <v>1</v>
      </c>
      <c r="BY69" s="52">
        <f t="shared" si="53"/>
        <v>1</v>
      </c>
      <c r="BZ69" s="52">
        <f t="shared" si="53"/>
        <v>1</v>
      </c>
      <c r="CA69" s="52">
        <f t="shared" si="53"/>
        <v>1</v>
      </c>
      <c r="CB69" s="52">
        <f t="shared" si="53"/>
        <v>0</v>
      </c>
      <c r="CC69" s="52">
        <f t="shared" si="53"/>
        <v>0</v>
      </c>
      <c r="CD69" s="52">
        <f t="shared" si="53"/>
        <v>0</v>
      </c>
      <c r="CE69" s="52">
        <f t="shared" si="53"/>
        <v>0</v>
      </c>
      <c r="CF69" s="52">
        <f t="shared" si="53"/>
        <v>0</v>
      </c>
      <c r="CG69" s="52">
        <f t="shared" si="53"/>
        <v>0</v>
      </c>
      <c r="CH69" s="52">
        <f t="shared" si="53"/>
        <v>0</v>
      </c>
      <c r="CI69" s="52">
        <f t="shared" si="53"/>
        <v>0</v>
      </c>
      <c r="CJ69" s="52">
        <f t="shared" si="53"/>
        <v>0</v>
      </c>
      <c r="CK69" s="52">
        <f t="shared" si="53"/>
        <v>0</v>
      </c>
      <c r="CL69" s="52">
        <f t="shared" si="53"/>
        <v>0</v>
      </c>
      <c r="CM69" s="52">
        <f t="shared" si="53"/>
        <v>0</v>
      </c>
      <c r="CN69" s="52">
        <f t="shared" si="53"/>
        <v>0</v>
      </c>
      <c r="CO69" s="52">
        <f t="shared" si="53"/>
        <v>0</v>
      </c>
      <c r="CP69" s="52">
        <f t="shared" si="53"/>
        <v>0</v>
      </c>
      <c r="CQ69" s="52">
        <f t="shared" si="53"/>
        <v>0</v>
      </c>
      <c r="CR69" s="52">
        <f t="shared" si="53"/>
        <v>0</v>
      </c>
      <c r="CS69" s="52">
        <f t="shared" si="53"/>
        <v>0</v>
      </c>
      <c r="CT69" s="52">
        <f t="shared" si="53"/>
        <v>0</v>
      </c>
      <c r="CU69" s="52">
        <f t="shared" si="53"/>
        <v>0</v>
      </c>
      <c r="CV69" s="52">
        <f t="shared" si="53"/>
        <v>0</v>
      </c>
      <c r="CW69" s="52">
        <f t="shared" si="53"/>
        <v>0</v>
      </c>
      <c r="CX69" s="52">
        <f t="shared" si="53"/>
        <v>0</v>
      </c>
      <c r="CY69" s="52">
        <f t="shared" si="53"/>
        <v>0</v>
      </c>
      <c r="CZ69" s="52">
        <f t="shared" si="53"/>
        <v>0</v>
      </c>
      <c r="DA69" s="52">
        <f t="shared" si="53"/>
        <v>0</v>
      </c>
      <c r="DB69" s="52">
        <f t="shared" si="53"/>
        <v>0</v>
      </c>
      <c r="DC69" s="52">
        <f t="shared" si="53"/>
        <v>0</v>
      </c>
      <c r="DD69" s="52">
        <f t="shared" si="53"/>
        <v>0</v>
      </c>
      <c r="DE69" s="52">
        <f t="shared" si="53"/>
        <v>0</v>
      </c>
      <c r="DF69" s="52">
        <f t="shared" si="53"/>
        <v>0</v>
      </c>
      <c r="DG69" s="52">
        <f t="shared" si="53"/>
        <v>0</v>
      </c>
      <c r="DH69" s="52">
        <f t="shared" si="53"/>
        <v>0</v>
      </c>
      <c r="DI69" s="52">
        <f t="shared" si="53"/>
        <v>0</v>
      </c>
      <c r="DJ69" s="52">
        <f t="shared" si="53"/>
        <v>0</v>
      </c>
    </row>
    <row r="70" ht="15.75" customHeight="1">
      <c r="B70" s="52" t="s">
        <v>1792</v>
      </c>
      <c r="C70" s="63">
        <v>5.0</v>
      </c>
      <c r="D70" s="52" t="s">
        <v>1790</v>
      </c>
      <c r="E70" s="58"/>
      <c r="F70" s="58"/>
      <c r="G70" s="58"/>
      <c r="H70" s="58"/>
      <c r="I70" s="58"/>
      <c r="J70" s="58"/>
      <c r="K70" s="58"/>
      <c r="L70" s="58"/>
      <c r="M70" s="58"/>
      <c r="N70" s="65">
        <v>0.08</v>
      </c>
      <c r="O70" s="65">
        <v>0.08</v>
      </c>
      <c r="P70" s="65">
        <v>0.07</v>
      </c>
      <c r="Q70" s="65">
        <v>0.07</v>
      </c>
      <c r="R70" s="65">
        <v>0.06</v>
      </c>
      <c r="S70" s="65">
        <v>0.06</v>
      </c>
      <c r="T70" s="65">
        <v>0.05</v>
      </c>
      <c r="U70" s="65">
        <v>0.05</v>
      </c>
      <c r="V70" s="65">
        <v>0.05</v>
      </c>
      <c r="W70" s="65">
        <v>0.04</v>
      </c>
      <c r="X70" s="65">
        <v>0.04</v>
      </c>
      <c r="Y70" s="65">
        <v>0.04</v>
      </c>
      <c r="Z70" s="65">
        <v>0.04</v>
      </c>
      <c r="AA70" s="65">
        <v>0.03</v>
      </c>
      <c r="AB70" s="65">
        <v>0.03</v>
      </c>
      <c r="AC70" s="65">
        <v>0.03</v>
      </c>
      <c r="AD70" s="65">
        <v>0.03</v>
      </c>
      <c r="AE70" s="58"/>
      <c r="AF70" s="52"/>
      <c r="AG70" s="52"/>
      <c r="AH70" s="52"/>
      <c r="AI70" s="52"/>
      <c r="AJ70" s="52"/>
      <c r="BO70" s="52">
        <f t="shared" ref="BO70:DJ70" si="54">ROUND($BO33*E70,0)</f>
        <v>0</v>
      </c>
      <c r="BP70" s="52">
        <f t="shared" si="54"/>
        <v>0</v>
      </c>
      <c r="BQ70" s="52">
        <f t="shared" si="54"/>
        <v>0</v>
      </c>
      <c r="BR70" s="52">
        <f t="shared" si="54"/>
        <v>0</v>
      </c>
      <c r="BS70" s="52">
        <f t="shared" si="54"/>
        <v>0</v>
      </c>
      <c r="BT70" s="52">
        <f t="shared" si="54"/>
        <v>0</v>
      </c>
      <c r="BU70" s="52">
        <f t="shared" si="54"/>
        <v>0</v>
      </c>
      <c r="BV70" s="52">
        <f t="shared" si="54"/>
        <v>0</v>
      </c>
      <c r="BW70" s="52">
        <f t="shared" si="54"/>
        <v>0</v>
      </c>
      <c r="BX70" s="52">
        <f t="shared" si="54"/>
        <v>1</v>
      </c>
      <c r="BY70" s="52">
        <f t="shared" si="54"/>
        <v>1</v>
      </c>
      <c r="BZ70" s="52">
        <f t="shared" si="54"/>
        <v>1</v>
      </c>
      <c r="CA70" s="52">
        <f t="shared" si="54"/>
        <v>1</v>
      </c>
      <c r="CB70" s="52">
        <f t="shared" si="54"/>
        <v>1</v>
      </c>
      <c r="CC70" s="52">
        <f t="shared" si="54"/>
        <v>1</v>
      </c>
      <c r="CD70" s="52">
        <f t="shared" si="54"/>
        <v>1</v>
      </c>
      <c r="CE70" s="52">
        <f t="shared" si="54"/>
        <v>1</v>
      </c>
      <c r="CF70" s="52">
        <f t="shared" si="54"/>
        <v>1</v>
      </c>
      <c r="CG70" s="52">
        <f t="shared" si="54"/>
        <v>0</v>
      </c>
      <c r="CH70" s="52">
        <f t="shared" si="54"/>
        <v>0</v>
      </c>
      <c r="CI70" s="52">
        <f t="shared" si="54"/>
        <v>0</v>
      </c>
      <c r="CJ70" s="52">
        <f t="shared" si="54"/>
        <v>0</v>
      </c>
      <c r="CK70" s="52">
        <f t="shared" si="54"/>
        <v>0</v>
      </c>
      <c r="CL70" s="52">
        <f t="shared" si="54"/>
        <v>0</v>
      </c>
      <c r="CM70" s="52">
        <f t="shared" si="54"/>
        <v>0</v>
      </c>
      <c r="CN70" s="52">
        <f t="shared" si="54"/>
        <v>0</v>
      </c>
      <c r="CO70" s="52">
        <f t="shared" si="54"/>
        <v>0</v>
      </c>
      <c r="CP70" s="52">
        <f t="shared" si="54"/>
        <v>0</v>
      </c>
      <c r="CQ70" s="52">
        <f t="shared" si="54"/>
        <v>0</v>
      </c>
      <c r="CR70" s="52">
        <f t="shared" si="54"/>
        <v>0</v>
      </c>
      <c r="CS70" s="52">
        <f t="shared" si="54"/>
        <v>0</v>
      </c>
      <c r="CT70" s="52">
        <f t="shared" si="54"/>
        <v>0</v>
      </c>
      <c r="CU70" s="52">
        <f t="shared" si="54"/>
        <v>0</v>
      </c>
      <c r="CV70" s="52">
        <f t="shared" si="54"/>
        <v>0</v>
      </c>
      <c r="CW70" s="52">
        <f t="shared" si="54"/>
        <v>0</v>
      </c>
      <c r="CX70" s="52">
        <f t="shared" si="54"/>
        <v>0</v>
      </c>
      <c r="CY70" s="52">
        <f t="shared" si="54"/>
        <v>0</v>
      </c>
      <c r="CZ70" s="52">
        <f t="shared" si="54"/>
        <v>0</v>
      </c>
      <c r="DA70" s="52">
        <f t="shared" si="54"/>
        <v>0</v>
      </c>
      <c r="DB70" s="52">
        <f t="shared" si="54"/>
        <v>0</v>
      </c>
      <c r="DC70" s="52">
        <f t="shared" si="54"/>
        <v>0</v>
      </c>
      <c r="DD70" s="52">
        <f t="shared" si="54"/>
        <v>0</v>
      </c>
      <c r="DE70" s="52">
        <f t="shared" si="54"/>
        <v>0</v>
      </c>
      <c r="DF70" s="52">
        <f t="shared" si="54"/>
        <v>0</v>
      </c>
      <c r="DG70" s="52">
        <f t="shared" si="54"/>
        <v>0</v>
      </c>
      <c r="DH70" s="52">
        <f t="shared" si="54"/>
        <v>0</v>
      </c>
      <c r="DI70" s="52">
        <f t="shared" si="54"/>
        <v>0</v>
      </c>
      <c r="DJ70" s="52">
        <f t="shared" si="54"/>
        <v>0</v>
      </c>
    </row>
    <row r="71" ht="15.75" customHeight="1">
      <c r="B71" s="52" t="s">
        <v>1792</v>
      </c>
      <c r="C71" s="63">
        <v>6.0</v>
      </c>
      <c r="D71" s="52">
        <v>0.0</v>
      </c>
      <c r="E71" s="65">
        <v>0.07</v>
      </c>
      <c r="F71" s="65">
        <v>0.07</v>
      </c>
      <c r="G71" s="65">
        <v>0.07</v>
      </c>
      <c r="H71" s="65">
        <v>0.07</v>
      </c>
      <c r="I71" s="65">
        <v>0.07</v>
      </c>
      <c r="J71" s="65">
        <v>0.07</v>
      </c>
      <c r="K71" s="65">
        <v>0.07</v>
      </c>
      <c r="L71" s="65">
        <v>0.07</v>
      </c>
      <c r="M71" s="65">
        <v>0.07</v>
      </c>
      <c r="N71" s="65">
        <v>0.03</v>
      </c>
      <c r="O71" s="65">
        <v>0.03</v>
      </c>
      <c r="P71" s="65">
        <v>0.03</v>
      </c>
      <c r="Q71" s="65">
        <v>0.03</v>
      </c>
      <c r="R71" s="65">
        <v>0.03</v>
      </c>
      <c r="S71" s="65">
        <v>0.03</v>
      </c>
      <c r="T71" s="65">
        <v>0.03</v>
      </c>
      <c r="U71" s="65">
        <v>0.02</v>
      </c>
      <c r="V71" s="65">
        <v>0.02</v>
      </c>
      <c r="W71" s="65">
        <v>0.02</v>
      </c>
      <c r="X71" s="65">
        <v>0.02</v>
      </c>
      <c r="Y71" s="65">
        <v>0.02</v>
      </c>
      <c r="Z71" s="65">
        <v>0.02</v>
      </c>
      <c r="AA71" s="65">
        <v>0.02</v>
      </c>
      <c r="AB71" s="65">
        <v>0.02</v>
      </c>
      <c r="AC71" s="58"/>
      <c r="AD71" s="58"/>
      <c r="AE71" s="58"/>
      <c r="AF71" s="52"/>
      <c r="AG71" s="52"/>
      <c r="AH71" s="52"/>
      <c r="AI71" s="52"/>
      <c r="AJ71" s="52"/>
      <c r="BP71" s="52">
        <f t="shared" ref="BP71:DJ71" si="55">ROUND($BP27*E71,0)</f>
        <v>10</v>
      </c>
      <c r="BQ71" s="52">
        <f t="shared" si="55"/>
        <v>10</v>
      </c>
      <c r="BR71" s="52">
        <f t="shared" si="55"/>
        <v>10</v>
      </c>
      <c r="BS71" s="52">
        <f t="shared" si="55"/>
        <v>10</v>
      </c>
      <c r="BT71" s="52">
        <f t="shared" si="55"/>
        <v>10</v>
      </c>
      <c r="BU71" s="52">
        <f t="shared" si="55"/>
        <v>10</v>
      </c>
      <c r="BV71" s="52">
        <f t="shared" si="55"/>
        <v>10</v>
      </c>
      <c r="BW71" s="52">
        <f t="shared" si="55"/>
        <v>10</v>
      </c>
      <c r="BX71" s="52">
        <f t="shared" si="55"/>
        <v>10</v>
      </c>
      <c r="BY71" s="52">
        <f t="shared" si="55"/>
        <v>4</v>
      </c>
      <c r="BZ71" s="52">
        <f t="shared" si="55"/>
        <v>4</v>
      </c>
      <c r="CA71" s="52">
        <f t="shared" si="55"/>
        <v>4</v>
      </c>
      <c r="CB71" s="52">
        <f t="shared" si="55"/>
        <v>4</v>
      </c>
      <c r="CC71" s="52">
        <f t="shared" si="55"/>
        <v>4</v>
      </c>
      <c r="CD71" s="52">
        <f t="shared" si="55"/>
        <v>4</v>
      </c>
      <c r="CE71" s="52">
        <f t="shared" si="55"/>
        <v>4</v>
      </c>
      <c r="CF71" s="52">
        <f t="shared" si="55"/>
        <v>3</v>
      </c>
      <c r="CG71" s="52">
        <f t="shared" si="55"/>
        <v>3</v>
      </c>
      <c r="CH71" s="52">
        <f t="shared" si="55"/>
        <v>3</v>
      </c>
      <c r="CI71" s="52">
        <f t="shared" si="55"/>
        <v>3</v>
      </c>
      <c r="CJ71" s="52">
        <f t="shared" si="55"/>
        <v>3</v>
      </c>
      <c r="CK71" s="52">
        <f t="shared" si="55"/>
        <v>3</v>
      </c>
      <c r="CL71" s="52">
        <f t="shared" si="55"/>
        <v>3</v>
      </c>
      <c r="CM71" s="52">
        <f t="shared" si="55"/>
        <v>3</v>
      </c>
      <c r="CN71" s="52">
        <f t="shared" si="55"/>
        <v>0</v>
      </c>
      <c r="CO71" s="52">
        <f t="shared" si="55"/>
        <v>0</v>
      </c>
      <c r="CP71" s="52">
        <f t="shared" si="55"/>
        <v>0</v>
      </c>
      <c r="CQ71" s="52">
        <f t="shared" si="55"/>
        <v>0</v>
      </c>
      <c r="CR71" s="52">
        <f t="shared" si="55"/>
        <v>0</v>
      </c>
      <c r="CS71" s="52">
        <f t="shared" si="55"/>
        <v>0</v>
      </c>
      <c r="CT71" s="52">
        <f t="shared" si="55"/>
        <v>0</v>
      </c>
      <c r="CU71" s="52">
        <f t="shared" si="55"/>
        <v>0</v>
      </c>
      <c r="CV71" s="52">
        <f t="shared" si="55"/>
        <v>0</v>
      </c>
      <c r="CW71" s="52">
        <f t="shared" si="55"/>
        <v>0</v>
      </c>
      <c r="CX71" s="52">
        <f t="shared" si="55"/>
        <v>0</v>
      </c>
      <c r="CY71" s="52">
        <f t="shared" si="55"/>
        <v>0</v>
      </c>
      <c r="CZ71" s="52">
        <f t="shared" si="55"/>
        <v>0</v>
      </c>
      <c r="DA71" s="52">
        <f t="shared" si="55"/>
        <v>0</v>
      </c>
      <c r="DB71" s="52">
        <f t="shared" si="55"/>
        <v>0</v>
      </c>
      <c r="DC71" s="52">
        <f t="shared" si="55"/>
        <v>0</v>
      </c>
      <c r="DD71" s="52">
        <f t="shared" si="55"/>
        <v>0</v>
      </c>
      <c r="DE71" s="52">
        <f t="shared" si="55"/>
        <v>0</v>
      </c>
      <c r="DF71" s="52">
        <f t="shared" si="55"/>
        <v>0</v>
      </c>
      <c r="DG71" s="52">
        <f t="shared" si="55"/>
        <v>0</v>
      </c>
      <c r="DH71" s="52">
        <f t="shared" si="55"/>
        <v>0</v>
      </c>
      <c r="DI71" s="52">
        <f t="shared" si="55"/>
        <v>0</v>
      </c>
      <c r="DJ71" s="52">
        <f t="shared" si="55"/>
        <v>0</v>
      </c>
    </row>
    <row r="72" ht="15.75" customHeight="1">
      <c r="B72" s="52" t="s">
        <v>1792</v>
      </c>
      <c r="C72" s="63">
        <v>6.0</v>
      </c>
      <c r="D72" s="52" t="s">
        <v>1785</v>
      </c>
      <c r="E72" s="65">
        <v>0.02</v>
      </c>
      <c r="F72" s="65">
        <v>0.02</v>
      </c>
      <c r="G72" s="65">
        <v>0.02</v>
      </c>
      <c r="H72" s="65">
        <v>0.02</v>
      </c>
      <c r="I72" s="65">
        <v>0.08</v>
      </c>
      <c r="J72" s="65">
        <v>0.08</v>
      </c>
      <c r="K72" s="65">
        <v>0.07</v>
      </c>
      <c r="L72" s="65">
        <v>0.07</v>
      </c>
      <c r="M72" s="65">
        <v>0.06</v>
      </c>
      <c r="N72" s="65">
        <v>0.06</v>
      </c>
      <c r="O72" s="65">
        <v>0.05</v>
      </c>
      <c r="P72" s="65">
        <v>0.05</v>
      </c>
      <c r="Q72" s="65">
        <v>0.05</v>
      </c>
      <c r="R72" s="65">
        <v>0.04</v>
      </c>
      <c r="S72" s="65">
        <v>0.04</v>
      </c>
      <c r="T72" s="65">
        <v>0.04</v>
      </c>
      <c r="U72" s="65">
        <v>0.04</v>
      </c>
      <c r="V72" s="65">
        <v>0.03</v>
      </c>
      <c r="W72" s="65">
        <v>0.03</v>
      </c>
      <c r="X72" s="65">
        <v>0.03</v>
      </c>
      <c r="Y72" s="65">
        <v>0.03</v>
      </c>
      <c r="Z72" s="65">
        <v>0.03</v>
      </c>
      <c r="AA72" s="65">
        <v>0.02</v>
      </c>
      <c r="AB72" s="65">
        <v>0.02</v>
      </c>
      <c r="AC72" s="58"/>
      <c r="AD72" s="58"/>
      <c r="AE72" s="58"/>
      <c r="AF72" s="52"/>
      <c r="AG72" s="52"/>
      <c r="AH72" s="52"/>
      <c r="AI72" s="52"/>
      <c r="AJ72" s="52"/>
      <c r="BP72" s="52">
        <f t="shared" ref="BP72:DJ72" si="56">ROUND($BP28*E72,0)</f>
        <v>0</v>
      </c>
      <c r="BQ72" s="52">
        <f t="shared" si="56"/>
        <v>0</v>
      </c>
      <c r="BR72" s="52">
        <f t="shared" si="56"/>
        <v>0</v>
      </c>
      <c r="BS72" s="52">
        <f t="shared" si="56"/>
        <v>0</v>
      </c>
      <c r="BT72" s="52">
        <f t="shared" si="56"/>
        <v>1</v>
      </c>
      <c r="BU72" s="52">
        <f t="shared" si="56"/>
        <v>1</v>
      </c>
      <c r="BV72" s="52">
        <f t="shared" si="56"/>
        <v>1</v>
      </c>
      <c r="BW72" s="52">
        <f t="shared" si="56"/>
        <v>1</v>
      </c>
      <c r="BX72" s="52">
        <f t="shared" si="56"/>
        <v>1</v>
      </c>
      <c r="BY72" s="52">
        <f t="shared" si="56"/>
        <v>1</v>
      </c>
      <c r="BZ72" s="52">
        <f t="shared" si="56"/>
        <v>1</v>
      </c>
      <c r="CA72" s="52">
        <f t="shared" si="56"/>
        <v>1</v>
      </c>
      <c r="CB72" s="52">
        <f t="shared" si="56"/>
        <v>1</v>
      </c>
      <c r="CC72" s="52">
        <f t="shared" si="56"/>
        <v>1</v>
      </c>
      <c r="CD72" s="52">
        <f t="shared" si="56"/>
        <v>1</v>
      </c>
      <c r="CE72" s="52">
        <f t="shared" si="56"/>
        <v>1</v>
      </c>
      <c r="CF72" s="52">
        <f t="shared" si="56"/>
        <v>1</v>
      </c>
      <c r="CG72" s="52">
        <f t="shared" si="56"/>
        <v>0</v>
      </c>
      <c r="CH72" s="52">
        <f t="shared" si="56"/>
        <v>0</v>
      </c>
      <c r="CI72" s="52">
        <f t="shared" si="56"/>
        <v>0</v>
      </c>
      <c r="CJ72" s="52">
        <f t="shared" si="56"/>
        <v>0</v>
      </c>
      <c r="CK72" s="52">
        <f t="shared" si="56"/>
        <v>0</v>
      </c>
      <c r="CL72" s="52">
        <f t="shared" si="56"/>
        <v>0</v>
      </c>
      <c r="CM72" s="52">
        <f t="shared" si="56"/>
        <v>0</v>
      </c>
      <c r="CN72" s="52">
        <f t="shared" si="56"/>
        <v>0</v>
      </c>
      <c r="CO72" s="52">
        <f t="shared" si="56"/>
        <v>0</v>
      </c>
      <c r="CP72" s="52">
        <f t="shared" si="56"/>
        <v>0</v>
      </c>
      <c r="CQ72" s="52">
        <f t="shared" si="56"/>
        <v>0</v>
      </c>
      <c r="CR72" s="52">
        <f t="shared" si="56"/>
        <v>0</v>
      </c>
      <c r="CS72" s="52">
        <f t="shared" si="56"/>
        <v>0</v>
      </c>
      <c r="CT72" s="52">
        <f t="shared" si="56"/>
        <v>0</v>
      </c>
      <c r="CU72" s="52">
        <f t="shared" si="56"/>
        <v>0</v>
      </c>
      <c r="CV72" s="52">
        <f t="shared" si="56"/>
        <v>0</v>
      </c>
      <c r="CW72" s="52">
        <f t="shared" si="56"/>
        <v>0</v>
      </c>
      <c r="CX72" s="52">
        <f t="shared" si="56"/>
        <v>0</v>
      </c>
      <c r="CY72" s="52">
        <f t="shared" si="56"/>
        <v>0</v>
      </c>
      <c r="CZ72" s="52">
        <f t="shared" si="56"/>
        <v>0</v>
      </c>
      <c r="DA72" s="52">
        <f t="shared" si="56"/>
        <v>0</v>
      </c>
      <c r="DB72" s="52">
        <f t="shared" si="56"/>
        <v>0</v>
      </c>
      <c r="DC72" s="52">
        <f t="shared" si="56"/>
        <v>0</v>
      </c>
      <c r="DD72" s="52">
        <f t="shared" si="56"/>
        <v>0</v>
      </c>
      <c r="DE72" s="52">
        <f t="shared" si="56"/>
        <v>0</v>
      </c>
      <c r="DF72" s="52">
        <f t="shared" si="56"/>
        <v>0</v>
      </c>
      <c r="DG72" s="52">
        <f t="shared" si="56"/>
        <v>0</v>
      </c>
      <c r="DH72" s="52">
        <f t="shared" si="56"/>
        <v>0</v>
      </c>
      <c r="DI72" s="52">
        <f t="shared" si="56"/>
        <v>0</v>
      </c>
      <c r="DJ72" s="52">
        <f t="shared" si="56"/>
        <v>0</v>
      </c>
    </row>
    <row r="73" ht="15.75" customHeight="1">
      <c r="B73" s="52" t="s">
        <v>1792</v>
      </c>
      <c r="C73" s="63">
        <v>6.0</v>
      </c>
      <c r="D73" s="52" t="s">
        <v>1786</v>
      </c>
      <c r="E73" s="58"/>
      <c r="F73" s="58"/>
      <c r="G73" s="58"/>
      <c r="H73" s="65">
        <v>0.08</v>
      </c>
      <c r="I73" s="65">
        <v>0.08</v>
      </c>
      <c r="J73" s="65">
        <v>0.07</v>
      </c>
      <c r="K73" s="65">
        <v>0.07</v>
      </c>
      <c r="L73" s="65">
        <v>0.06</v>
      </c>
      <c r="M73" s="65">
        <v>0.06</v>
      </c>
      <c r="N73" s="65">
        <v>0.05</v>
      </c>
      <c r="O73" s="65">
        <v>0.05</v>
      </c>
      <c r="P73" s="65">
        <v>0.05</v>
      </c>
      <c r="Q73" s="65">
        <v>0.04</v>
      </c>
      <c r="R73" s="65">
        <v>0.04</v>
      </c>
      <c r="S73" s="65">
        <v>0.04</v>
      </c>
      <c r="T73" s="65">
        <v>0.04</v>
      </c>
      <c r="U73" s="65">
        <v>0.03</v>
      </c>
      <c r="V73" s="65">
        <v>0.03</v>
      </c>
      <c r="W73" s="65">
        <v>0.03</v>
      </c>
      <c r="X73" s="65">
        <v>0.03</v>
      </c>
      <c r="Y73" s="65">
        <v>0.03</v>
      </c>
      <c r="Z73" s="65">
        <v>0.02</v>
      </c>
      <c r="AA73" s="65">
        <v>0.02</v>
      </c>
      <c r="AB73" s="65">
        <v>0.03</v>
      </c>
      <c r="AC73" s="65">
        <v>0.03</v>
      </c>
      <c r="AD73" s="65">
        <v>0.02</v>
      </c>
      <c r="AE73" s="58"/>
      <c r="AF73" s="52"/>
      <c r="AG73" s="52"/>
      <c r="AH73" s="52"/>
      <c r="AI73" s="52"/>
      <c r="AJ73" s="52"/>
      <c r="BP73" s="52">
        <f t="shared" ref="BP73:DJ73" si="57">ROUND($BP29*E73,0)</f>
        <v>0</v>
      </c>
      <c r="BQ73" s="52">
        <f t="shared" si="57"/>
        <v>0</v>
      </c>
      <c r="BR73" s="52">
        <f t="shared" si="57"/>
        <v>0</v>
      </c>
      <c r="BS73" s="52">
        <f t="shared" si="57"/>
        <v>2</v>
      </c>
      <c r="BT73" s="52">
        <f t="shared" si="57"/>
        <v>2</v>
      </c>
      <c r="BU73" s="52">
        <f t="shared" si="57"/>
        <v>2</v>
      </c>
      <c r="BV73" s="52">
        <f t="shared" si="57"/>
        <v>2</v>
      </c>
      <c r="BW73" s="52">
        <f t="shared" si="57"/>
        <v>2</v>
      </c>
      <c r="BX73" s="52">
        <f t="shared" si="57"/>
        <v>2</v>
      </c>
      <c r="BY73" s="52">
        <f t="shared" si="57"/>
        <v>1</v>
      </c>
      <c r="BZ73" s="52">
        <f t="shared" si="57"/>
        <v>1</v>
      </c>
      <c r="CA73" s="52">
        <f t="shared" si="57"/>
        <v>1</v>
      </c>
      <c r="CB73" s="52">
        <f t="shared" si="57"/>
        <v>1</v>
      </c>
      <c r="CC73" s="52">
        <f t="shared" si="57"/>
        <v>1</v>
      </c>
      <c r="CD73" s="52">
        <f t="shared" si="57"/>
        <v>1</v>
      </c>
      <c r="CE73" s="52">
        <f t="shared" si="57"/>
        <v>1</v>
      </c>
      <c r="CF73" s="52">
        <f t="shared" si="57"/>
        <v>1</v>
      </c>
      <c r="CG73" s="52">
        <f t="shared" si="57"/>
        <v>1</v>
      </c>
      <c r="CH73" s="52">
        <f t="shared" si="57"/>
        <v>1</v>
      </c>
      <c r="CI73" s="52">
        <f t="shared" si="57"/>
        <v>1</v>
      </c>
      <c r="CJ73" s="52">
        <f t="shared" si="57"/>
        <v>1</v>
      </c>
      <c r="CK73" s="52">
        <f t="shared" si="57"/>
        <v>1</v>
      </c>
      <c r="CL73" s="52">
        <f t="shared" si="57"/>
        <v>1</v>
      </c>
      <c r="CM73" s="52">
        <f t="shared" si="57"/>
        <v>1</v>
      </c>
      <c r="CN73" s="52">
        <f t="shared" si="57"/>
        <v>1</v>
      </c>
      <c r="CO73" s="52">
        <f t="shared" si="57"/>
        <v>1</v>
      </c>
      <c r="CP73" s="52">
        <f t="shared" si="57"/>
        <v>0</v>
      </c>
      <c r="CQ73" s="52">
        <f t="shared" si="57"/>
        <v>0</v>
      </c>
      <c r="CR73" s="52">
        <f t="shared" si="57"/>
        <v>0</v>
      </c>
      <c r="CS73" s="52">
        <f t="shared" si="57"/>
        <v>0</v>
      </c>
      <c r="CT73" s="52">
        <f t="shared" si="57"/>
        <v>0</v>
      </c>
      <c r="CU73" s="52">
        <f t="shared" si="57"/>
        <v>0</v>
      </c>
      <c r="CV73" s="52">
        <f t="shared" si="57"/>
        <v>0</v>
      </c>
      <c r="CW73" s="52">
        <f t="shared" si="57"/>
        <v>0</v>
      </c>
      <c r="CX73" s="52">
        <f t="shared" si="57"/>
        <v>0</v>
      </c>
      <c r="CY73" s="52">
        <f t="shared" si="57"/>
        <v>0</v>
      </c>
      <c r="CZ73" s="52">
        <f t="shared" si="57"/>
        <v>0</v>
      </c>
      <c r="DA73" s="52">
        <f t="shared" si="57"/>
        <v>0</v>
      </c>
      <c r="DB73" s="52">
        <f t="shared" si="57"/>
        <v>0</v>
      </c>
      <c r="DC73" s="52">
        <f t="shared" si="57"/>
        <v>0</v>
      </c>
      <c r="DD73" s="52">
        <f t="shared" si="57"/>
        <v>0</v>
      </c>
      <c r="DE73" s="52">
        <f t="shared" si="57"/>
        <v>0</v>
      </c>
      <c r="DF73" s="52">
        <f t="shared" si="57"/>
        <v>0</v>
      </c>
      <c r="DG73" s="52">
        <f t="shared" si="57"/>
        <v>0</v>
      </c>
      <c r="DH73" s="52">
        <f t="shared" si="57"/>
        <v>0</v>
      </c>
      <c r="DI73" s="52">
        <f t="shared" si="57"/>
        <v>0</v>
      </c>
      <c r="DJ73" s="52">
        <f t="shared" si="57"/>
        <v>0</v>
      </c>
    </row>
    <row r="74" ht="15.75" customHeight="1">
      <c r="B74" s="52" t="s">
        <v>1792</v>
      </c>
      <c r="C74" s="63">
        <v>6.0</v>
      </c>
      <c r="D74" s="52" t="s">
        <v>1787</v>
      </c>
      <c r="E74" s="58"/>
      <c r="F74" s="58"/>
      <c r="G74" s="58"/>
      <c r="H74" s="58"/>
      <c r="I74" s="58"/>
      <c r="J74" s="65">
        <v>0.08</v>
      </c>
      <c r="K74" s="65">
        <v>0.08</v>
      </c>
      <c r="L74" s="65">
        <v>0.07</v>
      </c>
      <c r="M74" s="65">
        <v>0.07</v>
      </c>
      <c r="N74" s="65">
        <v>0.06</v>
      </c>
      <c r="O74" s="65">
        <v>0.06</v>
      </c>
      <c r="P74" s="65">
        <v>0.05</v>
      </c>
      <c r="Q74" s="65">
        <v>0.05</v>
      </c>
      <c r="R74" s="65">
        <v>0.05</v>
      </c>
      <c r="S74" s="65">
        <v>0.04</v>
      </c>
      <c r="T74" s="65">
        <v>0.04</v>
      </c>
      <c r="U74" s="65">
        <v>0.04</v>
      </c>
      <c r="V74" s="65">
        <v>0.04</v>
      </c>
      <c r="W74" s="65">
        <v>0.03</v>
      </c>
      <c r="X74" s="65">
        <v>0.03</v>
      </c>
      <c r="Y74" s="65">
        <v>0.03</v>
      </c>
      <c r="Z74" s="65">
        <v>0.03</v>
      </c>
      <c r="AA74" s="65">
        <v>0.03</v>
      </c>
      <c r="AB74" s="65">
        <v>0.02</v>
      </c>
      <c r="AC74" s="65">
        <v>0.02</v>
      </c>
      <c r="AD74" s="65">
        <v>0.03</v>
      </c>
      <c r="AE74" s="58"/>
      <c r="AF74" s="52"/>
      <c r="AG74" s="52"/>
      <c r="AH74" s="52"/>
      <c r="AI74" s="52"/>
      <c r="AJ74" s="52"/>
      <c r="BP74" s="52">
        <f t="shared" ref="BP74:DJ74" si="58">ROUND($BP30*E74,0)</f>
        <v>0</v>
      </c>
      <c r="BQ74" s="52">
        <f t="shared" si="58"/>
        <v>0</v>
      </c>
      <c r="BR74" s="52">
        <f t="shared" si="58"/>
        <v>0</v>
      </c>
      <c r="BS74" s="52">
        <f t="shared" si="58"/>
        <v>0</v>
      </c>
      <c r="BT74" s="52">
        <f t="shared" si="58"/>
        <v>0</v>
      </c>
      <c r="BU74" s="52">
        <f t="shared" si="58"/>
        <v>0</v>
      </c>
      <c r="BV74" s="52">
        <f t="shared" si="58"/>
        <v>0</v>
      </c>
      <c r="BW74" s="52">
        <f t="shared" si="58"/>
        <v>0</v>
      </c>
      <c r="BX74" s="52">
        <f t="shared" si="58"/>
        <v>0</v>
      </c>
      <c r="BY74" s="52">
        <f t="shared" si="58"/>
        <v>0</v>
      </c>
      <c r="BZ74" s="52">
        <f t="shared" si="58"/>
        <v>0</v>
      </c>
      <c r="CA74" s="52">
        <f t="shared" si="58"/>
        <v>0</v>
      </c>
      <c r="CB74" s="52">
        <f t="shared" si="58"/>
        <v>0</v>
      </c>
      <c r="CC74" s="52">
        <f t="shared" si="58"/>
        <v>0</v>
      </c>
      <c r="CD74" s="52">
        <f t="shared" si="58"/>
        <v>0</v>
      </c>
      <c r="CE74" s="52">
        <f t="shared" si="58"/>
        <v>0</v>
      </c>
      <c r="CF74" s="52">
        <f t="shared" si="58"/>
        <v>0</v>
      </c>
      <c r="CG74" s="52">
        <f t="shared" si="58"/>
        <v>0</v>
      </c>
      <c r="CH74" s="52">
        <f t="shared" si="58"/>
        <v>0</v>
      </c>
      <c r="CI74" s="52">
        <f t="shared" si="58"/>
        <v>0</v>
      </c>
      <c r="CJ74" s="52">
        <f t="shared" si="58"/>
        <v>0</v>
      </c>
      <c r="CK74" s="52">
        <f t="shared" si="58"/>
        <v>0</v>
      </c>
      <c r="CL74" s="52">
        <f t="shared" si="58"/>
        <v>0</v>
      </c>
      <c r="CM74" s="52">
        <f t="shared" si="58"/>
        <v>0</v>
      </c>
      <c r="CN74" s="52">
        <f t="shared" si="58"/>
        <v>0</v>
      </c>
      <c r="CO74" s="52">
        <f t="shared" si="58"/>
        <v>0</v>
      </c>
      <c r="CP74" s="52">
        <f t="shared" si="58"/>
        <v>0</v>
      </c>
      <c r="CQ74" s="52">
        <f t="shared" si="58"/>
        <v>0</v>
      </c>
      <c r="CR74" s="52">
        <f t="shared" si="58"/>
        <v>0</v>
      </c>
      <c r="CS74" s="52">
        <f t="shared" si="58"/>
        <v>0</v>
      </c>
      <c r="CT74" s="52">
        <f t="shared" si="58"/>
        <v>0</v>
      </c>
      <c r="CU74" s="52">
        <f t="shared" si="58"/>
        <v>0</v>
      </c>
      <c r="CV74" s="52">
        <f t="shared" si="58"/>
        <v>0</v>
      </c>
      <c r="CW74" s="52">
        <f t="shared" si="58"/>
        <v>0</v>
      </c>
      <c r="CX74" s="52">
        <f t="shared" si="58"/>
        <v>0</v>
      </c>
      <c r="CY74" s="52">
        <f t="shared" si="58"/>
        <v>0</v>
      </c>
      <c r="CZ74" s="52">
        <f t="shared" si="58"/>
        <v>0</v>
      </c>
      <c r="DA74" s="52">
        <f t="shared" si="58"/>
        <v>0</v>
      </c>
      <c r="DB74" s="52">
        <f t="shared" si="58"/>
        <v>0</v>
      </c>
      <c r="DC74" s="52">
        <f t="shared" si="58"/>
        <v>0</v>
      </c>
      <c r="DD74" s="52">
        <f t="shared" si="58"/>
        <v>0</v>
      </c>
      <c r="DE74" s="52">
        <f t="shared" si="58"/>
        <v>0</v>
      </c>
      <c r="DF74" s="52">
        <f t="shared" si="58"/>
        <v>0</v>
      </c>
      <c r="DG74" s="52">
        <f t="shared" si="58"/>
        <v>0</v>
      </c>
      <c r="DH74" s="52">
        <f t="shared" si="58"/>
        <v>0</v>
      </c>
      <c r="DI74" s="52">
        <f t="shared" si="58"/>
        <v>0</v>
      </c>
      <c r="DJ74" s="52">
        <f t="shared" si="58"/>
        <v>0</v>
      </c>
    </row>
    <row r="75" ht="15.75" customHeight="1">
      <c r="B75" s="52" t="s">
        <v>1792</v>
      </c>
      <c r="C75" s="63">
        <v>6.0</v>
      </c>
      <c r="D75" s="52" t="s">
        <v>1788</v>
      </c>
      <c r="E75" s="58"/>
      <c r="F75" s="58"/>
      <c r="G75" s="58"/>
      <c r="H75" s="58"/>
      <c r="I75" s="58"/>
      <c r="J75" s="58"/>
      <c r="K75" s="65">
        <v>0.08</v>
      </c>
      <c r="L75" s="65">
        <v>0.08</v>
      </c>
      <c r="M75" s="65">
        <v>0.07</v>
      </c>
      <c r="N75" s="65">
        <v>0.07</v>
      </c>
      <c r="O75" s="65">
        <v>0.06</v>
      </c>
      <c r="P75" s="65">
        <v>0.06</v>
      </c>
      <c r="Q75" s="65">
        <v>0.05</v>
      </c>
      <c r="R75" s="65">
        <v>0.05</v>
      </c>
      <c r="S75" s="65">
        <v>0.05</v>
      </c>
      <c r="T75" s="65">
        <v>0.04</v>
      </c>
      <c r="U75" s="65">
        <v>0.04</v>
      </c>
      <c r="V75" s="65">
        <v>0.04</v>
      </c>
      <c r="W75" s="65">
        <v>0.04</v>
      </c>
      <c r="X75" s="65">
        <v>0.03</v>
      </c>
      <c r="Y75" s="65">
        <v>0.03</v>
      </c>
      <c r="Z75" s="65">
        <v>0.03</v>
      </c>
      <c r="AA75" s="65">
        <v>0.03</v>
      </c>
      <c r="AB75" s="65">
        <v>0.03</v>
      </c>
      <c r="AC75" s="65">
        <v>0.02</v>
      </c>
      <c r="AD75" s="65">
        <v>0.02</v>
      </c>
      <c r="AE75" s="58"/>
      <c r="AF75" s="52"/>
      <c r="AG75" s="52"/>
      <c r="AH75" s="52"/>
      <c r="AI75" s="52"/>
      <c r="AJ75" s="52"/>
      <c r="BP75" s="52">
        <f t="shared" ref="BP75:DJ75" si="59">ROUND($BP31*E75,0)</f>
        <v>0</v>
      </c>
      <c r="BQ75" s="52">
        <f t="shared" si="59"/>
        <v>0</v>
      </c>
      <c r="BR75" s="52">
        <f t="shared" si="59"/>
        <v>0</v>
      </c>
      <c r="BS75" s="52">
        <f t="shared" si="59"/>
        <v>0</v>
      </c>
      <c r="BT75" s="52">
        <f t="shared" si="59"/>
        <v>0</v>
      </c>
      <c r="BU75" s="52">
        <f t="shared" si="59"/>
        <v>0</v>
      </c>
      <c r="BV75" s="52">
        <f t="shared" si="59"/>
        <v>0</v>
      </c>
      <c r="BW75" s="52">
        <f t="shared" si="59"/>
        <v>0</v>
      </c>
      <c r="BX75" s="52">
        <f t="shared" si="59"/>
        <v>0</v>
      </c>
      <c r="BY75" s="52">
        <f t="shared" si="59"/>
        <v>0</v>
      </c>
      <c r="BZ75" s="52">
        <f t="shared" si="59"/>
        <v>0</v>
      </c>
      <c r="CA75" s="52">
        <f t="shared" si="59"/>
        <v>0</v>
      </c>
      <c r="CB75" s="52">
        <f t="shared" si="59"/>
        <v>0</v>
      </c>
      <c r="CC75" s="52">
        <f t="shared" si="59"/>
        <v>0</v>
      </c>
      <c r="CD75" s="52">
        <f t="shared" si="59"/>
        <v>0</v>
      </c>
      <c r="CE75" s="52">
        <f t="shared" si="59"/>
        <v>0</v>
      </c>
      <c r="CF75" s="52">
        <f t="shared" si="59"/>
        <v>0</v>
      </c>
      <c r="CG75" s="52">
        <f t="shared" si="59"/>
        <v>0</v>
      </c>
      <c r="CH75" s="52">
        <f t="shared" si="59"/>
        <v>0</v>
      </c>
      <c r="CI75" s="52">
        <f t="shared" si="59"/>
        <v>0</v>
      </c>
      <c r="CJ75" s="52">
        <f t="shared" si="59"/>
        <v>0</v>
      </c>
      <c r="CK75" s="52">
        <f t="shared" si="59"/>
        <v>0</v>
      </c>
      <c r="CL75" s="52">
        <f t="shared" si="59"/>
        <v>0</v>
      </c>
      <c r="CM75" s="52">
        <f t="shared" si="59"/>
        <v>0</v>
      </c>
      <c r="CN75" s="52">
        <f t="shared" si="59"/>
        <v>0</v>
      </c>
      <c r="CO75" s="52">
        <f t="shared" si="59"/>
        <v>0</v>
      </c>
      <c r="CP75" s="52">
        <f t="shared" si="59"/>
        <v>0</v>
      </c>
      <c r="CQ75" s="52">
        <f t="shared" si="59"/>
        <v>0</v>
      </c>
      <c r="CR75" s="52">
        <f t="shared" si="59"/>
        <v>0</v>
      </c>
      <c r="CS75" s="52">
        <f t="shared" si="59"/>
        <v>0</v>
      </c>
      <c r="CT75" s="52">
        <f t="shared" si="59"/>
        <v>0</v>
      </c>
      <c r="CU75" s="52">
        <f t="shared" si="59"/>
        <v>0</v>
      </c>
      <c r="CV75" s="52">
        <f t="shared" si="59"/>
        <v>0</v>
      </c>
      <c r="CW75" s="52">
        <f t="shared" si="59"/>
        <v>0</v>
      </c>
      <c r="CX75" s="52">
        <f t="shared" si="59"/>
        <v>0</v>
      </c>
      <c r="CY75" s="52">
        <f t="shared" si="59"/>
        <v>0</v>
      </c>
      <c r="CZ75" s="52">
        <f t="shared" si="59"/>
        <v>0</v>
      </c>
      <c r="DA75" s="52">
        <f t="shared" si="59"/>
        <v>0</v>
      </c>
      <c r="DB75" s="52">
        <f t="shared" si="59"/>
        <v>0</v>
      </c>
      <c r="DC75" s="52">
        <f t="shared" si="59"/>
        <v>0</v>
      </c>
      <c r="DD75" s="52">
        <f t="shared" si="59"/>
        <v>0</v>
      </c>
      <c r="DE75" s="52">
        <f t="shared" si="59"/>
        <v>0</v>
      </c>
      <c r="DF75" s="52">
        <f t="shared" si="59"/>
        <v>0</v>
      </c>
      <c r="DG75" s="52">
        <f t="shared" si="59"/>
        <v>0</v>
      </c>
      <c r="DH75" s="52">
        <f t="shared" si="59"/>
        <v>0</v>
      </c>
      <c r="DI75" s="52">
        <f t="shared" si="59"/>
        <v>0</v>
      </c>
      <c r="DJ75" s="52">
        <f t="shared" si="59"/>
        <v>0</v>
      </c>
    </row>
    <row r="76" ht="15.75" customHeight="1">
      <c r="B76" s="52" t="s">
        <v>1792</v>
      </c>
      <c r="C76" s="63">
        <v>6.0</v>
      </c>
      <c r="D76" s="52" t="s">
        <v>1789</v>
      </c>
      <c r="E76" s="58"/>
      <c r="F76" s="58"/>
      <c r="G76" s="58"/>
      <c r="H76" s="58"/>
      <c r="I76" s="58"/>
      <c r="J76" s="58"/>
      <c r="K76" s="58"/>
      <c r="L76" s="65">
        <v>0.08</v>
      </c>
      <c r="M76" s="65">
        <v>0.08</v>
      </c>
      <c r="N76" s="65">
        <v>0.07</v>
      </c>
      <c r="O76" s="65">
        <v>0.07</v>
      </c>
      <c r="P76" s="65">
        <v>0.06</v>
      </c>
      <c r="Q76" s="65">
        <v>0.06</v>
      </c>
      <c r="R76" s="65">
        <v>0.05</v>
      </c>
      <c r="S76" s="65">
        <v>0.05</v>
      </c>
      <c r="T76" s="65">
        <v>0.05</v>
      </c>
      <c r="U76" s="65">
        <v>0.04</v>
      </c>
      <c r="V76" s="65">
        <v>0.04</v>
      </c>
      <c r="W76" s="65">
        <v>0.04</v>
      </c>
      <c r="X76" s="65">
        <v>0.04</v>
      </c>
      <c r="Y76" s="65">
        <v>0.03</v>
      </c>
      <c r="Z76" s="65">
        <v>0.03</v>
      </c>
      <c r="AA76" s="65">
        <v>0.03</v>
      </c>
      <c r="AB76" s="65">
        <v>0.03</v>
      </c>
      <c r="AC76" s="65">
        <v>0.03</v>
      </c>
      <c r="AD76" s="65">
        <v>0.02</v>
      </c>
      <c r="AE76" s="58"/>
      <c r="AF76" s="52"/>
      <c r="AG76" s="52"/>
      <c r="AH76" s="52"/>
      <c r="AI76" s="52"/>
      <c r="AJ76" s="52"/>
      <c r="BP76" s="52">
        <f t="shared" ref="BP76:DJ76" si="60">ROUND($BP32*E76,0)</f>
        <v>0</v>
      </c>
      <c r="BQ76" s="52">
        <f t="shared" si="60"/>
        <v>0</v>
      </c>
      <c r="BR76" s="52">
        <f t="shared" si="60"/>
        <v>0</v>
      </c>
      <c r="BS76" s="52">
        <f t="shared" si="60"/>
        <v>0</v>
      </c>
      <c r="BT76" s="52">
        <f t="shared" si="60"/>
        <v>0</v>
      </c>
      <c r="BU76" s="52">
        <f t="shared" si="60"/>
        <v>0</v>
      </c>
      <c r="BV76" s="52">
        <f t="shared" si="60"/>
        <v>0</v>
      </c>
      <c r="BW76" s="52">
        <f t="shared" si="60"/>
        <v>1</v>
      </c>
      <c r="BX76" s="52">
        <f t="shared" si="60"/>
        <v>1</v>
      </c>
      <c r="BY76" s="52">
        <f t="shared" si="60"/>
        <v>1</v>
      </c>
      <c r="BZ76" s="52">
        <f t="shared" si="60"/>
        <v>1</v>
      </c>
      <c r="CA76" s="52">
        <f t="shared" si="60"/>
        <v>1</v>
      </c>
      <c r="CB76" s="52">
        <f t="shared" si="60"/>
        <v>1</v>
      </c>
      <c r="CC76" s="52">
        <f t="shared" si="60"/>
        <v>0</v>
      </c>
      <c r="CD76" s="52">
        <f t="shared" si="60"/>
        <v>0</v>
      </c>
      <c r="CE76" s="52">
        <f t="shared" si="60"/>
        <v>0</v>
      </c>
      <c r="CF76" s="52">
        <f t="shared" si="60"/>
        <v>0</v>
      </c>
      <c r="CG76" s="52">
        <f t="shared" si="60"/>
        <v>0</v>
      </c>
      <c r="CH76" s="52">
        <f t="shared" si="60"/>
        <v>0</v>
      </c>
      <c r="CI76" s="52">
        <f t="shared" si="60"/>
        <v>0</v>
      </c>
      <c r="CJ76" s="52">
        <f t="shared" si="60"/>
        <v>0</v>
      </c>
      <c r="CK76" s="52">
        <f t="shared" si="60"/>
        <v>0</v>
      </c>
      <c r="CL76" s="52">
        <f t="shared" si="60"/>
        <v>0</v>
      </c>
      <c r="CM76" s="52">
        <f t="shared" si="60"/>
        <v>0</v>
      </c>
      <c r="CN76" s="52">
        <f t="shared" si="60"/>
        <v>0</v>
      </c>
      <c r="CO76" s="52">
        <f t="shared" si="60"/>
        <v>0</v>
      </c>
      <c r="CP76" s="52">
        <f t="shared" si="60"/>
        <v>0</v>
      </c>
      <c r="CQ76" s="52">
        <f t="shared" si="60"/>
        <v>0</v>
      </c>
      <c r="CR76" s="52">
        <f t="shared" si="60"/>
        <v>0</v>
      </c>
      <c r="CS76" s="52">
        <f t="shared" si="60"/>
        <v>0</v>
      </c>
      <c r="CT76" s="52">
        <f t="shared" si="60"/>
        <v>0</v>
      </c>
      <c r="CU76" s="52">
        <f t="shared" si="60"/>
        <v>0</v>
      </c>
      <c r="CV76" s="52">
        <f t="shared" si="60"/>
        <v>0</v>
      </c>
      <c r="CW76" s="52">
        <f t="shared" si="60"/>
        <v>0</v>
      </c>
      <c r="CX76" s="52">
        <f t="shared" si="60"/>
        <v>0</v>
      </c>
      <c r="CY76" s="52">
        <f t="shared" si="60"/>
        <v>0</v>
      </c>
      <c r="CZ76" s="52">
        <f t="shared" si="60"/>
        <v>0</v>
      </c>
      <c r="DA76" s="52">
        <f t="shared" si="60"/>
        <v>0</v>
      </c>
      <c r="DB76" s="52">
        <f t="shared" si="60"/>
        <v>0</v>
      </c>
      <c r="DC76" s="52">
        <f t="shared" si="60"/>
        <v>0</v>
      </c>
      <c r="DD76" s="52">
        <f t="shared" si="60"/>
        <v>0</v>
      </c>
      <c r="DE76" s="52">
        <f t="shared" si="60"/>
        <v>0</v>
      </c>
      <c r="DF76" s="52">
        <f t="shared" si="60"/>
        <v>0</v>
      </c>
      <c r="DG76" s="52">
        <f t="shared" si="60"/>
        <v>0</v>
      </c>
      <c r="DH76" s="52">
        <f t="shared" si="60"/>
        <v>0</v>
      </c>
      <c r="DI76" s="52">
        <f t="shared" si="60"/>
        <v>0</v>
      </c>
      <c r="DJ76" s="52">
        <f t="shared" si="60"/>
        <v>0</v>
      </c>
    </row>
    <row r="77" ht="15.75" customHeight="1">
      <c r="B77" s="52" t="s">
        <v>1792</v>
      </c>
      <c r="C77" s="63">
        <v>6.0</v>
      </c>
      <c r="D77" s="52" t="s">
        <v>1790</v>
      </c>
      <c r="E77" s="58"/>
      <c r="F77" s="58"/>
      <c r="G77" s="58"/>
      <c r="H77" s="58"/>
      <c r="I77" s="58"/>
      <c r="J77" s="58"/>
      <c r="K77" s="58"/>
      <c r="L77" s="58"/>
      <c r="M77" s="58"/>
      <c r="N77" s="65">
        <v>0.08</v>
      </c>
      <c r="O77" s="65">
        <v>0.08</v>
      </c>
      <c r="P77" s="65">
        <v>0.07</v>
      </c>
      <c r="Q77" s="65">
        <v>0.07</v>
      </c>
      <c r="R77" s="65">
        <v>0.06</v>
      </c>
      <c r="S77" s="65">
        <v>0.06</v>
      </c>
      <c r="T77" s="65">
        <v>0.05</v>
      </c>
      <c r="U77" s="65">
        <v>0.05</v>
      </c>
      <c r="V77" s="65">
        <v>0.05</v>
      </c>
      <c r="W77" s="65">
        <v>0.04</v>
      </c>
      <c r="X77" s="65">
        <v>0.04</v>
      </c>
      <c r="Y77" s="65">
        <v>0.04</v>
      </c>
      <c r="Z77" s="65">
        <v>0.04</v>
      </c>
      <c r="AA77" s="65">
        <v>0.03</v>
      </c>
      <c r="AB77" s="65">
        <v>0.03</v>
      </c>
      <c r="AC77" s="65">
        <v>0.03</v>
      </c>
      <c r="AD77" s="65">
        <v>0.03</v>
      </c>
      <c r="AE77" s="58"/>
      <c r="AF77" s="52"/>
      <c r="AG77" s="52"/>
      <c r="AH77" s="52"/>
      <c r="AI77" s="52"/>
      <c r="AJ77" s="52"/>
      <c r="BP77" s="52">
        <f t="shared" ref="BP77:DJ77" si="61">ROUND($BP33*E77,0)</f>
        <v>0</v>
      </c>
      <c r="BQ77" s="52">
        <f t="shared" si="61"/>
        <v>0</v>
      </c>
      <c r="BR77" s="52">
        <f t="shared" si="61"/>
        <v>0</v>
      </c>
      <c r="BS77" s="52">
        <f t="shared" si="61"/>
        <v>0</v>
      </c>
      <c r="BT77" s="52">
        <f t="shared" si="61"/>
        <v>0</v>
      </c>
      <c r="BU77" s="52">
        <f t="shared" si="61"/>
        <v>0</v>
      </c>
      <c r="BV77" s="52">
        <f t="shared" si="61"/>
        <v>0</v>
      </c>
      <c r="BW77" s="52">
        <f t="shared" si="61"/>
        <v>0</v>
      </c>
      <c r="BX77" s="52">
        <f t="shared" si="61"/>
        <v>0</v>
      </c>
      <c r="BY77" s="52">
        <f t="shared" si="61"/>
        <v>1</v>
      </c>
      <c r="BZ77" s="52">
        <f t="shared" si="61"/>
        <v>1</v>
      </c>
      <c r="CA77" s="52">
        <f t="shared" si="61"/>
        <v>1</v>
      </c>
      <c r="CB77" s="52">
        <f t="shared" si="61"/>
        <v>1</v>
      </c>
      <c r="CC77" s="52">
        <f t="shared" si="61"/>
        <v>1</v>
      </c>
      <c r="CD77" s="52">
        <f t="shared" si="61"/>
        <v>1</v>
      </c>
      <c r="CE77" s="52">
        <f t="shared" si="61"/>
        <v>1</v>
      </c>
      <c r="CF77" s="52">
        <f t="shared" si="61"/>
        <v>1</v>
      </c>
      <c r="CG77" s="52">
        <f t="shared" si="61"/>
        <v>1</v>
      </c>
      <c r="CH77" s="52">
        <f t="shared" si="61"/>
        <v>0</v>
      </c>
      <c r="CI77" s="52">
        <f t="shared" si="61"/>
        <v>0</v>
      </c>
      <c r="CJ77" s="52">
        <f t="shared" si="61"/>
        <v>0</v>
      </c>
      <c r="CK77" s="52">
        <f t="shared" si="61"/>
        <v>0</v>
      </c>
      <c r="CL77" s="52">
        <f t="shared" si="61"/>
        <v>0</v>
      </c>
      <c r="CM77" s="52">
        <f t="shared" si="61"/>
        <v>0</v>
      </c>
      <c r="CN77" s="52">
        <f t="shared" si="61"/>
        <v>0</v>
      </c>
      <c r="CO77" s="52">
        <f t="shared" si="61"/>
        <v>0</v>
      </c>
      <c r="CP77" s="52">
        <f t="shared" si="61"/>
        <v>0</v>
      </c>
      <c r="CQ77" s="52">
        <f t="shared" si="61"/>
        <v>0</v>
      </c>
      <c r="CR77" s="52">
        <f t="shared" si="61"/>
        <v>0</v>
      </c>
      <c r="CS77" s="52">
        <f t="shared" si="61"/>
        <v>0</v>
      </c>
      <c r="CT77" s="52">
        <f t="shared" si="61"/>
        <v>0</v>
      </c>
      <c r="CU77" s="52">
        <f t="shared" si="61"/>
        <v>0</v>
      </c>
      <c r="CV77" s="52">
        <f t="shared" si="61"/>
        <v>0</v>
      </c>
      <c r="CW77" s="52">
        <f t="shared" si="61"/>
        <v>0</v>
      </c>
      <c r="CX77" s="52">
        <f t="shared" si="61"/>
        <v>0</v>
      </c>
      <c r="CY77" s="52">
        <f t="shared" si="61"/>
        <v>0</v>
      </c>
      <c r="CZ77" s="52">
        <f t="shared" si="61"/>
        <v>0</v>
      </c>
      <c r="DA77" s="52">
        <f t="shared" si="61"/>
        <v>0</v>
      </c>
      <c r="DB77" s="52">
        <f t="shared" si="61"/>
        <v>0</v>
      </c>
      <c r="DC77" s="52">
        <f t="shared" si="61"/>
        <v>0</v>
      </c>
      <c r="DD77" s="52">
        <f t="shared" si="61"/>
        <v>0</v>
      </c>
      <c r="DE77" s="52">
        <f t="shared" si="61"/>
        <v>0</v>
      </c>
      <c r="DF77" s="52">
        <f t="shared" si="61"/>
        <v>0</v>
      </c>
      <c r="DG77" s="52">
        <f t="shared" si="61"/>
        <v>0</v>
      </c>
      <c r="DH77" s="52">
        <f t="shared" si="61"/>
        <v>0</v>
      </c>
      <c r="DI77" s="52">
        <f t="shared" si="61"/>
        <v>0</v>
      </c>
      <c r="DJ77" s="52">
        <f t="shared" si="61"/>
        <v>0</v>
      </c>
    </row>
    <row r="78" ht="15.75" customHeight="1">
      <c r="B78" s="52" t="s">
        <v>1792</v>
      </c>
      <c r="C78" s="63">
        <v>7.0</v>
      </c>
      <c r="D78" s="52">
        <v>0.0</v>
      </c>
      <c r="E78" s="65">
        <v>0.07</v>
      </c>
      <c r="F78" s="65">
        <v>0.07</v>
      </c>
      <c r="G78" s="65">
        <v>0.07</v>
      </c>
      <c r="H78" s="65">
        <v>0.07</v>
      </c>
      <c r="I78" s="65">
        <v>0.07</v>
      </c>
      <c r="J78" s="65">
        <v>0.07</v>
      </c>
      <c r="K78" s="65">
        <v>0.07</v>
      </c>
      <c r="L78" s="65">
        <v>0.07</v>
      </c>
      <c r="M78" s="65">
        <v>0.07</v>
      </c>
      <c r="N78" s="65">
        <v>0.03</v>
      </c>
      <c r="O78" s="65">
        <v>0.03</v>
      </c>
      <c r="P78" s="65">
        <v>0.03</v>
      </c>
      <c r="Q78" s="65">
        <v>0.03</v>
      </c>
      <c r="R78" s="65">
        <v>0.03</v>
      </c>
      <c r="S78" s="65">
        <v>0.03</v>
      </c>
      <c r="T78" s="65">
        <v>0.03</v>
      </c>
      <c r="U78" s="65">
        <v>0.02</v>
      </c>
      <c r="V78" s="65">
        <v>0.02</v>
      </c>
      <c r="W78" s="65">
        <v>0.02</v>
      </c>
      <c r="X78" s="65">
        <v>0.02</v>
      </c>
      <c r="Y78" s="65">
        <v>0.02</v>
      </c>
      <c r="Z78" s="65">
        <v>0.02</v>
      </c>
      <c r="AA78" s="65">
        <v>0.02</v>
      </c>
      <c r="AB78" s="65">
        <v>0.02</v>
      </c>
      <c r="AC78" s="58"/>
      <c r="AD78" s="58"/>
      <c r="AE78" s="58"/>
      <c r="AF78" s="52"/>
      <c r="AG78" s="52"/>
      <c r="AH78" s="52"/>
      <c r="AI78" s="52"/>
      <c r="AJ78" s="52"/>
      <c r="BQ78" s="52">
        <f t="shared" ref="BQ78:DJ78" si="62">ROUND($BQ27*E78,0)</f>
        <v>10</v>
      </c>
      <c r="BR78" s="52">
        <f t="shared" si="62"/>
        <v>10</v>
      </c>
      <c r="BS78" s="52">
        <f t="shared" si="62"/>
        <v>10</v>
      </c>
      <c r="BT78" s="52">
        <f t="shared" si="62"/>
        <v>10</v>
      </c>
      <c r="BU78" s="52">
        <f t="shared" si="62"/>
        <v>10</v>
      </c>
      <c r="BV78" s="52">
        <f t="shared" si="62"/>
        <v>10</v>
      </c>
      <c r="BW78" s="52">
        <f t="shared" si="62"/>
        <v>10</v>
      </c>
      <c r="BX78" s="52">
        <f t="shared" si="62"/>
        <v>10</v>
      </c>
      <c r="BY78" s="52">
        <f t="shared" si="62"/>
        <v>10</v>
      </c>
      <c r="BZ78" s="52">
        <f t="shared" si="62"/>
        <v>4</v>
      </c>
      <c r="CA78" s="52">
        <f t="shared" si="62"/>
        <v>4</v>
      </c>
      <c r="CB78" s="52">
        <f t="shared" si="62"/>
        <v>4</v>
      </c>
      <c r="CC78" s="52">
        <f t="shared" si="62"/>
        <v>4</v>
      </c>
      <c r="CD78" s="52">
        <f t="shared" si="62"/>
        <v>4</v>
      </c>
      <c r="CE78" s="52">
        <f t="shared" si="62"/>
        <v>4</v>
      </c>
      <c r="CF78" s="52">
        <f t="shared" si="62"/>
        <v>4</v>
      </c>
      <c r="CG78" s="52">
        <f t="shared" si="62"/>
        <v>3</v>
      </c>
      <c r="CH78" s="52">
        <f t="shared" si="62"/>
        <v>3</v>
      </c>
      <c r="CI78" s="52">
        <f t="shared" si="62"/>
        <v>3</v>
      </c>
      <c r="CJ78" s="52">
        <f t="shared" si="62"/>
        <v>3</v>
      </c>
      <c r="CK78" s="52">
        <f t="shared" si="62"/>
        <v>3</v>
      </c>
      <c r="CL78" s="52">
        <f t="shared" si="62"/>
        <v>3</v>
      </c>
      <c r="CM78" s="52">
        <f t="shared" si="62"/>
        <v>3</v>
      </c>
      <c r="CN78" s="52">
        <f t="shared" si="62"/>
        <v>3</v>
      </c>
      <c r="CO78" s="52">
        <f t="shared" si="62"/>
        <v>0</v>
      </c>
      <c r="CP78" s="52">
        <f t="shared" si="62"/>
        <v>0</v>
      </c>
      <c r="CQ78" s="52">
        <f t="shared" si="62"/>
        <v>0</v>
      </c>
      <c r="CR78" s="52">
        <f t="shared" si="62"/>
        <v>0</v>
      </c>
      <c r="CS78" s="52">
        <f t="shared" si="62"/>
        <v>0</v>
      </c>
      <c r="CT78" s="52">
        <f t="shared" si="62"/>
        <v>0</v>
      </c>
      <c r="CU78" s="52">
        <f t="shared" si="62"/>
        <v>0</v>
      </c>
      <c r="CV78" s="52">
        <f t="shared" si="62"/>
        <v>0</v>
      </c>
      <c r="CW78" s="52">
        <f t="shared" si="62"/>
        <v>0</v>
      </c>
      <c r="CX78" s="52">
        <f t="shared" si="62"/>
        <v>0</v>
      </c>
      <c r="CY78" s="52">
        <f t="shared" si="62"/>
        <v>0</v>
      </c>
      <c r="CZ78" s="52">
        <f t="shared" si="62"/>
        <v>0</v>
      </c>
      <c r="DA78" s="52">
        <f t="shared" si="62"/>
        <v>0</v>
      </c>
      <c r="DB78" s="52">
        <f t="shared" si="62"/>
        <v>0</v>
      </c>
      <c r="DC78" s="52">
        <f t="shared" si="62"/>
        <v>0</v>
      </c>
      <c r="DD78" s="52">
        <f t="shared" si="62"/>
        <v>0</v>
      </c>
      <c r="DE78" s="52">
        <f t="shared" si="62"/>
        <v>0</v>
      </c>
      <c r="DF78" s="52">
        <f t="shared" si="62"/>
        <v>0</v>
      </c>
      <c r="DG78" s="52">
        <f t="shared" si="62"/>
        <v>0</v>
      </c>
      <c r="DH78" s="52">
        <f t="shared" si="62"/>
        <v>0</v>
      </c>
      <c r="DI78" s="52">
        <f t="shared" si="62"/>
        <v>0</v>
      </c>
      <c r="DJ78" s="52">
        <f t="shared" si="62"/>
        <v>0</v>
      </c>
    </row>
    <row r="79" ht="15.75" customHeight="1">
      <c r="B79" s="52" t="s">
        <v>1792</v>
      </c>
      <c r="C79" s="63">
        <v>7.0</v>
      </c>
      <c r="D79" s="52" t="s">
        <v>1785</v>
      </c>
      <c r="E79" s="65">
        <v>0.02</v>
      </c>
      <c r="F79" s="65">
        <v>0.02</v>
      </c>
      <c r="G79" s="65">
        <v>0.02</v>
      </c>
      <c r="H79" s="65">
        <v>0.02</v>
      </c>
      <c r="I79" s="65">
        <v>0.08</v>
      </c>
      <c r="J79" s="65">
        <v>0.08</v>
      </c>
      <c r="K79" s="65">
        <v>0.07</v>
      </c>
      <c r="L79" s="65">
        <v>0.07</v>
      </c>
      <c r="M79" s="65">
        <v>0.06</v>
      </c>
      <c r="N79" s="65">
        <v>0.06</v>
      </c>
      <c r="O79" s="65">
        <v>0.05</v>
      </c>
      <c r="P79" s="65">
        <v>0.05</v>
      </c>
      <c r="Q79" s="65">
        <v>0.05</v>
      </c>
      <c r="R79" s="65">
        <v>0.04</v>
      </c>
      <c r="S79" s="65">
        <v>0.04</v>
      </c>
      <c r="T79" s="65">
        <v>0.04</v>
      </c>
      <c r="U79" s="65">
        <v>0.04</v>
      </c>
      <c r="V79" s="65">
        <v>0.03</v>
      </c>
      <c r="W79" s="65">
        <v>0.03</v>
      </c>
      <c r="X79" s="65">
        <v>0.03</v>
      </c>
      <c r="Y79" s="65">
        <v>0.03</v>
      </c>
      <c r="Z79" s="65">
        <v>0.03</v>
      </c>
      <c r="AA79" s="65">
        <v>0.02</v>
      </c>
      <c r="AB79" s="65">
        <v>0.02</v>
      </c>
      <c r="AC79" s="58"/>
      <c r="AD79" s="58"/>
      <c r="AE79" s="58"/>
      <c r="AF79" s="52"/>
      <c r="AG79" s="52"/>
      <c r="AH79" s="52"/>
      <c r="AI79" s="52"/>
      <c r="AJ79" s="52"/>
      <c r="BQ79" s="52">
        <f t="shared" ref="BQ79:DJ79" si="63">ROUND($BQ28*E79,0)</f>
        <v>0</v>
      </c>
      <c r="BR79" s="52">
        <f t="shared" si="63"/>
        <v>0</v>
      </c>
      <c r="BS79" s="52">
        <f t="shared" si="63"/>
        <v>0</v>
      </c>
      <c r="BT79" s="52">
        <f t="shared" si="63"/>
        <v>0</v>
      </c>
      <c r="BU79" s="52">
        <f t="shared" si="63"/>
        <v>1</v>
      </c>
      <c r="BV79" s="52">
        <f t="shared" si="63"/>
        <v>1</v>
      </c>
      <c r="BW79" s="52">
        <f t="shared" si="63"/>
        <v>1</v>
      </c>
      <c r="BX79" s="52">
        <f t="shared" si="63"/>
        <v>1</v>
      </c>
      <c r="BY79" s="52">
        <f t="shared" si="63"/>
        <v>1</v>
      </c>
      <c r="BZ79" s="52">
        <f t="shared" si="63"/>
        <v>1</v>
      </c>
      <c r="CA79" s="52">
        <f t="shared" si="63"/>
        <v>1</v>
      </c>
      <c r="CB79" s="52">
        <f t="shared" si="63"/>
        <v>1</v>
      </c>
      <c r="CC79" s="52">
        <f t="shared" si="63"/>
        <v>1</v>
      </c>
      <c r="CD79" s="52">
        <f t="shared" si="63"/>
        <v>1</v>
      </c>
      <c r="CE79" s="52">
        <f t="shared" si="63"/>
        <v>1</v>
      </c>
      <c r="CF79" s="52">
        <f t="shared" si="63"/>
        <v>1</v>
      </c>
      <c r="CG79" s="52">
        <f t="shared" si="63"/>
        <v>1</v>
      </c>
      <c r="CH79" s="52">
        <f t="shared" si="63"/>
        <v>0</v>
      </c>
      <c r="CI79" s="52">
        <f t="shared" si="63"/>
        <v>0</v>
      </c>
      <c r="CJ79" s="52">
        <f t="shared" si="63"/>
        <v>0</v>
      </c>
      <c r="CK79" s="52">
        <f t="shared" si="63"/>
        <v>0</v>
      </c>
      <c r="CL79" s="52">
        <f t="shared" si="63"/>
        <v>0</v>
      </c>
      <c r="CM79" s="52">
        <f t="shared" si="63"/>
        <v>0</v>
      </c>
      <c r="CN79" s="52">
        <f t="shared" si="63"/>
        <v>0</v>
      </c>
      <c r="CO79" s="52">
        <f t="shared" si="63"/>
        <v>0</v>
      </c>
      <c r="CP79" s="52">
        <f t="shared" si="63"/>
        <v>0</v>
      </c>
      <c r="CQ79" s="52">
        <f t="shared" si="63"/>
        <v>0</v>
      </c>
      <c r="CR79" s="52">
        <f t="shared" si="63"/>
        <v>0</v>
      </c>
      <c r="CS79" s="52">
        <f t="shared" si="63"/>
        <v>0</v>
      </c>
      <c r="CT79" s="52">
        <f t="shared" si="63"/>
        <v>0</v>
      </c>
      <c r="CU79" s="52">
        <f t="shared" si="63"/>
        <v>0</v>
      </c>
      <c r="CV79" s="52">
        <f t="shared" si="63"/>
        <v>0</v>
      </c>
      <c r="CW79" s="52">
        <f t="shared" si="63"/>
        <v>0</v>
      </c>
      <c r="CX79" s="52">
        <f t="shared" si="63"/>
        <v>0</v>
      </c>
      <c r="CY79" s="52">
        <f t="shared" si="63"/>
        <v>0</v>
      </c>
      <c r="CZ79" s="52">
        <f t="shared" si="63"/>
        <v>0</v>
      </c>
      <c r="DA79" s="52">
        <f t="shared" si="63"/>
        <v>0</v>
      </c>
      <c r="DB79" s="52">
        <f t="shared" si="63"/>
        <v>0</v>
      </c>
      <c r="DC79" s="52">
        <f t="shared" si="63"/>
        <v>0</v>
      </c>
      <c r="DD79" s="52">
        <f t="shared" si="63"/>
        <v>0</v>
      </c>
      <c r="DE79" s="52">
        <f t="shared" si="63"/>
        <v>0</v>
      </c>
      <c r="DF79" s="52">
        <f t="shared" si="63"/>
        <v>0</v>
      </c>
      <c r="DG79" s="52">
        <f t="shared" si="63"/>
        <v>0</v>
      </c>
      <c r="DH79" s="52">
        <f t="shared" si="63"/>
        <v>0</v>
      </c>
      <c r="DI79" s="52">
        <f t="shared" si="63"/>
        <v>0</v>
      </c>
      <c r="DJ79" s="52">
        <f t="shared" si="63"/>
        <v>0</v>
      </c>
    </row>
    <row r="80" ht="15.75" customHeight="1">
      <c r="B80" s="52" t="s">
        <v>1792</v>
      </c>
      <c r="C80" s="63">
        <v>7.0</v>
      </c>
      <c r="D80" s="52" t="s">
        <v>1786</v>
      </c>
      <c r="E80" s="58"/>
      <c r="F80" s="58"/>
      <c r="G80" s="58"/>
      <c r="H80" s="65">
        <v>0.08</v>
      </c>
      <c r="I80" s="65">
        <v>0.08</v>
      </c>
      <c r="J80" s="65">
        <v>0.07</v>
      </c>
      <c r="K80" s="65">
        <v>0.07</v>
      </c>
      <c r="L80" s="65">
        <v>0.06</v>
      </c>
      <c r="M80" s="65">
        <v>0.06</v>
      </c>
      <c r="N80" s="65">
        <v>0.05</v>
      </c>
      <c r="O80" s="65">
        <v>0.05</v>
      </c>
      <c r="P80" s="65">
        <v>0.05</v>
      </c>
      <c r="Q80" s="65">
        <v>0.04</v>
      </c>
      <c r="R80" s="65">
        <v>0.04</v>
      </c>
      <c r="S80" s="65">
        <v>0.04</v>
      </c>
      <c r="T80" s="65">
        <v>0.04</v>
      </c>
      <c r="U80" s="65">
        <v>0.03</v>
      </c>
      <c r="V80" s="65">
        <v>0.03</v>
      </c>
      <c r="W80" s="65">
        <v>0.03</v>
      </c>
      <c r="X80" s="65">
        <v>0.03</v>
      </c>
      <c r="Y80" s="65">
        <v>0.03</v>
      </c>
      <c r="Z80" s="65">
        <v>0.02</v>
      </c>
      <c r="AA80" s="65">
        <v>0.02</v>
      </c>
      <c r="AB80" s="65">
        <v>0.03</v>
      </c>
      <c r="AC80" s="65">
        <v>0.03</v>
      </c>
      <c r="AD80" s="65">
        <v>0.02</v>
      </c>
      <c r="AE80" s="58"/>
      <c r="AF80" s="52"/>
      <c r="AG80" s="52"/>
      <c r="AH80" s="52"/>
      <c r="AI80" s="52"/>
      <c r="AJ80" s="52"/>
      <c r="BQ80" s="52">
        <f t="shared" ref="BQ80:DJ80" si="64">ROUND($BQ29*E80,0)</f>
        <v>0</v>
      </c>
      <c r="BR80" s="52">
        <f t="shared" si="64"/>
        <v>0</v>
      </c>
      <c r="BS80" s="52">
        <f t="shared" si="64"/>
        <v>0</v>
      </c>
      <c r="BT80" s="52">
        <f t="shared" si="64"/>
        <v>2</v>
      </c>
      <c r="BU80" s="52">
        <f t="shared" si="64"/>
        <v>2</v>
      </c>
      <c r="BV80" s="52">
        <f t="shared" si="64"/>
        <v>2</v>
      </c>
      <c r="BW80" s="52">
        <f t="shared" si="64"/>
        <v>2</v>
      </c>
      <c r="BX80" s="52">
        <f t="shared" si="64"/>
        <v>2</v>
      </c>
      <c r="BY80" s="52">
        <f t="shared" si="64"/>
        <v>2</v>
      </c>
      <c r="BZ80" s="52">
        <f t="shared" si="64"/>
        <v>1</v>
      </c>
      <c r="CA80" s="52">
        <f t="shared" si="64"/>
        <v>1</v>
      </c>
      <c r="CB80" s="52">
        <f t="shared" si="64"/>
        <v>1</v>
      </c>
      <c r="CC80" s="52">
        <f t="shared" si="64"/>
        <v>1</v>
      </c>
      <c r="CD80" s="52">
        <f t="shared" si="64"/>
        <v>1</v>
      </c>
      <c r="CE80" s="52">
        <f t="shared" si="64"/>
        <v>1</v>
      </c>
      <c r="CF80" s="52">
        <f t="shared" si="64"/>
        <v>1</v>
      </c>
      <c r="CG80" s="52">
        <f t="shared" si="64"/>
        <v>1</v>
      </c>
      <c r="CH80" s="52">
        <f t="shared" si="64"/>
        <v>1</v>
      </c>
      <c r="CI80" s="52">
        <f t="shared" si="64"/>
        <v>1</v>
      </c>
      <c r="CJ80" s="52">
        <f t="shared" si="64"/>
        <v>1</v>
      </c>
      <c r="CK80" s="52">
        <f t="shared" si="64"/>
        <v>1</v>
      </c>
      <c r="CL80" s="52">
        <f t="shared" si="64"/>
        <v>1</v>
      </c>
      <c r="CM80" s="52">
        <f t="shared" si="64"/>
        <v>1</v>
      </c>
      <c r="CN80" s="52">
        <f t="shared" si="64"/>
        <v>1</v>
      </c>
      <c r="CO80" s="52">
        <f t="shared" si="64"/>
        <v>1</v>
      </c>
      <c r="CP80" s="52">
        <f t="shared" si="64"/>
        <v>1</v>
      </c>
      <c r="CQ80" s="52">
        <f t="shared" si="64"/>
        <v>0</v>
      </c>
      <c r="CR80" s="52">
        <f t="shared" si="64"/>
        <v>0</v>
      </c>
      <c r="CS80" s="52">
        <f t="shared" si="64"/>
        <v>0</v>
      </c>
      <c r="CT80" s="52">
        <f t="shared" si="64"/>
        <v>0</v>
      </c>
      <c r="CU80" s="52">
        <f t="shared" si="64"/>
        <v>0</v>
      </c>
      <c r="CV80" s="52">
        <f t="shared" si="64"/>
        <v>0</v>
      </c>
      <c r="CW80" s="52">
        <f t="shared" si="64"/>
        <v>0</v>
      </c>
      <c r="CX80" s="52">
        <f t="shared" si="64"/>
        <v>0</v>
      </c>
      <c r="CY80" s="52">
        <f t="shared" si="64"/>
        <v>0</v>
      </c>
      <c r="CZ80" s="52">
        <f t="shared" si="64"/>
        <v>0</v>
      </c>
      <c r="DA80" s="52">
        <f t="shared" si="64"/>
        <v>0</v>
      </c>
      <c r="DB80" s="52">
        <f t="shared" si="64"/>
        <v>0</v>
      </c>
      <c r="DC80" s="52">
        <f t="shared" si="64"/>
        <v>0</v>
      </c>
      <c r="DD80" s="52">
        <f t="shared" si="64"/>
        <v>0</v>
      </c>
      <c r="DE80" s="52">
        <f t="shared" si="64"/>
        <v>0</v>
      </c>
      <c r="DF80" s="52">
        <f t="shared" si="64"/>
        <v>0</v>
      </c>
      <c r="DG80" s="52">
        <f t="shared" si="64"/>
        <v>0</v>
      </c>
      <c r="DH80" s="52">
        <f t="shared" si="64"/>
        <v>0</v>
      </c>
      <c r="DI80" s="52">
        <f t="shared" si="64"/>
        <v>0</v>
      </c>
      <c r="DJ80" s="52">
        <f t="shared" si="64"/>
        <v>0</v>
      </c>
    </row>
    <row r="81" ht="15.75" customHeight="1">
      <c r="B81" s="52" t="s">
        <v>1792</v>
      </c>
      <c r="C81" s="63">
        <v>7.0</v>
      </c>
      <c r="D81" s="52" t="s">
        <v>1787</v>
      </c>
      <c r="E81" s="58"/>
      <c r="F81" s="58"/>
      <c r="G81" s="58"/>
      <c r="H81" s="58"/>
      <c r="I81" s="58"/>
      <c r="J81" s="65">
        <v>0.08</v>
      </c>
      <c r="K81" s="65">
        <v>0.08</v>
      </c>
      <c r="L81" s="65">
        <v>0.07</v>
      </c>
      <c r="M81" s="65">
        <v>0.07</v>
      </c>
      <c r="N81" s="65">
        <v>0.06</v>
      </c>
      <c r="O81" s="65">
        <v>0.06</v>
      </c>
      <c r="P81" s="65">
        <v>0.05</v>
      </c>
      <c r="Q81" s="65">
        <v>0.05</v>
      </c>
      <c r="R81" s="65">
        <v>0.05</v>
      </c>
      <c r="S81" s="65">
        <v>0.04</v>
      </c>
      <c r="T81" s="65">
        <v>0.04</v>
      </c>
      <c r="U81" s="65">
        <v>0.04</v>
      </c>
      <c r="V81" s="65">
        <v>0.04</v>
      </c>
      <c r="W81" s="65">
        <v>0.03</v>
      </c>
      <c r="X81" s="65">
        <v>0.03</v>
      </c>
      <c r="Y81" s="65">
        <v>0.03</v>
      </c>
      <c r="Z81" s="65">
        <v>0.03</v>
      </c>
      <c r="AA81" s="65">
        <v>0.03</v>
      </c>
      <c r="AB81" s="65">
        <v>0.02</v>
      </c>
      <c r="AC81" s="65">
        <v>0.02</v>
      </c>
      <c r="AD81" s="65">
        <v>0.03</v>
      </c>
      <c r="AE81" s="58"/>
      <c r="AF81" s="52"/>
      <c r="AG81" s="52"/>
      <c r="AH81" s="52"/>
      <c r="AI81" s="52"/>
      <c r="AJ81" s="52"/>
      <c r="BQ81" s="52">
        <f t="shared" ref="BQ81:DJ81" si="65">ROUND($BQ30*E81,0)</f>
        <v>0</v>
      </c>
      <c r="BR81" s="52">
        <f t="shared" si="65"/>
        <v>0</v>
      </c>
      <c r="BS81" s="52">
        <f t="shared" si="65"/>
        <v>0</v>
      </c>
      <c r="BT81" s="52">
        <f t="shared" si="65"/>
        <v>0</v>
      </c>
      <c r="BU81" s="52">
        <f t="shared" si="65"/>
        <v>0</v>
      </c>
      <c r="BV81" s="52">
        <f t="shared" si="65"/>
        <v>0</v>
      </c>
      <c r="BW81" s="52">
        <f t="shared" si="65"/>
        <v>0</v>
      </c>
      <c r="BX81" s="52">
        <f t="shared" si="65"/>
        <v>0</v>
      </c>
      <c r="BY81" s="52">
        <f t="shared" si="65"/>
        <v>0</v>
      </c>
      <c r="BZ81" s="52">
        <f t="shared" si="65"/>
        <v>0</v>
      </c>
      <c r="CA81" s="52">
        <f t="shared" si="65"/>
        <v>0</v>
      </c>
      <c r="CB81" s="52">
        <f t="shared" si="65"/>
        <v>0</v>
      </c>
      <c r="CC81" s="52">
        <f t="shared" si="65"/>
        <v>0</v>
      </c>
      <c r="CD81" s="52">
        <f t="shared" si="65"/>
        <v>0</v>
      </c>
      <c r="CE81" s="52">
        <f t="shared" si="65"/>
        <v>0</v>
      </c>
      <c r="CF81" s="52">
        <f t="shared" si="65"/>
        <v>0</v>
      </c>
      <c r="CG81" s="52">
        <f t="shared" si="65"/>
        <v>0</v>
      </c>
      <c r="CH81" s="52">
        <f t="shared" si="65"/>
        <v>0</v>
      </c>
      <c r="CI81" s="52">
        <f t="shared" si="65"/>
        <v>0</v>
      </c>
      <c r="CJ81" s="52">
        <f t="shared" si="65"/>
        <v>0</v>
      </c>
      <c r="CK81" s="52">
        <f t="shared" si="65"/>
        <v>0</v>
      </c>
      <c r="CL81" s="52">
        <f t="shared" si="65"/>
        <v>0</v>
      </c>
      <c r="CM81" s="52">
        <f t="shared" si="65"/>
        <v>0</v>
      </c>
      <c r="CN81" s="52">
        <f t="shared" si="65"/>
        <v>0</v>
      </c>
      <c r="CO81" s="52">
        <f t="shared" si="65"/>
        <v>0</v>
      </c>
      <c r="CP81" s="52">
        <f t="shared" si="65"/>
        <v>0</v>
      </c>
      <c r="CQ81" s="52">
        <f t="shared" si="65"/>
        <v>0</v>
      </c>
      <c r="CR81" s="52">
        <f t="shared" si="65"/>
        <v>0</v>
      </c>
      <c r="CS81" s="52">
        <f t="shared" si="65"/>
        <v>0</v>
      </c>
      <c r="CT81" s="52">
        <f t="shared" si="65"/>
        <v>0</v>
      </c>
      <c r="CU81" s="52">
        <f t="shared" si="65"/>
        <v>0</v>
      </c>
      <c r="CV81" s="52">
        <f t="shared" si="65"/>
        <v>0</v>
      </c>
      <c r="CW81" s="52">
        <f t="shared" si="65"/>
        <v>0</v>
      </c>
      <c r="CX81" s="52">
        <f t="shared" si="65"/>
        <v>0</v>
      </c>
      <c r="CY81" s="52">
        <f t="shared" si="65"/>
        <v>0</v>
      </c>
      <c r="CZ81" s="52">
        <f t="shared" si="65"/>
        <v>0</v>
      </c>
      <c r="DA81" s="52">
        <f t="shared" si="65"/>
        <v>0</v>
      </c>
      <c r="DB81" s="52">
        <f t="shared" si="65"/>
        <v>0</v>
      </c>
      <c r="DC81" s="52">
        <f t="shared" si="65"/>
        <v>0</v>
      </c>
      <c r="DD81" s="52">
        <f t="shared" si="65"/>
        <v>0</v>
      </c>
      <c r="DE81" s="52">
        <f t="shared" si="65"/>
        <v>0</v>
      </c>
      <c r="DF81" s="52">
        <f t="shared" si="65"/>
        <v>0</v>
      </c>
      <c r="DG81" s="52">
        <f t="shared" si="65"/>
        <v>0</v>
      </c>
      <c r="DH81" s="52">
        <f t="shared" si="65"/>
        <v>0</v>
      </c>
      <c r="DI81" s="52">
        <f t="shared" si="65"/>
        <v>0</v>
      </c>
      <c r="DJ81" s="52">
        <f t="shared" si="65"/>
        <v>0</v>
      </c>
    </row>
    <row r="82" ht="15.75" customHeight="1">
      <c r="B82" s="52" t="s">
        <v>1792</v>
      </c>
      <c r="C82" s="63">
        <v>7.0</v>
      </c>
      <c r="D82" s="52" t="s">
        <v>1788</v>
      </c>
      <c r="E82" s="58"/>
      <c r="F82" s="58"/>
      <c r="G82" s="58"/>
      <c r="H82" s="58"/>
      <c r="I82" s="58"/>
      <c r="J82" s="58"/>
      <c r="K82" s="65">
        <v>0.08</v>
      </c>
      <c r="L82" s="65">
        <v>0.08</v>
      </c>
      <c r="M82" s="65">
        <v>0.07</v>
      </c>
      <c r="N82" s="65">
        <v>0.07</v>
      </c>
      <c r="O82" s="65">
        <v>0.06</v>
      </c>
      <c r="P82" s="65">
        <v>0.06</v>
      </c>
      <c r="Q82" s="65">
        <v>0.05</v>
      </c>
      <c r="R82" s="65">
        <v>0.05</v>
      </c>
      <c r="S82" s="65">
        <v>0.05</v>
      </c>
      <c r="T82" s="65">
        <v>0.04</v>
      </c>
      <c r="U82" s="65">
        <v>0.04</v>
      </c>
      <c r="V82" s="65">
        <v>0.04</v>
      </c>
      <c r="W82" s="65">
        <v>0.04</v>
      </c>
      <c r="X82" s="65">
        <v>0.03</v>
      </c>
      <c r="Y82" s="65">
        <v>0.03</v>
      </c>
      <c r="Z82" s="65">
        <v>0.03</v>
      </c>
      <c r="AA82" s="65">
        <v>0.03</v>
      </c>
      <c r="AB82" s="65">
        <v>0.03</v>
      </c>
      <c r="AC82" s="65">
        <v>0.02</v>
      </c>
      <c r="AD82" s="65">
        <v>0.02</v>
      </c>
      <c r="AE82" s="58"/>
      <c r="AF82" s="52"/>
      <c r="AG82" s="52"/>
      <c r="AH82" s="52"/>
      <c r="AI82" s="52"/>
      <c r="AJ82" s="52"/>
      <c r="BQ82" s="52">
        <f t="shared" ref="BQ82:DJ82" si="66">ROUND($BQ31*E82,0)</f>
        <v>0</v>
      </c>
      <c r="BR82" s="52">
        <f t="shared" si="66"/>
        <v>0</v>
      </c>
      <c r="BS82" s="52">
        <f t="shared" si="66"/>
        <v>0</v>
      </c>
      <c r="BT82" s="52">
        <f t="shared" si="66"/>
        <v>0</v>
      </c>
      <c r="BU82" s="52">
        <f t="shared" si="66"/>
        <v>0</v>
      </c>
      <c r="BV82" s="52">
        <f t="shared" si="66"/>
        <v>0</v>
      </c>
      <c r="BW82" s="52">
        <f t="shared" si="66"/>
        <v>0</v>
      </c>
      <c r="BX82" s="52">
        <f t="shared" si="66"/>
        <v>0</v>
      </c>
      <c r="BY82" s="52">
        <f t="shared" si="66"/>
        <v>0</v>
      </c>
      <c r="BZ82" s="52">
        <f t="shared" si="66"/>
        <v>0</v>
      </c>
      <c r="CA82" s="52">
        <f t="shared" si="66"/>
        <v>0</v>
      </c>
      <c r="CB82" s="52">
        <f t="shared" si="66"/>
        <v>0</v>
      </c>
      <c r="CC82" s="52">
        <f t="shared" si="66"/>
        <v>0</v>
      </c>
      <c r="CD82" s="52">
        <f t="shared" si="66"/>
        <v>0</v>
      </c>
      <c r="CE82" s="52">
        <f t="shared" si="66"/>
        <v>0</v>
      </c>
      <c r="CF82" s="52">
        <f t="shared" si="66"/>
        <v>0</v>
      </c>
      <c r="CG82" s="52">
        <f t="shared" si="66"/>
        <v>0</v>
      </c>
      <c r="CH82" s="52">
        <f t="shared" si="66"/>
        <v>0</v>
      </c>
      <c r="CI82" s="52">
        <f t="shared" si="66"/>
        <v>0</v>
      </c>
      <c r="CJ82" s="52">
        <f t="shared" si="66"/>
        <v>0</v>
      </c>
      <c r="CK82" s="52">
        <f t="shared" si="66"/>
        <v>0</v>
      </c>
      <c r="CL82" s="52">
        <f t="shared" si="66"/>
        <v>0</v>
      </c>
      <c r="CM82" s="52">
        <f t="shared" si="66"/>
        <v>0</v>
      </c>
      <c r="CN82" s="52">
        <f t="shared" si="66"/>
        <v>0</v>
      </c>
      <c r="CO82" s="52">
        <f t="shared" si="66"/>
        <v>0</v>
      </c>
      <c r="CP82" s="52">
        <f t="shared" si="66"/>
        <v>0</v>
      </c>
      <c r="CQ82" s="52">
        <f t="shared" si="66"/>
        <v>0</v>
      </c>
      <c r="CR82" s="52">
        <f t="shared" si="66"/>
        <v>0</v>
      </c>
      <c r="CS82" s="52">
        <f t="shared" si="66"/>
        <v>0</v>
      </c>
      <c r="CT82" s="52">
        <f t="shared" si="66"/>
        <v>0</v>
      </c>
      <c r="CU82" s="52">
        <f t="shared" si="66"/>
        <v>0</v>
      </c>
      <c r="CV82" s="52">
        <f t="shared" si="66"/>
        <v>0</v>
      </c>
      <c r="CW82" s="52">
        <f t="shared" si="66"/>
        <v>0</v>
      </c>
      <c r="CX82" s="52">
        <f t="shared" si="66"/>
        <v>0</v>
      </c>
      <c r="CY82" s="52">
        <f t="shared" si="66"/>
        <v>0</v>
      </c>
      <c r="CZ82" s="52">
        <f t="shared" si="66"/>
        <v>0</v>
      </c>
      <c r="DA82" s="52">
        <f t="shared" si="66"/>
        <v>0</v>
      </c>
      <c r="DB82" s="52">
        <f t="shared" si="66"/>
        <v>0</v>
      </c>
      <c r="DC82" s="52">
        <f t="shared" si="66"/>
        <v>0</v>
      </c>
      <c r="DD82" s="52">
        <f t="shared" si="66"/>
        <v>0</v>
      </c>
      <c r="DE82" s="52">
        <f t="shared" si="66"/>
        <v>0</v>
      </c>
      <c r="DF82" s="52">
        <f t="shared" si="66"/>
        <v>0</v>
      </c>
      <c r="DG82" s="52">
        <f t="shared" si="66"/>
        <v>0</v>
      </c>
      <c r="DH82" s="52">
        <f t="shared" si="66"/>
        <v>0</v>
      </c>
      <c r="DI82" s="52">
        <f t="shared" si="66"/>
        <v>0</v>
      </c>
      <c r="DJ82" s="52">
        <f t="shared" si="66"/>
        <v>0</v>
      </c>
    </row>
    <row r="83" ht="15.75" customHeight="1">
      <c r="B83" s="52" t="s">
        <v>1792</v>
      </c>
      <c r="C83" s="63">
        <v>7.0</v>
      </c>
      <c r="D83" s="52" t="s">
        <v>1789</v>
      </c>
      <c r="E83" s="58"/>
      <c r="F83" s="58"/>
      <c r="G83" s="58"/>
      <c r="H83" s="58"/>
      <c r="I83" s="58"/>
      <c r="J83" s="58"/>
      <c r="K83" s="58"/>
      <c r="L83" s="65">
        <v>0.08</v>
      </c>
      <c r="M83" s="65">
        <v>0.08</v>
      </c>
      <c r="N83" s="65">
        <v>0.07</v>
      </c>
      <c r="O83" s="65">
        <v>0.07</v>
      </c>
      <c r="P83" s="65">
        <v>0.06</v>
      </c>
      <c r="Q83" s="65">
        <v>0.06</v>
      </c>
      <c r="R83" s="65">
        <v>0.05</v>
      </c>
      <c r="S83" s="65">
        <v>0.05</v>
      </c>
      <c r="T83" s="65">
        <v>0.05</v>
      </c>
      <c r="U83" s="65">
        <v>0.04</v>
      </c>
      <c r="V83" s="65">
        <v>0.04</v>
      </c>
      <c r="W83" s="65">
        <v>0.04</v>
      </c>
      <c r="X83" s="65">
        <v>0.04</v>
      </c>
      <c r="Y83" s="65">
        <v>0.03</v>
      </c>
      <c r="Z83" s="65">
        <v>0.03</v>
      </c>
      <c r="AA83" s="65">
        <v>0.03</v>
      </c>
      <c r="AB83" s="65">
        <v>0.03</v>
      </c>
      <c r="AC83" s="65">
        <v>0.03</v>
      </c>
      <c r="AD83" s="65">
        <v>0.02</v>
      </c>
      <c r="AE83" s="58"/>
      <c r="AF83" s="52"/>
      <c r="AG83" s="52"/>
      <c r="AH83" s="52"/>
      <c r="AI83" s="52"/>
      <c r="AJ83" s="52"/>
      <c r="BQ83" s="52">
        <f t="shared" ref="BQ83:DJ83" si="67">ROUND($BQ32*E83,0)</f>
        <v>0</v>
      </c>
      <c r="BR83" s="52">
        <f t="shared" si="67"/>
        <v>0</v>
      </c>
      <c r="BS83" s="52">
        <f t="shared" si="67"/>
        <v>0</v>
      </c>
      <c r="BT83" s="52">
        <f t="shared" si="67"/>
        <v>0</v>
      </c>
      <c r="BU83" s="52">
        <f t="shared" si="67"/>
        <v>0</v>
      </c>
      <c r="BV83" s="52">
        <f t="shared" si="67"/>
        <v>0</v>
      </c>
      <c r="BW83" s="52">
        <f t="shared" si="67"/>
        <v>0</v>
      </c>
      <c r="BX83" s="52">
        <f t="shared" si="67"/>
        <v>1</v>
      </c>
      <c r="BY83" s="52">
        <f t="shared" si="67"/>
        <v>1</v>
      </c>
      <c r="BZ83" s="52">
        <f t="shared" si="67"/>
        <v>1</v>
      </c>
      <c r="CA83" s="52">
        <f t="shared" si="67"/>
        <v>1</v>
      </c>
      <c r="CB83" s="52">
        <f t="shared" si="67"/>
        <v>1</v>
      </c>
      <c r="CC83" s="52">
        <f t="shared" si="67"/>
        <v>1</v>
      </c>
      <c r="CD83" s="52">
        <f t="shared" si="67"/>
        <v>0</v>
      </c>
      <c r="CE83" s="52">
        <f t="shared" si="67"/>
        <v>0</v>
      </c>
      <c r="CF83" s="52">
        <f t="shared" si="67"/>
        <v>0</v>
      </c>
      <c r="CG83" s="52">
        <f t="shared" si="67"/>
        <v>0</v>
      </c>
      <c r="CH83" s="52">
        <f t="shared" si="67"/>
        <v>0</v>
      </c>
      <c r="CI83" s="52">
        <f t="shared" si="67"/>
        <v>0</v>
      </c>
      <c r="CJ83" s="52">
        <f t="shared" si="67"/>
        <v>0</v>
      </c>
      <c r="CK83" s="52">
        <f t="shared" si="67"/>
        <v>0</v>
      </c>
      <c r="CL83" s="52">
        <f t="shared" si="67"/>
        <v>0</v>
      </c>
      <c r="CM83" s="52">
        <f t="shared" si="67"/>
        <v>0</v>
      </c>
      <c r="CN83" s="52">
        <f t="shared" si="67"/>
        <v>0</v>
      </c>
      <c r="CO83" s="52">
        <f t="shared" si="67"/>
        <v>0</v>
      </c>
      <c r="CP83" s="52">
        <f t="shared" si="67"/>
        <v>0</v>
      </c>
      <c r="CQ83" s="52">
        <f t="shared" si="67"/>
        <v>0</v>
      </c>
      <c r="CR83" s="52">
        <f t="shared" si="67"/>
        <v>0</v>
      </c>
      <c r="CS83" s="52">
        <f t="shared" si="67"/>
        <v>0</v>
      </c>
      <c r="CT83" s="52">
        <f t="shared" si="67"/>
        <v>0</v>
      </c>
      <c r="CU83" s="52">
        <f t="shared" si="67"/>
        <v>0</v>
      </c>
      <c r="CV83" s="52">
        <f t="shared" si="67"/>
        <v>0</v>
      </c>
      <c r="CW83" s="52">
        <f t="shared" si="67"/>
        <v>0</v>
      </c>
      <c r="CX83" s="52">
        <f t="shared" si="67"/>
        <v>0</v>
      </c>
      <c r="CY83" s="52">
        <f t="shared" si="67"/>
        <v>0</v>
      </c>
      <c r="CZ83" s="52">
        <f t="shared" si="67"/>
        <v>0</v>
      </c>
      <c r="DA83" s="52">
        <f t="shared" si="67"/>
        <v>0</v>
      </c>
      <c r="DB83" s="52">
        <f t="shared" si="67"/>
        <v>0</v>
      </c>
      <c r="DC83" s="52">
        <f t="shared" si="67"/>
        <v>0</v>
      </c>
      <c r="DD83" s="52">
        <f t="shared" si="67"/>
        <v>0</v>
      </c>
      <c r="DE83" s="52">
        <f t="shared" si="67"/>
        <v>0</v>
      </c>
      <c r="DF83" s="52">
        <f t="shared" si="67"/>
        <v>0</v>
      </c>
      <c r="DG83" s="52">
        <f t="shared" si="67"/>
        <v>0</v>
      </c>
      <c r="DH83" s="52">
        <f t="shared" si="67"/>
        <v>0</v>
      </c>
      <c r="DI83" s="52">
        <f t="shared" si="67"/>
        <v>0</v>
      </c>
      <c r="DJ83" s="52">
        <f t="shared" si="67"/>
        <v>0</v>
      </c>
    </row>
    <row r="84" ht="15.75" customHeight="1">
      <c r="B84" s="52" t="s">
        <v>1792</v>
      </c>
      <c r="C84" s="63">
        <v>7.0</v>
      </c>
      <c r="D84" s="52" t="s">
        <v>1790</v>
      </c>
      <c r="E84" s="58"/>
      <c r="F84" s="58"/>
      <c r="G84" s="58"/>
      <c r="H84" s="58"/>
      <c r="I84" s="58"/>
      <c r="J84" s="58"/>
      <c r="K84" s="58"/>
      <c r="L84" s="58"/>
      <c r="M84" s="58"/>
      <c r="N84" s="65">
        <v>0.08</v>
      </c>
      <c r="O84" s="65">
        <v>0.08</v>
      </c>
      <c r="P84" s="65">
        <v>0.07</v>
      </c>
      <c r="Q84" s="65">
        <v>0.07</v>
      </c>
      <c r="R84" s="65">
        <v>0.06</v>
      </c>
      <c r="S84" s="65">
        <v>0.06</v>
      </c>
      <c r="T84" s="65">
        <v>0.05</v>
      </c>
      <c r="U84" s="65">
        <v>0.05</v>
      </c>
      <c r="V84" s="65">
        <v>0.05</v>
      </c>
      <c r="W84" s="65">
        <v>0.04</v>
      </c>
      <c r="X84" s="65">
        <v>0.04</v>
      </c>
      <c r="Y84" s="65">
        <v>0.04</v>
      </c>
      <c r="Z84" s="65">
        <v>0.04</v>
      </c>
      <c r="AA84" s="65">
        <v>0.03</v>
      </c>
      <c r="AB84" s="65">
        <v>0.03</v>
      </c>
      <c r="AC84" s="65">
        <v>0.03</v>
      </c>
      <c r="AD84" s="65">
        <v>0.03</v>
      </c>
      <c r="AE84" s="58"/>
      <c r="AF84" s="52"/>
      <c r="AG84" s="52"/>
      <c r="AH84" s="52"/>
      <c r="AI84" s="52"/>
      <c r="AJ84" s="52"/>
      <c r="BQ84" s="52">
        <f t="shared" ref="BQ84:DJ84" si="68">ROUND($BQ33*E84,0)</f>
        <v>0</v>
      </c>
      <c r="BR84" s="52">
        <f t="shared" si="68"/>
        <v>0</v>
      </c>
      <c r="BS84" s="52">
        <f t="shared" si="68"/>
        <v>0</v>
      </c>
      <c r="BT84" s="52">
        <f t="shared" si="68"/>
        <v>0</v>
      </c>
      <c r="BU84" s="52">
        <f t="shared" si="68"/>
        <v>0</v>
      </c>
      <c r="BV84" s="52">
        <f t="shared" si="68"/>
        <v>0</v>
      </c>
      <c r="BW84" s="52">
        <f t="shared" si="68"/>
        <v>0</v>
      </c>
      <c r="BX84" s="52">
        <f t="shared" si="68"/>
        <v>0</v>
      </c>
      <c r="BY84" s="52">
        <f t="shared" si="68"/>
        <v>0</v>
      </c>
      <c r="BZ84" s="52">
        <f t="shared" si="68"/>
        <v>1</v>
      </c>
      <c r="CA84" s="52">
        <f t="shared" si="68"/>
        <v>1</v>
      </c>
      <c r="CB84" s="52">
        <f t="shared" si="68"/>
        <v>1</v>
      </c>
      <c r="CC84" s="52">
        <f t="shared" si="68"/>
        <v>1</v>
      </c>
      <c r="CD84" s="52">
        <f t="shared" si="68"/>
        <v>1</v>
      </c>
      <c r="CE84" s="52">
        <f t="shared" si="68"/>
        <v>1</v>
      </c>
      <c r="CF84" s="52">
        <f t="shared" si="68"/>
        <v>1</v>
      </c>
      <c r="CG84" s="52">
        <f t="shared" si="68"/>
        <v>1</v>
      </c>
      <c r="CH84" s="52">
        <f t="shared" si="68"/>
        <v>1</v>
      </c>
      <c r="CI84" s="52">
        <f t="shared" si="68"/>
        <v>0</v>
      </c>
      <c r="CJ84" s="52">
        <f t="shared" si="68"/>
        <v>0</v>
      </c>
      <c r="CK84" s="52">
        <f t="shared" si="68"/>
        <v>0</v>
      </c>
      <c r="CL84" s="52">
        <f t="shared" si="68"/>
        <v>0</v>
      </c>
      <c r="CM84" s="52">
        <f t="shared" si="68"/>
        <v>0</v>
      </c>
      <c r="CN84" s="52">
        <f t="shared" si="68"/>
        <v>0</v>
      </c>
      <c r="CO84" s="52">
        <f t="shared" si="68"/>
        <v>0</v>
      </c>
      <c r="CP84" s="52">
        <f t="shared" si="68"/>
        <v>0</v>
      </c>
      <c r="CQ84" s="52">
        <f t="shared" si="68"/>
        <v>0</v>
      </c>
      <c r="CR84" s="52">
        <f t="shared" si="68"/>
        <v>0</v>
      </c>
      <c r="CS84" s="52">
        <f t="shared" si="68"/>
        <v>0</v>
      </c>
      <c r="CT84" s="52">
        <f t="shared" si="68"/>
        <v>0</v>
      </c>
      <c r="CU84" s="52">
        <f t="shared" si="68"/>
        <v>0</v>
      </c>
      <c r="CV84" s="52">
        <f t="shared" si="68"/>
        <v>0</v>
      </c>
      <c r="CW84" s="52">
        <f t="shared" si="68"/>
        <v>0</v>
      </c>
      <c r="CX84" s="52">
        <f t="shared" si="68"/>
        <v>0</v>
      </c>
      <c r="CY84" s="52">
        <f t="shared" si="68"/>
        <v>0</v>
      </c>
      <c r="CZ84" s="52">
        <f t="shared" si="68"/>
        <v>0</v>
      </c>
      <c r="DA84" s="52">
        <f t="shared" si="68"/>
        <v>0</v>
      </c>
      <c r="DB84" s="52">
        <f t="shared" si="68"/>
        <v>0</v>
      </c>
      <c r="DC84" s="52">
        <f t="shared" si="68"/>
        <v>0</v>
      </c>
      <c r="DD84" s="52">
        <f t="shared" si="68"/>
        <v>0</v>
      </c>
      <c r="DE84" s="52">
        <f t="shared" si="68"/>
        <v>0</v>
      </c>
      <c r="DF84" s="52">
        <f t="shared" si="68"/>
        <v>0</v>
      </c>
      <c r="DG84" s="52">
        <f t="shared" si="68"/>
        <v>0</v>
      </c>
      <c r="DH84" s="52">
        <f t="shared" si="68"/>
        <v>0</v>
      </c>
      <c r="DI84" s="52">
        <f t="shared" si="68"/>
        <v>0</v>
      </c>
      <c r="DJ84" s="52">
        <f t="shared" si="68"/>
        <v>0</v>
      </c>
    </row>
    <row r="85" ht="15.75" customHeight="1">
      <c r="B85" s="52" t="s">
        <v>1792</v>
      </c>
      <c r="C85" s="63">
        <v>8.0</v>
      </c>
      <c r="D85" s="52">
        <v>0.0</v>
      </c>
      <c r="E85" s="65">
        <v>0.07</v>
      </c>
      <c r="F85" s="65">
        <v>0.07</v>
      </c>
      <c r="G85" s="65">
        <v>0.07</v>
      </c>
      <c r="H85" s="65">
        <v>0.07</v>
      </c>
      <c r="I85" s="65">
        <v>0.07</v>
      </c>
      <c r="J85" s="65">
        <v>0.07</v>
      </c>
      <c r="K85" s="65">
        <v>0.07</v>
      </c>
      <c r="L85" s="65">
        <v>0.07</v>
      </c>
      <c r="M85" s="65">
        <v>0.07</v>
      </c>
      <c r="N85" s="65">
        <v>0.03</v>
      </c>
      <c r="O85" s="65">
        <v>0.03</v>
      </c>
      <c r="P85" s="65">
        <v>0.03</v>
      </c>
      <c r="Q85" s="65">
        <v>0.03</v>
      </c>
      <c r="R85" s="65">
        <v>0.03</v>
      </c>
      <c r="S85" s="65">
        <v>0.03</v>
      </c>
      <c r="T85" s="65">
        <v>0.03</v>
      </c>
      <c r="U85" s="65">
        <v>0.02</v>
      </c>
      <c r="V85" s="65">
        <v>0.02</v>
      </c>
      <c r="W85" s="65">
        <v>0.02</v>
      </c>
      <c r="X85" s="65">
        <v>0.02</v>
      </c>
      <c r="Y85" s="65">
        <v>0.02</v>
      </c>
      <c r="Z85" s="65">
        <v>0.02</v>
      </c>
      <c r="AA85" s="65">
        <v>0.02</v>
      </c>
      <c r="AB85" s="65">
        <v>0.02</v>
      </c>
      <c r="AC85" s="58"/>
      <c r="AD85" s="58"/>
      <c r="AE85" s="58"/>
      <c r="AF85" s="52"/>
      <c r="AG85" s="52"/>
      <c r="AH85" s="52"/>
      <c r="AI85" s="52"/>
      <c r="AJ85" s="52"/>
      <c r="BR85" s="52">
        <f t="shared" ref="BR85:DJ85" si="69">ROUND($BR27*E85,0)</f>
        <v>10</v>
      </c>
      <c r="BS85" s="52">
        <f t="shared" si="69"/>
        <v>10</v>
      </c>
      <c r="BT85" s="52">
        <f t="shared" si="69"/>
        <v>10</v>
      </c>
      <c r="BU85" s="52">
        <f t="shared" si="69"/>
        <v>10</v>
      </c>
      <c r="BV85" s="52">
        <f t="shared" si="69"/>
        <v>10</v>
      </c>
      <c r="BW85" s="52">
        <f t="shared" si="69"/>
        <v>10</v>
      </c>
      <c r="BX85" s="52">
        <f t="shared" si="69"/>
        <v>10</v>
      </c>
      <c r="BY85" s="52">
        <f t="shared" si="69"/>
        <v>10</v>
      </c>
      <c r="BZ85" s="52">
        <f t="shared" si="69"/>
        <v>10</v>
      </c>
      <c r="CA85" s="52">
        <f t="shared" si="69"/>
        <v>4</v>
      </c>
      <c r="CB85" s="52">
        <f t="shared" si="69"/>
        <v>4</v>
      </c>
      <c r="CC85" s="52">
        <f t="shared" si="69"/>
        <v>4</v>
      </c>
      <c r="CD85" s="52">
        <f t="shared" si="69"/>
        <v>4</v>
      </c>
      <c r="CE85" s="52">
        <f t="shared" si="69"/>
        <v>4</v>
      </c>
      <c r="CF85" s="52">
        <f t="shared" si="69"/>
        <v>4</v>
      </c>
      <c r="CG85" s="52">
        <f t="shared" si="69"/>
        <v>4</v>
      </c>
      <c r="CH85" s="52">
        <f t="shared" si="69"/>
        <v>3</v>
      </c>
      <c r="CI85" s="52">
        <f t="shared" si="69"/>
        <v>3</v>
      </c>
      <c r="CJ85" s="52">
        <f t="shared" si="69"/>
        <v>3</v>
      </c>
      <c r="CK85" s="52">
        <f t="shared" si="69"/>
        <v>3</v>
      </c>
      <c r="CL85" s="52">
        <f t="shared" si="69"/>
        <v>3</v>
      </c>
      <c r="CM85" s="52">
        <f t="shared" si="69"/>
        <v>3</v>
      </c>
      <c r="CN85" s="52">
        <f t="shared" si="69"/>
        <v>3</v>
      </c>
      <c r="CO85" s="52">
        <f t="shared" si="69"/>
        <v>3</v>
      </c>
      <c r="CP85" s="52">
        <f t="shared" si="69"/>
        <v>0</v>
      </c>
      <c r="CQ85" s="52">
        <f t="shared" si="69"/>
        <v>0</v>
      </c>
      <c r="CR85" s="52">
        <f t="shared" si="69"/>
        <v>0</v>
      </c>
      <c r="CS85" s="52">
        <f t="shared" si="69"/>
        <v>0</v>
      </c>
      <c r="CT85" s="52">
        <f t="shared" si="69"/>
        <v>0</v>
      </c>
      <c r="CU85" s="52">
        <f t="shared" si="69"/>
        <v>0</v>
      </c>
      <c r="CV85" s="52">
        <f t="shared" si="69"/>
        <v>0</v>
      </c>
      <c r="CW85" s="52">
        <f t="shared" si="69"/>
        <v>0</v>
      </c>
      <c r="CX85" s="52">
        <f t="shared" si="69"/>
        <v>0</v>
      </c>
      <c r="CY85" s="52">
        <f t="shared" si="69"/>
        <v>0</v>
      </c>
      <c r="CZ85" s="52">
        <f t="shared" si="69"/>
        <v>0</v>
      </c>
      <c r="DA85" s="52">
        <f t="shared" si="69"/>
        <v>0</v>
      </c>
      <c r="DB85" s="52">
        <f t="shared" si="69"/>
        <v>0</v>
      </c>
      <c r="DC85" s="52">
        <f t="shared" si="69"/>
        <v>0</v>
      </c>
      <c r="DD85" s="52">
        <f t="shared" si="69"/>
        <v>0</v>
      </c>
      <c r="DE85" s="52">
        <f t="shared" si="69"/>
        <v>0</v>
      </c>
      <c r="DF85" s="52">
        <f t="shared" si="69"/>
        <v>0</v>
      </c>
      <c r="DG85" s="52">
        <f t="shared" si="69"/>
        <v>0</v>
      </c>
      <c r="DH85" s="52">
        <f t="shared" si="69"/>
        <v>0</v>
      </c>
      <c r="DI85" s="52">
        <f t="shared" si="69"/>
        <v>0</v>
      </c>
      <c r="DJ85" s="52">
        <f t="shared" si="69"/>
        <v>0</v>
      </c>
    </row>
    <row r="86" ht="15.75" customHeight="1">
      <c r="B86" s="52" t="s">
        <v>1792</v>
      </c>
      <c r="C86" s="63">
        <v>8.0</v>
      </c>
      <c r="D86" s="52" t="s">
        <v>1785</v>
      </c>
      <c r="E86" s="65">
        <v>0.02</v>
      </c>
      <c r="F86" s="65">
        <v>0.02</v>
      </c>
      <c r="G86" s="65">
        <v>0.02</v>
      </c>
      <c r="H86" s="65">
        <v>0.02</v>
      </c>
      <c r="I86" s="65">
        <v>0.08</v>
      </c>
      <c r="J86" s="65">
        <v>0.08</v>
      </c>
      <c r="K86" s="65">
        <v>0.07</v>
      </c>
      <c r="L86" s="65">
        <v>0.07</v>
      </c>
      <c r="M86" s="65">
        <v>0.06</v>
      </c>
      <c r="N86" s="65">
        <v>0.06</v>
      </c>
      <c r="O86" s="65">
        <v>0.05</v>
      </c>
      <c r="P86" s="65">
        <v>0.05</v>
      </c>
      <c r="Q86" s="65">
        <v>0.05</v>
      </c>
      <c r="R86" s="65">
        <v>0.04</v>
      </c>
      <c r="S86" s="65">
        <v>0.04</v>
      </c>
      <c r="T86" s="65">
        <v>0.04</v>
      </c>
      <c r="U86" s="65">
        <v>0.04</v>
      </c>
      <c r="V86" s="65">
        <v>0.03</v>
      </c>
      <c r="W86" s="65">
        <v>0.03</v>
      </c>
      <c r="X86" s="65">
        <v>0.03</v>
      </c>
      <c r="Y86" s="65">
        <v>0.03</v>
      </c>
      <c r="Z86" s="65">
        <v>0.03</v>
      </c>
      <c r="AA86" s="65">
        <v>0.02</v>
      </c>
      <c r="AB86" s="65">
        <v>0.02</v>
      </c>
      <c r="AC86" s="58"/>
      <c r="AD86" s="58"/>
      <c r="AE86" s="58"/>
      <c r="AF86" s="58"/>
      <c r="AG86" s="52"/>
      <c r="AH86" s="52"/>
      <c r="AI86" s="52"/>
      <c r="AJ86" s="52"/>
      <c r="BR86" s="52">
        <f t="shared" ref="BR86:DJ86" si="70">ROUND($BR28*E86,0)</f>
        <v>0</v>
      </c>
      <c r="BS86" s="52">
        <f t="shared" si="70"/>
        <v>0</v>
      </c>
      <c r="BT86" s="52">
        <f t="shared" si="70"/>
        <v>0</v>
      </c>
      <c r="BU86" s="52">
        <f t="shared" si="70"/>
        <v>0</v>
      </c>
      <c r="BV86" s="52">
        <f t="shared" si="70"/>
        <v>1</v>
      </c>
      <c r="BW86" s="52">
        <f t="shared" si="70"/>
        <v>1</v>
      </c>
      <c r="BX86" s="52">
        <f t="shared" si="70"/>
        <v>1</v>
      </c>
      <c r="BY86" s="52">
        <f t="shared" si="70"/>
        <v>1</v>
      </c>
      <c r="BZ86" s="52">
        <f t="shared" si="70"/>
        <v>1</v>
      </c>
      <c r="CA86" s="52">
        <f t="shared" si="70"/>
        <v>1</v>
      </c>
      <c r="CB86" s="52">
        <f t="shared" si="70"/>
        <v>1</v>
      </c>
      <c r="CC86" s="52">
        <f t="shared" si="70"/>
        <v>1</v>
      </c>
      <c r="CD86" s="52">
        <f t="shared" si="70"/>
        <v>1</v>
      </c>
      <c r="CE86" s="52">
        <f t="shared" si="70"/>
        <v>1</v>
      </c>
      <c r="CF86" s="52">
        <f t="shared" si="70"/>
        <v>1</v>
      </c>
      <c r="CG86" s="52">
        <f t="shared" si="70"/>
        <v>1</v>
      </c>
      <c r="CH86" s="52">
        <f t="shared" si="70"/>
        <v>1</v>
      </c>
      <c r="CI86" s="52">
        <f t="shared" si="70"/>
        <v>0</v>
      </c>
      <c r="CJ86" s="52">
        <f t="shared" si="70"/>
        <v>0</v>
      </c>
      <c r="CK86" s="52">
        <f t="shared" si="70"/>
        <v>0</v>
      </c>
      <c r="CL86" s="52">
        <f t="shared" si="70"/>
        <v>0</v>
      </c>
      <c r="CM86" s="52">
        <f t="shared" si="70"/>
        <v>0</v>
      </c>
      <c r="CN86" s="52">
        <f t="shared" si="70"/>
        <v>0</v>
      </c>
      <c r="CO86" s="52">
        <f t="shared" si="70"/>
        <v>0</v>
      </c>
      <c r="CP86" s="52">
        <f t="shared" si="70"/>
        <v>0</v>
      </c>
      <c r="CQ86" s="52">
        <f t="shared" si="70"/>
        <v>0</v>
      </c>
      <c r="CR86" s="52">
        <f t="shared" si="70"/>
        <v>0</v>
      </c>
      <c r="CS86" s="52">
        <f t="shared" si="70"/>
        <v>0</v>
      </c>
      <c r="CT86" s="52">
        <f t="shared" si="70"/>
        <v>0</v>
      </c>
      <c r="CU86" s="52">
        <f t="shared" si="70"/>
        <v>0</v>
      </c>
      <c r="CV86" s="52">
        <f t="shared" si="70"/>
        <v>0</v>
      </c>
      <c r="CW86" s="52">
        <f t="shared" si="70"/>
        <v>0</v>
      </c>
      <c r="CX86" s="52">
        <f t="shared" si="70"/>
        <v>0</v>
      </c>
      <c r="CY86" s="52">
        <f t="shared" si="70"/>
        <v>0</v>
      </c>
      <c r="CZ86" s="52">
        <f t="shared" si="70"/>
        <v>0</v>
      </c>
      <c r="DA86" s="52">
        <f t="shared" si="70"/>
        <v>0</v>
      </c>
      <c r="DB86" s="52">
        <f t="shared" si="70"/>
        <v>0</v>
      </c>
      <c r="DC86" s="52">
        <f t="shared" si="70"/>
        <v>0</v>
      </c>
      <c r="DD86" s="52">
        <f t="shared" si="70"/>
        <v>0</v>
      </c>
      <c r="DE86" s="52">
        <f t="shared" si="70"/>
        <v>0</v>
      </c>
      <c r="DF86" s="52">
        <f t="shared" si="70"/>
        <v>0</v>
      </c>
      <c r="DG86" s="52">
        <f t="shared" si="70"/>
        <v>0</v>
      </c>
      <c r="DH86" s="52">
        <f t="shared" si="70"/>
        <v>0</v>
      </c>
      <c r="DI86" s="52">
        <f t="shared" si="70"/>
        <v>0</v>
      </c>
      <c r="DJ86" s="52">
        <f t="shared" si="70"/>
        <v>0</v>
      </c>
    </row>
    <row r="87" ht="15.75" customHeight="1">
      <c r="B87" s="52" t="s">
        <v>1792</v>
      </c>
      <c r="C87" s="63">
        <v>8.0</v>
      </c>
      <c r="D87" s="52" t="s">
        <v>1786</v>
      </c>
      <c r="E87" s="58"/>
      <c r="F87" s="58"/>
      <c r="G87" s="58"/>
      <c r="H87" s="65">
        <v>0.08</v>
      </c>
      <c r="I87" s="65">
        <v>0.08</v>
      </c>
      <c r="J87" s="65">
        <v>0.07</v>
      </c>
      <c r="K87" s="65">
        <v>0.07</v>
      </c>
      <c r="L87" s="65">
        <v>0.06</v>
      </c>
      <c r="M87" s="65">
        <v>0.06</v>
      </c>
      <c r="N87" s="65">
        <v>0.05</v>
      </c>
      <c r="O87" s="65">
        <v>0.05</v>
      </c>
      <c r="P87" s="65">
        <v>0.05</v>
      </c>
      <c r="Q87" s="65">
        <v>0.04</v>
      </c>
      <c r="R87" s="65">
        <v>0.04</v>
      </c>
      <c r="S87" s="65">
        <v>0.04</v>
      </c>
      <c r="T87" s="65">
        <v>0.04</v>
      </c>
      <c r="U87" s="65">
        <v>0.03</v>
      </c>
      <c r="V87" s="65">
        <v>0.03</v>
      </c>
      <c r="W87" s="65">
        <v>0.03</v>
      </c>
      <c r="X87" s="65">
        <v>0.03</v>
      </c>
      <c r="Y87" s="65">
        <v>0.03</v>
      </c>
      <c r="Z87" s="65">
        <v>0.02</v>
      </c>
      <c r="AA87" s="65">
        <v>0.02</v>
      </c>
      <c r="AB87" s="65">
        <v>0.03</v>
      </c>
      <c r="AC87" s="65">
        <v>0.03</v>
      </c>
      <c r="AD87" s="65">
        <v>0.02</v>
      </c>
      <c r="AE87" s="58"/>
      <c r="AF87" s="52"/>
      <c r="AG87" s="52"/>
      <c r="AH87" s="52"/>
      <c r="AI87" s="52"/>
      <c r="AJ87" s="52"/>
      <c r="BR87" s="52">
        <f t="shared" ref="BR87:DJ87" si="71">ROUND($BR29*E87,0)</f>
        <v>0</v>
      </c>
      <c r="BS87" s="52">
        <f t="shared" si="71"/>
        <v>0</v>
      </c>
      <c r="BT87" s="52">
        <f t="shared" si="71"/>
        <v>0</v>
      </c>
      <c r="BU87" s="52">
        <f t="shared" si="71"/>
        <v>2</v>
      </c>
      <c r="BV87" s="52">
        <f t="shared" si="71"/>
        <v>2</v>
      </c>
      <c r="BW87" s="52">
        <f t="shared" si="71"/>
        <v>2</v>
      </c>
      <c r="BX87" s="52">
        <f t="shared" si="71"/>
        <v>2</v>
      </c>
      <c r="BY87" s="52">
        <f t="shared" si="71"/>
        <v>2</v>
      </c>
      <c r="BZ87" s="52">
        <f t="shared" si="71"/>
        <v>2</v>
      </c>
      <c r="CA87" s="52">
        <f t="shared" si="71"/>
        <v>1</v>
      </c>
      <c r="CB87" s="52">
        <f t="shared" si="71"/>
        <v>1</v>
      </c>
      <c r="CC87" s="52">
        <f t="shared" si="71"/>
        <v>1</v>
      </c>
      <c r="CD87" s="52">
        <f t="shared" si="71"/>
        <v>1</v>
      </c>
      <c r="CE87" s="52">
        <f t="shared" si="71"/>
        <v>1</v>
      </c>
      <c r="CF87" s="52">
        <f t="shared" si="71"/>
        <v>1</v>
      </c>
      <c r="CG87" s="52">
        <f t="shared" si="71"/>
        <v>1</v>
      </c>
      <c r="CH87" s="52">
        <f t="shared" si="71"/>
        <v>1</v>
      </c>
      <c r="CI87" s="52">
        <f t="shared" si="71"/>
        <v>1</v>
      </c>
      <c r="CJ87" s="52">
        <f t="shared" si="71"/>
        <v>1</v>
      </c>
      <c r="CK87" s="52">
        <f t="shared" si="71"/>
        <v>1</v>
      </c>
      <c r="CL87" s="52">
        <f t="shared" si="71"/>
        <v>1</v>
      </c>
      <c r="CM87" s="52">
        <f t="shared" si="71"/>
        <v>1</v>
      </c>
      <c r="CN87" s="52">
        <f t="shared" si="71"/>
        <v>1</v>
      </c>
      <c r="CO87" s="52">
        <f t="shared" si="71"/>
        <v>1</v>
      </c>
      <c r="CP87" s="52">
        <f t="shared" si="71"/>
        <v>1</v>
      </c>
      <c r="CQ87" s="52">
        <f t="shared" si="71"/>
        <v>1</v>
      </c>
      <c r="CR87" s="52">
        <f t="shared" si="71"/>
        <v>0</v>
      </c>
      <c r="CS87" s="52">
        <f t="shared" si="71"/>
        <v>0</v>
      </c>
      <c r="CT87" s="52">
        <f t="shared" si="71"/>
        <v>0</v>
      </c>
      <c r="CU87" s="52">
        <f t="shared" si="71"/>
        <v>0</v>
      </c>
      <c r="CV87" s="52">
        <f t="shared" si="71"/>
        <v>0</v>
      </c>
      <c r="CW87" s="52">
        <f t="shared" si="71"/>
        <v>0</v>
      </c>
      <c r="CX87" s="52">
        <f t="shared" si="71"/>
        <v>0</v>
      </c>
      <c r="CY87" s="52">
        <f t="shared" si="71"/>
        <v>0</v>
      </c>
      <c r="CZ87" s="52">
        <f t="shared" si="71"/>
        <v>0</v>
      </c>
      <c r="DA87" s="52">
        <f t="shared" si="71"/>
        <v>0</v>
      </c>
      <c r="DB87" s="52">
        <f t="shared" si="71"/>
        <v>0</v>
      </c>
      <c r="DC87" s="52">
        <f t="shared" si="71"/>
        <v>0</v>
      </c>
      <c r="DD87" s="52">
        <f t="shared" si="71"/>
        <v>0</v>
      </c>
      <c r="DE87" s="52">
        <f t="shared" si="71"/>
        <v>0</v>
      </c>
      <c r="DF87" s="52">
        <f t="shared" si="71"/>
        <v>0</v>
      </c>
      <c r="DG87" s="52">
        <f t="shared" si="71"/>
        <v>0</v>
      </c>
      <c r="DH87" s="52">
        <f t="shared" si="71"/>
        <v>0</v>
      </c>
      <c r="DI87" s="52">
        <f t="shared" si="71"/>
        <v>0</v>
      </c>
      <c r="DJ87" s="52">
        <f t="shared" si="71"/>
        <v>0</v>
      </c>
    </row>
    <row r="88" ht="15.75" customHeight="1">
      <c r="B88" s="52" t="s">
        <v>1792</v>
      </c>
      <c r="C88" s="63">
        <v>8.0</v>
      </c>
      <c r="D88" s="52" t="s">
        <v>1787</v>
      </c>
      <c r="E88" s="58"/>
      <c r="F88" s="58"/>
      <c r="G88" s="58"/>
      <c r="H88" s="58"/>
      <c r="I88" s="58"/>
      <c r="J88" s="65">
        <v>0.08</v>
      </c>
      <c r="K88" s="65">
        <v>0.08</v>
      </c>
      <c r="L88" s="65">
        <v>0.07</v>
      </c>
      <c r="M88" s="65">
        <v>0.07</v>
      </c>
      <c r="N88" s="65">
        <v>0.06</v>
      </c>
      <c r="O88" s="65">
        <v>0.06</v>
      </c>
      <c r="P88" s="65">
        <v>0.05</v>
      </c>
      <c r="Q88" s="65">
        <v>0.05</v>
      </c>
      <c r="R88" s="65">
        <v>0.05</v>
      </c>
      <c r="S88" s="65">
        <v>0.04</v>
      </c>
      <c r="T88" s="65">
        <v>0.04</v>
      </c>
      <c r="U88" s="65">
        <v>0.04</v>
      </c>
      <c r="V88" s="65">
        <v>0.04</v>
      </c>
      <c r="W88" s="65">
        <v>0.03</v>
      </c>
      <c r="X88" s="65">
        <v>0.03</v>
      </c>
      <c r="Y88" s="65">
        <v>0.03</v>
      </c>
      <c r="Z88" s="65">
        <v>0.03</v>
      </c>
      <c r="AA88" s="65">
        <v>0.03</v>
      </c>
      <c r="AB88" s="65">
        <v>0.02</v>
      </c>
      <c r="AC88" s="65">
        <v>0.02</v>
      </c>
      <c r="AD88" s="65">
        <v>0.03</v>
      </c>
      <c r="AE88" s="65">
        <v>0.03</v>
      </c>
      <c r="AF88" s="65">
        <v>0.02</v>
      </c>
      <c r="AG88" s="52"/>
      <c r="AH88" s="52"/>
      <c r="AI88" s="52"/>
      <c r="AJ88" s="52"/>
      <c r="BR88" s="52">
        <f t="shared" ref="BR88:DJ88" si="72">ROUND($BR30*E88,0)</f>
        <v>0</v>
      </c>
      <c r="BS88" s="52">
        <f t="shared" si="72"/>
        <v>0</v>
      </c>
      <c r="BT88" s="52">
        <f t="shared" si="72"/>
        <v>0</v>
      </c>
      <c r="BU88" s="52">
        <f t="shared" si="72"/>
        <v>0</v>
      </c>
      <c r="BV88" s="52">
        <f t="shared" si="72"/>
        <v>0</v>
      </c>
      <c r="BW88" s="52">
        <f t="shared" si="72"/>
        <v>0</v>
      </c>
      <c r="BX88" s="52">
        <f t="shared" si="72"/>
        <v>0</v>
      </c>
      <c r="BY88" s="52">
        <f t="shared" si="72"/>
        <v>0</v>
      </c>
      <c r="BZ88" s="52">
        <f t="shared" si="72"/>
        <v>0</v>
      </c>
      <c r="CA88" s="52">
        <f t="shared" si="72"/>
        <v>0</v>
      </c>
      <c r="CB88" s="52">
        <f t="shared" si="72"/>
        <v>0</v>
      </c>
      <c r="CC88" s="52">
        <f t="shared" si="72"/>
        <v>0</v>
      </c>
      <c r="CD88" s="52">
        <f t="shared" si="72"/>
        <v>0</v>
      </c>
      <c r="CE88" s="52">
        <f t="shared" si="72"/>
        <v>0</v>
      </c>
      <c r="CF88" s="52">
        <f t="shared" si="72"/>
        <v>0</v>
      </c>
      <c r="CG88" s="52">
        <f t="shared" si="72"/>
        <v>0</v>
      </c>
      <c r="CH88" s="52">
        <f t="shared" si="72"/>
        <v>0</v>
      </c>
      <c r="CI88" s="52">
        <f t="shared" si="72"/>
        <v>0</v>
      </c>
      <c r="CJ88" s="52">
        <f t="shared" si="72"/>
        <v>0</v>
      </c>
      <c r="CK88" s="52">
        <f t="shared" si="72"/>
        <v>0</v>
      </c>
      <c r="CL88" s="52">
        <f t="shared" si="72"/>
        <v>0</v>
      </c>
      <c r="CM88" s="52">
        <f t="shared" si="72"/>
        <v>0</v>
      </c>
      <c r="CN88" s="52">
        <f t="shared" si="72"/>
        <v>0</v>
      </c>
      <c r="CO88" s="52">
        <f t="shared" si="72"/>
        <v>0</v>
      </c>
      <c r="CP88" s="52">
        <f t="shared" si="72"/>
        <v>0</v>
      </c>
      <c r="CQ88" s="52">
        <f t="shared" si="72"/>
        <v>0</v>
      </c>
      <c r="CR88" s="52">
        <f t="shared" si="72"/>
        <v>0</v>
      </c>
      <c r="CS88" s="52">
        <f t="shared" si="72"/>
        <v>0</v>
      </c>
      <c r="CT88" s="52">
        <f t="shared" si="72"/>
        <v>0</v>
      </c>
      <c r="CU88" s="52">
        <f t="shared" si="72"/>
        <v>0</v>
      </c>
      <c r="CV88" s="52">
        <f t="shared" si="72"/>
        <v>0</v>
      </c>
      <c r="CW88" s="52">
        <f t="shared" si="72"/>
        <v>0</v>
      </c>
      <c r="CX88" s="52">
        <f t="shared" si="72"/>
        <v>0</v>
      </c>
      <c r="CY88" s="52">
        <f t="shared" si="72"/>
        <v>0</v>
      </c>
      <c r="CZ88" s="52">
        <f t="shared" si="72"/>
        <v>0</v>
      </c>
      <c r="DA88" s="52">
        <f t="shared" si="72"/>
        <v>0</v>
      </c>
      <c r="DB88" s="52">
        <f t="shared" si="72"/>
        <v>0</v>
      </c>
      <c r="DC88" s="52">
        <f t="shared" si="72"/>
        <v>0</v>
      </c>
      <c r="DD88" s="52">
        <f t="shared" si="72"/>
        <v>0</v>
      </c>
      <c r="DE88" s="52">
        <f t="shared" si="72"/>
        <v>0</v>
      </c>
      <c r="DF88" s="52">
        <f t="shared" si="72"/>
        <v>0</v>
      </c>
      <c r="DG88" s="52">
        <f t="shared" si="72"/>
        <v>0</v>
      </c>
      <c r="DH88" s="52">
        <f t="shared" si="72"/>
        <v>0</v>
      </c>
      <c r="DI88" s="52">
        <f t="shared" si="72"/>
        <v>0</v>
      </c>
      <c r="DJ88" s="52">
        <f t="shared" si="72"/>
        <v>0</v>
      </c>
    </row>
    <row r="89" ht="15.75" customHeight="1">
      <c r="B89" s="52" t="s">
        <v>1792</v>
      </c>
      <c r="C89" s="63">
        <v>8.0</v>
      </c>
      <c r="D89" s="52" t="s">
        <v>1788</v>
      </c>
      <c r="E89" s="58"/>
      <c r="F89" s="58"/>
      <c r="G89" s="58"/>
      <c r="H89" s="58"/>
      <c r="I89" s="58"/>
      <c r="J89" s="58"/>
      <c r="K89" s="65">
        <v>0.08</v>
      </c>
      <c r="L89" s="65">
        <v>0.08</v>
      </c>
      <c r="M89" s="65">
        <v>0.07</v>
      </c>
      <c r="N89" s="65">
        <v>0.07</v>
      </c>
      <c r="O89" s="65">
        <v>0.06</v>
      </c>
      <c r="P89" s="65">
        <v>0.06</v>
      </c>
      <c r="Q89" s="65">
        <v>0.05</v>
      </c>
      <c r="R89" s="65">
        <v>0.05</v>
      </c>
      <c r="S89" s="65">
        <v>0.05</v>
      </c>
      <c r="T89" s="65">
        <v>0.04</v>
      </c>
      <c r="U89" s="65">
        <v>0.04</v>
      </c>
      <c r="V89" s="65">
        <v>0.04</v>
      </c>
      <c r="W89" s="65">
        <v>0.04</v>
      </c>
      <c r="X89" s="65">
        <v>0.03</v>
      </c>
      <c r="Y89" s="65">
        <v>0.03</v>
      </c>
      <c r="Z89" s="65">
        <v>0.03</v>
      </c>
      <c r="AA89" s="65">
        <v>0.03</v>
      </c>
      <c r="AB89" s="65">
        <v>0.03</v>
      </c>
      <c r="AC89" s="65">
        <v>0.02</v>
      </c>
      <c r="AD89" s="65">
        <v>0.02</v>
      </c>
      <c r="AE89" s="65">
        <v>0.03</v>
      </c>
      <c r="AF89" s="65">
        <v>0.03</v>
      </c>
      <c r="AG89" s="65">
        <v>0.02</v>
      </c>
      <c r="AH89" s="52"/>
      <c r="AI89" s="52"/>
      <c r="AJ89" s="52"/>
      <c r="BR89" s="52">
        <f t="shared" ref="BR89:DJ89" si="73">ROUND($BR31*E89,0)</f>
        <v>0</v>
      </c>
      <c r="BS89" s="52">
        <f t="shared" si="73"/>
        <v>0</v>
      </c>
      <c r="BT89" s="52">
        <f t="shared" si="73"/>
        <v>0</v>
      </c>
      <c r="BU89" s="52">
        <f t="shared" si="73"/>
        <v>0</v>
      </c>
      <c r="BV89" s="52">
        <f t="shared" si="73"/>
        <v>0</v>
      </c>
      <c r="BW89" s="52">
        <f t="shared" si="73"/>
        <v>0</v>
      </c>
      <c r="BX89" s="52">
        <f t="shared" si="73"/>
        <v>0</v>
      </c>
      <c r="BY89" s="52">
        <f t="shared" si="73"/>
        <v>0</v>
      </c>
      <c r="BZ89" s="52">
        <f t="shared" si="73"/>
        <v>0</v>
      </c>
      <c r="CA89" s="52">
        <f t="shared" si="73"/>
        <v>0</v>
      </c>
      <c r="CB89" s="52">
        <f t="shared" si="73"/>
        <v>0</v>
      </c>
      <c r="CC89" s="52">
        <f t="shared" si="73"/>
        <v>0</v>
      </c>
      <c r="CD89" s="52">
        <f t="shared" si="73"/>
        <v>0</v>
      </c>
      <c r="CE89" s="52">
        <f t="shared" si="73"/>
        <v>0</v>
      </c>
      <c r="CF89" s="52">
        <f t="shared" si="73"/>
        <v>0</v>
      </c>
      <c r="CG89" s="52">
        <f t="shared" si="73"/>
        <v>0</v>
      </c>
      <c r="CH89" s="52">
        <f t="shared" si="73"/>
        <v>0</v>
      </c>
      <c r="CI89" s="52">
        <f t="shared" si="73"/>
        <v>0</v>
      </c>
      <c r="CJ89" s="52">
        <f t="shared" si="73"/>
        <v>0</v>
      </c>
      <c r="CK89" s="52">
        <f t="shared" si="73"/>
        <v>0</v>
      </c>
      <c r="CL89" s="52">
        <f t="shared" si="73"/>
        <v>0</v>
      </c>
      <c r="CM89" s="52">
        <f t="shared" si="73"/>
        <v>0</v>
      </c>
      <c r="CN89" s="52">
        <f t="shared" si="73"/>
        <v>0</v>
      </c>
      <c r="CO89" s="52">
        <f t="shared" si="73"/>
        <v>0</v>
      </c>
      <c r="CP89" s="52">
        <f t="shared" si="73"/>
        <v>0</v>
      </c>
      <c r="CQ89" s="52">
        <f t="shared" si="73"/>
        <v>0</v>
      </c>
      <c r="CR89" s="52">
        <f t="shared" si="73"/>
        <v>0</v>
      </c>
      <c r="CS89" s="52">
        <f t="shared" si="73"/>
        <v>0</v>
      </c>
      <c r="CT89" s="52">
        <f t="shared" si="73"/>
        <v>0</v>
      </c>
      <c r="CU89" s="52">
        <f t="shared" si="73"/>
        <v>0</v>
      </c>
      <c r="CV89" s="52">
        <f t="shared" si="73"/>
        <v>0</v>
      </c>
      <c r="CW89" s="52">
        <f t="shared" si="73"/>
        <v>0</v>
      </c>
      <c r="CX89" s="52">
        <f t="shared" si="73"/>
        <v>0</v>
      </c>
      <c r="CY89" s="52">
        <f t="shared" si="73"/>
        <v>0</v>
      </c>
      <c r="CZ89" s="52">
        <f t="shared" si="73"/>
        <v>0</v>
      </c>
      <c r="DA89" s="52">
        <f t="shared" si="73"/>
        <v>0</v>
      </c>
      <c r="DB89" s="52">
        <f t="shared" si="73"/>
        <v>0</v>
      </c>
      <c r="DC89" s="52">
        <f t="shared" si="73"/>
        <v>0</v>
      </c>
      <c r="DD89" s="52">
        <f t="shared" si="73"/>
        <v>0</v>
      </c>
      <c r="DE89" s="52">
        <f t="shared" si="73"/>
        <v>0</v>
      </c>
      <c r="DF89" s="52">
        <f t="shared" si="73"/>
        <v>0</v>
      </c>
      <c r="DG89" s="52">
        <f t="shared" si="73"/>
        <v>0</v>
      </c>
      <c r="DH89" s="52">
        <f t="shared" si="73"/>
        <v>0</v>
      </c>
      <c r="DI89" s="52">
        <f t="shared" si="73"/>
        <v>0</v>
      </c>
      <c r="DJ89" s="52">
        <f t="shared" si="73"/>
        <v>0</v>
      </c>
    </row>
    <row r="90" ht="15.75" customHeight="1">
      <c r="B90" s="52" t="s">
        <v>1792</v>
      </c>
      <c r="C90" s="63">
        <v>8.0</v>
      </c>
      <c r="D90" s="52" t="s">
        <v>1789</v>
      </c>
      <c r="E90" s="58"/>
      <c r="F90" s="58"/>
      <c r="G90" s="58"/>
      <c r="H90" s="58"/>
      <c r="I90" s="58"/>
      <c r="J90" s="58"/>
      <c r="K90" s="58"/>
      <c r="L90" s="65">
        <v>0.08</v>
      </c>
      <c r="M90" s="65">
        <v>0.08</v>
      </c>
      <c r="N90" s="65">
        <v>0.07</v>
      </c>
      <c r="O90" s="65">
        <v>0.07</v>
      </c>
      <c r="P90" s="65">
        <v>0.06</v>
      </c>
      <c r="Q90" s="65">
        <v>0.06</v>
      </c>
      <c r="R90" s="65">
        <v>0.05</v>
      </c>
      <c r="S90" s="65">
        <v>0.05</v>
      </c>
      <c r="T90" s="65">
        <v>0.05</v>
      </c>
      <c r="U90" s="65">
        <v>0.04</v>
      </c>
      <c r="V90" s="65">
        <v>0.04</v>
      </c>
      <c r="W90" s="65">
        <v>0.04</v>
      </c>
      <c r="X90" s="65">
        <v>0.04</v>
      </c>
      <c r="Y90" s="65">
        <v>0.03</v>
      </c>
      <c r="Z90" s="65">
        <v>0.03</v>
      </c>
      <c r="AA90" s="65">
        <v>0.03</v>
      </c>
      <c r="AB90" s="65">
        <v>0.03</v>
      </c>
      <c r="AC90" s="65">
        <v>0.03</v>
      </c>
      <c r="AD90" s="65">
        <v>0.02</v>
      </c>
      <c r="AE90" s="65">
        <v>0.02</v>
      </c>
      <c r="AF90" s="65">
        <v>0.03</v>
      </c>
      <c r="AG90" s="65">
        <v>0.03</v>
      </c>
      <c r="AH90" s="65">
        <v>0.02</v>
      </c>
      <c r="AI90" s="52"/>
      <c r="AJ90" s="52"/>
      <c r="BR90" s="52">
        <f t="shared" ref="BR90:DJ90" si="74">ROUND($BR32*E90,0)</f>
        <v>0</v>
      </c>
      <c r="BS90" s="52">
        <f t="shared" si="74"/>
        <v>0</v>
      </c>
      <c r="BT90" s="52">
        <f t="shared" si="74"/>
        <v>0</v>
      </c>
      <c r="BU90" s="52">
        <f t="shared" si="74"/>
        <v>0</v>
      </c>
      <c r="BV90" s="52">
        <f t="shared" si="74"/>
        <v>0</v>
      </c>
      <c r="BW90" s="52">
        <f t="shared" si="74"/>
        <v>0</v>
      </c>
      <c r="BX90" s="52">
        <f t="shared" si="74"/>
        <v>0</v>
      </c>
      <c r="BY90" s="52">
        <f t="shared" si="74"/>
        <v>1</v>
      </c>
      <c r="BZ90" s="52">
        <f t="shared" si="74"/>
        <v>1</v>
      </c>
      <c r="CA90" s="52">
        <f t="shared" si="74"/>
        <v>1</v>
      </c>
      <c r="CB90" s="52">
        <f t="shared" si="74"/>
        <v>1</v>
      </c>
      <c r="CC90" s="52">
        <f t="shared" si="74"/>
        <v>1</v>
      </c>
      <c r="CD90" s="52">
        <f t="shared" si="74"/>
        <v>1</v>
      </c>
      <c r="CE90" s="52">
        <f t="shared" si="74"/>
        <v>0</v>
      </c>
      <c r="CF90" s="52">
        <f t="shared" si="74"/>
        <v>0</v>
      </c>
      <c r="CG90" s="52">
        <f t="shared" si="74"/>
        <v>0</v>
      </c>
      <c r="CH90" s="52">
        <f t="shared" si="74"/>
        <v>0</v>
      </c>
      <c r="CI90" s="52">
        <f t="shared" si="74"/>
        <v>0</v>
      </c>
      <c r="CJ90" s="52">
        <f t="shared" si="74"/>
        <v>0</v>
      </c>
      <c r="CK90" s="52">
        <f t="shared" si="74"/>
        <v>0</v>
      </c>
      <c r="CL90" s="52">
        <f t="shared" si="74"/>
        <v>0</v>
      </c>
      <c r="CM90" s="52">
        <f t="shared" si="74"/>
        <v>0</v>
      </c>
      <c r="CN90" s="52">
        <f t="shared" si="74"/>
        <v>0</v>
      </c>
      <c r="CO90" s="52">
        <f t="shared" si="74"/>
        <v>0</v>
      </c>
      <c r="CP90" s="52">
        <f t="shared" si="74"/>
        <v>0</v>
      </c>
      <c r="CQ90" s="52">
        <f t="shared" si="74"/>
        <v>0</v>
      </c>
      <c r="CR90" s="52">
        <f t="shared" si="74"/>
        <v>0</v>
      </c>
      <c r="CS90" s="52">
        <f t="shared" si="74"/>
        <v>0</v>
      </c>
      <c r="CT90" s="52">
        <f t="shared" si="74"/>
        <v>0</v>
      </c>
      <c r="CU90" s="52">
        <f t="shared" si="74"/>
        <v>0</v>
      </c>
      <c r="CV90" s="52">
        <f t="shared" si="74"/>
        <v>0</v>
      </c>
      <c r="CW90" s="52">
        <f t="shared" si="74"/>
        <v>0</v>
      </c>
      <c r="CX90" s="52">
        <f t="shared" si="74"/>
        <v>0</v>
      </c>
      <c r="CY90" s="52">
        <f t="shared" si="74"/>
        <v>0</v>
      </c>
      <c r="CZ90" s="52">
        <f t="shared" si="74"/>
        <v>0</v>
      </c>
      <c r="DA90" s="52">
        <f t="shared" si="74"/>
        <v>0</v>
      </c>
      <c r="DB90" s="52">
        <f t="shared" si="74"/>
        <v>0</v>
      </c>
      <c r="DC90" s="52">
        <f t="shared" si="74"/>
        <v>0</v>
      </c>
      <c r="DD90" s="52">
        <f t="shared" si="74"/>
        <v>0</v>
      </c>
      <c r="DE90" s="52">
        <f t="shared" si="74"/>
        <v>0</v>
      </c>
      <c r="DF90" s="52">
        <f t="shared" si="74"/>
        <v>0</v>
      </c>
      <c r="DG90" s="52">
        <f t="shared" si="74"/>
        <v>0</v>
      </c>
      <c r="DH90" s="52">
        <f t="shared" si="74"/>
        <v>0</v>
      </c>
      <c r="DI90" s="52">
        <f t="shared" si="74"/>
        <v>0</v>
      </c>
      <c r="DJ90" s="52">
        <f t="shared" si="74"/>
        <v>0</v>
      </c>
    </row>
    <row r="91" ht="15.75" customHeight="1">
      <c r="B91" s="52" t="s">
        <v>1792</v>
      </c>
      <c r="C91" s="63">
        <v>8.0</v>
      </c>
      <c r="D91" s="52" t="s">
        <v>1790</v>
      </c>
      <c r="E91" s="58"/>
      <c r="F91" s="58"/>
      <c r="G91" s="58"/>
      <c r="H91" s="58"/>
      <c r="I91" s="58"/>
      <c r="J91" s="58"/>
      <c r="K91" s="58"/>
      <c r="L91" s="58"/>
      <c r="M91" s="58"/>
      <c r="N91" s="65">
        <v>0.08</v>
      </c>
      <c r="O91" s="65">
        <v>0.08</v>
      </c>
      <c r="P91" s="65">
        <v>0.07</v>
      </c>
      <c r="Q91" s="65">
        <v>0.07</v>
      </c>
      <c r="R91" s="65">
        <v>0.06</v>
      </c>
      <c r="S91" s="65">
        <v>0.06</v>
      </c>
      <c r="T91" s="65">
        <v>0.05</v>
      </c>
      <c r="U91" s="65">
        <v>0.05</v>
      </c>
      <c r="V91" s="65">
        <v>0.05</v>
      </c>
      <c r="W91" s="65">
        <v>0.04</v>
      </c>
      <c r="X91" s="65">
        <v>0.04</v>
      </c>
      <c r="Y91" s="65">
        <v>0.04</v>
      </c>
      <c r="Z91" s="65">
        <v>0.04</v>
      </c>
      <c r="AA91" s="65">
        <v>0.03</v>
      </c>
      <c r="AB91" s="65">
        <v>0.03</v>
      </c>
      <c r="AC91" s="65">
        <v>0.03</v>
      </c>
      <c r="AD91" s="65">
        <v>0.03</v>
      </c>
      <c r="AE91" s="65">
        <v>0.03</v>
      </c>
      <c r="AF91" s="65">
        <v>0.02</v>
      </c>
      <c r="AG91" s="65">
        <v>0.02</v>
      </c>
      <c r="AH91" s="65">
        <v>0.03</v>
      </c>
      <c r="AI91" s="65">
        <v>0.03</v>
      </c>
      <c r="AJ91" s="65">
        <v>0.02</v>
      </c>
      <c r="BR91" s="52">
        <f t="shared" ref="BR91:DJ91" si="75">ROUND($BR33*E91,0)</f>
        <v>0</v>
      </c>
      <c r="BS91" s="52">
        <f t="shared" si="75"/>
        <v>0</v>
      </c>
      <c r="BT91" s="52">
        <f t="shared" si="75"/>
        <v>0</v>
      </c>
      <c r="BU91" s="52">
        <f t="shared" si="75"/>
        <v>0</v>
      </c>
      <c r="BV91" s="52">
        <f t="shared" si="75"/>
        <v>0</v>
      </c>
      <c r="BW91" s="52">
        <f t="shared" si="75"/>
        <v>0</v>
      </c>
      <c r="BX91" s="52">
        <f t="shared" si="75"/>
        <v>0</v>
      </c>
      <c r="BY91" s="52">
        <f t="shared" si="75"/>
        <v>0</v>
      </c>
      <c r="BZ91" s="52">
        <f t="shared" si="75"/>
        <v>0</v>
      </c>
      <c r="CA91" s="52">
        <f t="shared" si="75"/>
        <v>1</v>
      </c>
      <c r="CB91" s="52">
        <f t="shared" si="75"/>
        <v>1</v>
      </c>
      <c r="CC91" s="52">
        <f t="shared" si="75"/>
        <v>1</v>
      </c>
      <c r="CD91" s="52">
        <f t="shared" si="75"/>
        <v>1</v>
      </c>
      <c r="CE91" s="52">
        <f t="shared" si="75"/>
        <v>1</v>
      </c>
      <c r="CF91" s="52">
        <f t="shared" si="75"/>
        <v>1</v>
      </c>
      <c r="CG91" s="52">
        <f t="shared" si="75"/>
        <v>1</v>
      </c>
      <c r="CH91" s="52">
        <f t="shared" si="75"/>
        <v>1</v>
      </c>
      <c r="CI91" s="52">
        <f t="shared" si="75"/>
        <v>1</v>
      </c>
      <c r="CJ91" s="52">
        <f t="shared" si="75"/>
        <v>0</v>
      </c>
      <c r="CK91" s="52">
        <f t="shared" si="75"/>
        <v>0</v>
      </c>
      <c r="CL91" s="52">
        <f t="shared" si="75"/>
        <v>0</v>
      </c>
      <c r="CM91" s="52">
        <f t="shared" si="75"/>
        <v>0</v>
      </c>
      <c r="CN91" s="52">
        <f t="shared" si="75"/>
        <v>0</v>
      </c>
      <c r="CO91" s="52">
        <f t="shared" si="75"/>
        <v>0</v>
      </c>
      <c r="CP91" s="52">
        <f t="shared" si="75"/>
        <v>0</v>
      </c>
      <c r="CQ91" s="52">
        <f t="shared" si="75"/>
        <v>0</v>
      </c>
      <c r="CR91" s="52">
        <f t="shared" si="75"/>
        <v>0</v>
      </c>
      <c r="CS91" s="52">
        <f t="shared" si="75"/>
        <v>0</v>
      </c>
      <c r="CT91" s="52">
        <f t="shared" si="75"/>
        <v>0</v>
      </c>
      <c r="CU91" s="52">
        <f t="shared" si="75"/>
        <v>0</v>
      </c>
      <c r="CV91" s="52">
        <f t="shared" si="75"/>
        <v>0</v>
      </c>
      <c r="CW91" s="52">
        <f t="shared" si="75"/>
        <v>0</v>
      </c>
      <c r="CX91" s="52">
        <f t="shared" si="75"/>
        <v>0</v>
      </c>
      <c r="CY91" s="52">
        <f t="shared" si="75"/>
        <v>0</v>
      </c>
      <c r="CZ91" s="52">
        <f t="shared" si="75"/>
        <v>0</v>
      </c>
      <c r="DA91" s="52">
        <f t="shared" si="75"/>
        <v>0</v>
      </c>
      <c r="DB91" s="52">
        <f t="shared" si="75"/>
        <v>0</v>
      </c>
      <c r="DC91" s="52">
        <f t="shared" si="75"/>
        <v>0</v>
      </c>
      <c r="DD91" s="52">
        <f t="shared" si="75"/>
        <v>0</v>
      </c>
      <c r="DE91" s="52">
        <f t="shared" si="75"/>
        <v>0</v>
      </c>
      <c r="DF91" s="52">
        <f t="shared" si="75"/>
        <v>0</v>
      </c>
      <c r="DG91" s="52">
        <f t="shared" si="75"/>
        <v>0</v>
      </c>
      <c r="DH91" s="52">
        <f t="shared" si="75"/>
        <v>0</v>
      </c>
      <c r="DI91" s="52">
        <f t="shared" si="75"/>
        <v>0</v>
      </c>
      <c r="DJ91" s="52">
        <f t="shared" si="75"/>
        <v>0</v>
      </c>
    </row>
    <row r="92" ht="15.75" customHeight="1">
      <c r="B92" s="52" t="s">
        <v>1792</v>
      </c>
      <c r="C92" s="52">
        <v>9.0</v>
      </c>
      <c r="D92" s="52">
        <v>0.0</v>
      </c>
      <c r="E92" s="65">
        <v>0.07</v>
      </c>
      <c r="F92" s="65">
        <v>0.07</v>
      </c>
      <c r="G92" s="65">
        <v>0.07</v>
      </c>
      <c r="H92" s="65">
        <v>0.07</v>
      </c>
      <c r="I92" s="65">
        <v>0.07</v>
      </c>
      <c r="J92" s="65">
        <v>0.07</v>
      </c>
      <c r="K92" s="65">
        <v>0.07</v>
      </c>
      <c r="L92" s="65">
        <v>0.07</v>
      </c>
      <c r="M92" s="65">
        <v>0.07</v>
      </c>
      <c r="N92" s="65">
        <v>0.03</v>
      </c>
      <c r="O92" s="65">
        <v>0.03</v>
      </c>
      <c r="P92" s="65">
        <v>0.03</v>
      </c>
      <c r="Q92" s="65">
        <v>0.03</v>
      </c>
      <c r="R92" s="65">
        <v>0.03</v>
      </c>
      <c r="S92" s="65">
        <v>0.03</v>
      </c>
      <c r="T92" s="65">
        <v>0.03</v>
      </c>
      <c r="U92" s="65">
        <v>0.02</v>
      </c>
      <c r="V92" s="65">
        <v>0.02</v>
      </c>
      <c r="W92" s="65">
        <v>0.02</v>
      </c>
      <c r="X92" s="65">
        <v>0.02</v>
      </c>
      <c r="Y92" s="65">
        <v>0.02</v>
      </c>
      <c r="Z92" s="65">
        <v>0.02</v>
      </c>
      <c r="AA92" s="65">
        <v>0.02</v>
      </c>
      <c r="AB92" s="65">
        <v>0.02</v>
      </c>
      <c r="AC92" s="58"/>
      <c r="AD92" s="58"/>
      <c r="BS92" s="52">
        <f t="shared" ref="BS92:DJ92" si="76">ROUND($BS27*E92,0)</f>
        <v>10</v>
      </c>
      <c r="BT92" s="52">
        <f t="shared" si="76"/>
        <v>10</v>
      </c>
      <c r="BU92" s="52">
        <f t="shared" si="76"/>
        <v>10</v>
      </c>
      <c r="BV92" s="52">
        <f t="shared" si="76"/>
        <v>10</v>
      </c>
      <c r="BW92" s="52">
        <f t="shared" si="76"/>
        <v>10</v>
      </c>
      <c r="BX92" s="52">
        <f t="shared" si="76"/>
        <v>10</v>
      </c>
      <c r="BY92" s="52">
        <f t="shared" si="76"/>
        <v>10</v>
      </c>
      <c r="BZ92" s="52">
        <f t="shared" si="76"/>
        <v>10</v>
      </c>
      <c r="CA92" s="52">
        <f t="shared" si="76"/>
        <v>10</v>
      </c>
      <c r="CB92" s="52">
        <f t="shared" si="76"/>
        <v>4</v>
      </c>
      <c r="CC92" s="52">
        <f t="shared" si="76"/>
        <v>4</v>
      </c>
      <c r="CD92" s="52">
        <f t="shared" si="76"/>
        <v>4</v>
      </c>
      <c r="CE92" s="52">
        <f t="shared" si="76"/>
        <v>4</v>
      </c>
      <c r="CF92" s="52">
        <f t="shared" si="76"/>
        <v>4</v>
      </c>
      <c r="CG92" s="52">
        <f t="shared" si="76"/>
        <v>4</v>
      </c>
      <c r="CH92" s="52">
        <f t="shared" si="76"/>
        <v>4</v>
      </c>
      <c r="CI92" s="52">
        <f t="shared" si="76"/>
        <v>3</v>
      </c>
      <c r="CJ92" s="52">
        <f t="shared" si="76"/>
        <v>3</v>
      </c>
      <c r="CK92" s="52">
        <f t="shared" si="76"/>
        <v>3</v>
      </c>
      <c r="CL92" s="52">
        <f t="shared" si="76"/>
        <v>3</v>
      </c>
      <c r="CM92" s="52">
        <f t="shared" si="76"/>
        <v>3</v>
      </c>
      <c r="CN92" s="52">
        <f t="shared" si="76"/>
        <v>3</v>
      </c>
      <c r="CO92" s="52">
        <f t="shared" si="76"/>
        <v>3</v>
      </c>
      <c r="CP92" s="52">
        <f t="shared" si="76"/>
        <v>3</v>
      </c>
      <c r="CQ92" s="52">
        <f t="shared" si="76"/>
        <v>0</v>
      </c>
      <c r="CR92" s="52">
        <f t="shared" si="76"/>
        <v>0</v>
      </c>
      <c r="CS92" s="52">
        <f t="shared" si="76"/>
        <v>0</v>
      </c>
      <c r="CT92" s="52">
        <f t="shared" si="76"/>
        <v>0</v>
      </c>
      <c r="CU92" s="52">
        <f t="shared" si="76"/>
        <v>0</v>
      </c>
      <c r="CV92" s="52">
        <f t="shared" si="76"/>
        <v>0</v>
      </c>
      <c r="CW92" s="52">
        <f t="shared" si="76"/>
        <v>0</v>
      </c>
      <c r="CX92" s="52">
        <f t="shared" si="76"/>
        <v>0</v>
      </c>
      <c r="CY92" s="52">
        <f t="shared" si="76"/>
        <v>0</v>
      </c>
      <c r="CZ92" s="52">
        <f t="shared" si="76"/>
        <v>0</v>
      </c>
      <c r="DA92" s="52">
        <f t="shared" si="76"/>
        <v>0</v>
      </c>
      <c r="DB92" s="52">
        <f t="shared" si="76"/>
        <v>0</v>
      </c>
      <c r="DC92" s="52">
        <f t="shared" si="76"/>
        <v>0</v>
      </c>
      <c r="DD92" s="52">
        <f t="shared" si="76"/>
        <v>0</v>
      </c>
      <c r="DE92" s="52">
        <f t="shared" si="76"/>
        <v>0</v>
      </c>
      <c r="DF92" s="52">
        <f t="shared" si="76"/>
        <v>0</v>
      </c>
      <c r="DG92" s="52">
        <f t="shared" si="76"/>
        <v>0</v>
      </c>
      <c r="DH92" s="52">
        <f t="shared" si="76"/>
        <v>0</v>
      </c>
      <c r="DI92" s="52">
        <f t="shared" si="76"/>
        <v>0</v>
      </c>
      <c r="DJ92" s="52">
        <f t="shared" si="76"/>
        <v>0</v>
      </c>
    </row>
    <row r="93" ht="15.75" customHeight="1">
      <c r="B93" s="52" t="s">
        <v>1792</v>
      </c>
      <c r="C93" s="52">
        <v>9.0</v>
      </c>
      <c r="D93" s="52" t="s">
        <v>1785</v>
      </c>
      <c r="E93" s="65">
        <v>0.02</v>
      </c>
      <c r="F93" s="65">
        <v>0.02</v>
      </c>
      <c r="G93" s="65">
        <v>0.02</v>
      </c>
      <c r="H93" s="65">
        <v>0.02</v>
      </c>
      <c r="I93" s="65">
        <v>0.08</v>
      </c>
      <c r="J93" s="65">
        <v>0.08</v>
      </c>
      <c r="K93" s="65">
        <v>0.07</v>
      </c>
      <c r="L93" s="65">
        <v>0.07</v>
      </c>
      <c r="M93" s="65">
        <v>0.06</v>
      </c>
      <c r="N93" s="65">
        <v>0.06</v>
      </c>
      <c r="O93" s="65">
        <v>0.05</v>
      </c>
      <c r="P93" s="65">
        <v>0.05</v>
      </c>
      <c r="Q93" s="65">
        <v>0.05</v>
      </c>
      <c r="R93" s="65">
        <v>0.04</v>
      </c>
      <c r="S93" s="65">
        <v>0.04</v>
      </c>
      <c r="T93" s="65">
        <v>0.04</v>
      </c>
      <c r="U93" s="65">
        <v>0.04</v>
      </c>
      <c r="V93" s="65">
        <v>0.03</v>
      </c>
      <c r="W93" s="65">
        <v>0.03</v>
      </c>
      <c r="X93" s="65">
        <v>0.03</v>
      </c>
      <c r="Y93" s="65">
        <v>0.03</v>
      </c>
      <c r="Z93" s="65">
        <v>0.03</v>
      </c>
      <c r="AA93" s="65">
        <v>0.02</v>
      </c>
      <c r="AB93" s="65">
        <v>0.02</v>
      </c>
      <c r="AC93" s="58"/>
      <c r="AD93" s="58"/>
      <c r="BS93" s="52">
        <f t="shared" ref="BS93:DJ93" si="77">ROUND($BS28*E93,0)</f>
        <v>0</v>
      </c>
      <c r="BT93" s="52">
        <f t="shared" si="77"/>
        <v>0</v>
      </c>
      <c r="BU93" s="52">
        <f t="shared" si="77"/>
        <v>0</v>
      </c>
      <c r="BV93" s="52">
        <f t="shared" si="77"/>
        <v>0</v>
      </c>
      <c r="BW93" s="52">
        <f t="shared" si="77"/>
        <v>1</v>
      </c>
      <c r="BX93" s="52">
        <f t="shared" si="77"/>
        <v>1</v>
      </c>
      <c r="BY93" s="52">
        <f t="shared" si="77"/>
        <v>1</v>
      </c>
      <c r="BZ93" s="52">
        <f t="shared" si="77"/>
        <v>1</v>
      </c>
      <c r="CA93" s="52">
        <f t="shared" si="77"/>
        <v>1</v>
      </c>
      <c r="CB93" s="52">
        <f t="shared" si="77"/>
        <v>1</v>
      </c>
      <c r="CC93" s="52">
        <f t="shared" si="77"/>
        <v>1</v>
      </c>
      <c r="CD93" s="52">
        <f t="shared" si="77"/>
        <v>1</v>
      </c>
      <c r="CE93" s="52">
        <f t="shared" si="77"/>
        <v>1</v>
      </c>
      <c r="CF93" s="52">
        <f t="shared" si="77"/>
        <v>1</v>
      </c>
      <c r="CG93" s="52">
        <f t="shared" si="77"/>
        <v>1</v>
      </c>
      <c r="CH93" s="52">
        <f t="shared" si="77"/>
        <v>1</v>
      </c>
      <c r="CI93" s="52">
        <f t="shared" si="77"/>
        <v>1</v>
      </c>
      <c r="CJ93" s="52">
        <f t="shared" si="77"/>
        <v>0</v>
      </c>
      <c r="CK93" s="52">
        <f t="shared" si="77"/>
        <v>0</v>
      </c>
      <c r="CL93" s="52">
        <f t="shared" si="77"/>
        <v>0</v>
      </c>
      <c r="CM93" s="52">
        <f t="shared" si="77"/>
        <v>0</v>
      </c>
      <c r="CN93" s="52">
        <f t="shared" si="77"/>
        <v>0</v>
      </c>
      <c r="CO93" s="52">
        <f t="shared" si="77"/>
        <v>0</v>
      </c>
      <c r="CP93" s="52">
        <f t="shared" si="77"/>
        <v>0</v>
      </c>
      <c r="CQ93" s="52">
        <f t="shared" si="77"/>
        <v>0</v>
      </c>
      <c r="CR93" s="52">
        <f t="shared" si="77"/>
        <v>0</v>
      </c>
      <c r="CS93" s="52">
        <f t="shared" si="77"/>
        <v>0</v>
      </c>
      <c r="CT93" s="52">
        <f t="shared" si="77"/>
        <v>0</v>
      </c>
      <c r="CU93" s="52">
        <f t="shared" si="77"/>
        <v>0</v>
      </c>
      <c r="CV93" s="52">
        <f t="shared" si="77"/>
        <v>0</v>
      </c>
      <c r="CW93" s="52">
        <f t="shared" si="77"/>
        <v>0</v>
      </c>
      <c r="CX93" s="52">
        <f t="shared" si="77"/>
        <v>0</v>
      </c>
      <c r="CY93" s="52">
        <f t="shared" si="77"/>
        <v>0</v>
      </c>
      <c r="CZ93" s="52">
        <f t="shared" si="77"/>
        <v>0</v>
      </c>
      <c r="DA93" s="52">
        <f t="shared" si="77"/>
        <v>0</v>
      </c>
      <c r="DB93" s="52">
        <f t="shared" si="77"/>
        <v>0</v>
      </c>
      <c r="DC93" s="52">
        <f t="shared" si="77"/>
        <v>0</v>
      </c>
      <c r="DD93" s="52">
        <f t="shared" si="77"/>
        <v>0</v>
      </c>
      <c r="DE93" s="52">
        <f t="shared" si="77"/>
        <v>0</v>
      </c>
      <c r="DF93" s="52">
        <f t="shared" si="77"/>
        <v>0</v>
      </c>
      <c r="DG93" s="52">
        <f t="shared" si="77"/>
        <v>0</v>
      </c>
      <c r="DH93" s="52">
        <f t="shared" si="77"/>
        <v>0</v>
      </c>
      <c r="DI93" s="52">
        <f t="shared" si="77"/>
        <v>0</v>
      </c>
      <c r="DJ93" s="52">
        <f t="shared" si="77"/>
        <v>0</v>
      </c>
    </row>
    <row r="94" ht="15.75" customHeight="1">
      <c r="B94" s="52" t="s">
        <v>1792</v>
      </c>
      <c r="C94" s="52">
        <v>9.0</v>
      </c>
      <c r="D94" s="52" t="s">
        <v>1786</v>
      </c>
      <c r="E94" s="58"/>
      <c r="F94" s="58"/>
      <c r="G94" s="58"/>
      <c r="H94" s="65">
        <v>0.08</v>
      </c>
      <c r="I94" s="65">
        <v>0.08</v>
      </c>
      <c r="J94" s="65">
        <v>0.07</v>
      </c>
      <c r="K94" s="65">
        <v>0.07</v>
      </c>
      <c r="L94" s="65">
        <v>0.06</v>
      </c>
      <c r="M94" s="65">
        <v>0.06</v>
      </c>
      <c r="N94" s="65">
        <v>0.05</v>
      </c>
      <c r="O94" s="65">
        <v>0.05</v>
      </c>
      <c r="P94" s="65">
        <v>0.05</v>
      </c>
      <c r="Q94" s="65">
        <v>0.04</v>
      </c>
      <c r="R94" s="65">
        <v>0.04</v>
      </c>
      <c r="S94" s="65">
        <v>0.04</v>
      </c>
      <c r="T94" s="65">
        <v>0.04</v>
      </c>
      <c r="U94" s="65">
        <v>0.03</v>
      </c>
      <c r="V94" s="65">
        <v>0.03</v>
      </c>
      <c r="W94" s="65">
        <v>0.03</v>
      </c>
      <c r="X94" s="65">
        <v>0.03</v>
      </c>
      <c r="Y94" s="65">
        <v>0.03</v>
      </c>
      <c r="Z94" s="65">
        <v>0.02</v>
      </c>
      <c r="AA94" s="65">
        <v>0.02</v>
      </c>
      <c r="AB94" s="65">
        <v>0.03</v>
      </c>
      <c r="AC94" s="65">
        <v>0.03</v>
      </c>
      <c r="AD94" s="65">
        <v>0.02</v>
      </c>
      <c r="BS94" s="52">
        <f t="shared" ref="BS94:DJ94" si="78">ROUND($BS29*E94,0)</f>
        <v>0</v>
      </c>
      <c r="BT94" s="52">
        <f t="shared" si="78"/>
        <v>0</v>
      </c>
      <c r="BU94" s="52">
        <f t="shared" si="78"/>
        <v>0</v>
      </c>
      <c r="BV94" s="52">
        <f t="shared" si="78"/>
        <v>2</v>
      </c>
      <c r="BW94" s="52">
        <f t="shared" si="78"/>
        <v>2</v>
      </c>
      <c r="BX94" s="52">
        <f t="shared" si="78"/>
        <v>2</v>
      </c>
      <c r="BY94" s="52">
        <f t="shared" si="78"/>
        <v>2</v>
      </c>
      <c r="BZ94" s="52">
        <f t="shared" si="78"/>
        <v>2</v>
      </c>
      <c r="CA94" s="52">
        <f t="shared" si="78"/>
        <v>2</v>
      </c>
      <c r="CB94" s="52">
        <f t="shared" si="78"/>
        <v>1</v>
      </c>
      <c r="CC94" s="52">
        <f t="shared" si="78"/>
        <v>1</v>
      </c>
      <c r="CD94" s="52">
        <f t="shared" si="78"/>
        <v>1</v>
      </c>
      <c r="CE94" s="52">
        <f t="shared" si="78"/>
        <v>1</v>
      </c>
      <c r="CF94" s="52">
        <f t="shared" si="78"/>
        <v>1</v>
      </c>
      <c r="CG94" s="52">
        <f t="shared" si="78"/>
        <v>1</v>
      </c>
      <c r="CH94" s="52">
        <f t="shared" si="78"/>
        <v>1</v>
      </c>
      <c r="CI94" s="52">
        <f t="shared" si="78"/>
        <v>1</v>
      </c>
      <c r="CJ94" s="52">
        <f t="shared" si="78"/>
        <v>1</v>
      </c>
      <c r="CK94" s="52">
        <f t="shared" si="78"/>
        <v>1</v>
      </c>
      <c r="CL94" s="52">
        <f t="shared" si="78"/>
        <v>1</v>
      </c>
      <c r="CM94" s="52">
        <f t="shared" si="78"/>
        <v>1</v>
      </c>
      <c r="CN94" s="52">
        <f t="shared" si="78"/>
        <v>1</v>
      </c>
      <c r="CO94" s="52">
        <f t="shared" si="78"/>
        <v>1</v>
      </c>
      <c r="CP94" s="52">
        <f t="shared" si="78"/>
        <v>1</v>
      </c>
      <c r="CQ94" s="52">
        <f t="shared" si="78"/>
        <v>1</v>
      </c>
      <c r="CR94" s="52">
        <f t="shared" si="78"/>
        <v>1</v>
      </c>
      <c r="CS94" s="52">
        <f t="shared" si="78"/>
        <v>0</v>
      </c>
      <c r="CT94" s="52">
        <f t="shared" si="78"/>
        <v>0</v>
      </c>
      <c r="CU94" s="52">
        <f t="shared" si="78"/>
        <v>0</v>
      </c>
      <c r="CV94" s="52">
        <f t="shared" si="78"/>
        <v>0</v>
      </c>
      <c r="CW94" s="52">
        <f t="shared" si="78"/>
        <v>0</v>
      </c>
      <c r="CX94" s="52">
        <f t="shared" si="78"/>
        <v>0</v>
      </c>
      <c r="CY94" s="52">
        <f t="shared" si="78"/>
        <v>0</v>
      </c>
      <c r="CZ94" s="52">
        <f t="shared" si="78"/>
        <v>0</v>
      </c>
      <c r="DA94" s="52">
        <f t="shared" si="78"/>
        <v>0</v>
      </c>
      <c r="DB94" s="52">
        <f t="shared" si="78"/>
        <v>0</v>
      </c>
      <c r="DC94" s="52">
        <f t="shared" si="78"/>
        <v>0</v>
      </c>
      <c r="DD94" s="52">
        <f t="shared" si="78"/>
        <v>0</v>
      </c>
      <c r="DE94" s="52">
        <f t="shared" si="78"/>
        <v>0</v>
      </c>
      <c r="DF94" s="52">
        <f t="shared" si="78"/>
        <v>0</v>
      </c>
      <c r="DG94" s="52">
        <f t="shared" si="78"/>
        <v>0</v>
      </c>
      <c r="DH94" s="52">
        <f t="shared" si="78"/>
        <v>0</v>
      </c>
      <c r="DI94" s="52">
        <f t="shared" si="78"/>
        <v>0</v>
      </c>
      <c r="DJ94" s="52">
        <f t="shared" si="78"/>
        <v>0</v>
      </c>
    </row>
    <row r="95" ht="15.75" customHeight="1">
      <c r="B95" s="52" t="s">
        <v>1792</v>
      </c>
      <c r="C95" s="52">
        <v>9.0</v>
      </c>
      <c r="D95" s="52" t="s">
        <v>1787</v>
      </c>
      <c r="E95" s="58"/>
      <c r="F95" s="58"/>
      <c r="G95" s="58"/>
      <c r="H95" s="58"/>
      <c r="I95" s="58"/>
      <c r="J95" s="65">
        <v>0.08</v>
      </c>
      <c r="K95" s="65">
        <v>0.08</v>
      </c>
      <c r="L95" s="65">
        <v>0.07</v>
      </c>
      <c r="M95" s="65">
        <v>0.07</v>
      </c>
      <c r="N95" s="65">
        <v>0.06</v>
      </c>
      <c r="O95" s="65">
        <v>0.06</v>
      </c>
      <c r="P95" s="65">
        <v>0.05</v>
      </c>
      <c r="Q95" s="65">
        <v>0.05</v>
      </c>
      <c r="R95" s="65">
        <v>0.05</v>
      </c>
      <c r="S95" s="65">
        <v>0.04</v>
      </c>
      <c r="T95" s="65">
        <v>0.04</v>
      </c>
      <c r="U95" s="65">
        <v>0.04</v>
      </c>
      <c r="V95" s="65">
        <v>0.04</v>
      </c>
      <c r="W95" s="65">
        <v>0.03</v>
      </c>
      <c r="X95" s="65">
        <v>0.03</v>
      </c>
      <c r="Y95" s="65">
        <v>0.03</v>
      </c>
      <c r="Z95" s="65">
        <v>0.03</v>
      </c>
      <c r="AA95" s="65">
        <v>0.03</v>
      </c>
      <c r="AB95" s="65">
        <v>0.02</v>
      </c>
      <c r="AC95" s="65">
        <v>0.02</v>
      </c>
      <c r="AD95" s="65">
        <v>0.03</v>
      </c>
      <c r="BS95" s="52">
        <f t="shared" ref="BS95:DJ95" si="79">ROUND($BS30*E95,0)</f>
        <v>0</v>
      </c>
      <c r="BT95" s="52">
        <f t="shared" si="79"/>
        <v>0</v>
      </c>
      <c r="BU95" s="52">
        <f t="shared" si="79"/>
        <v>0</v>
      </c>
      <c r="BV95" s="52">
        <f t="shared" si="79"/>
        <v>0</v>
      </c>
      <c r="BW95" s="52">
        <f t="shared" si="79"/>
        <v>0</v>
      </c>
      <c r="BX95" s="52">
        <f t="shared" si="79"/>
        <v>0</v>
      </c>
      <c r="BY95" s="52">
        <f t="shared" si="79"/>
        <v>0</v>
      </c>
      <c r="BZ95" s="52">
        <f t="shared" si="79"/>
        <v>0</v>
      </c>
      <c r="CA95" s="52">
        <f t="shared" si="79"/>
        <v>0</v>
      </c>
      <c r="CB95" s="52">
        <f t="shared" si="79"/>
        <v>0</v>
      </c>
      <c r="CC95" s="52">
        <f t="shared" si="79"/>
        <v>0</v>
      </c>
      <c r="CD95" s="52">
        <f t="shared" si="79"/>
        <v>0</v>
      </c>
      <c r="CE95" s="52">
        <f t="shared" si="79"/>
        <v>0</v>
      </c>
      <c r="CF95" s="52">
        <f t="shared" si="79"/>
        <v>0</v>
      </c>
      <c r="CG95" s="52">
        <f t="shared" si="79"/>
        <v>0</v>
      </c>
      <c r="CH95" s="52">
        <f t="shared" si="79"/>
        <v>0</v>
      </c>
      <c r="CI95" s="52">
        <f t="shared" si="79"/>
        <v>0</v>
      </c>
      <c r="CJ95" s="52">
        <f t="shared" si="79"/>
        <v>0</v>
      </c>
      <c r="CK95" s="52">
        <f t="shared" si="79"/>
        <v>0</v>
      </c>
      <c r="CL95" s="52">
        <f t="shared" si="79"/>
        <v>0</v>
      </c>
      <c r="CM95" s="52">
        <f t="shared" si="79"/>
        <v>0</v>
      </c>
      <c r="CN95" s="52">
        <f t="shared" si="79"/>
        <v>0</v>
      </c>
      <c r="CO95" s="52">
        <f t="shared" si="79"/>
        <v>0</v>
      </c>
      <c r="CP95" s="52">
        <f t="shared" si="79"/>
        <v>0</v>
      </c>
      <c r="CQ95" s="52">
        <f t="shared" si="79"/>
        <v>0</v>
      </c>
      <c r="CR95" s="52">
        <f t="shared" si="79"/>
        <v>0</v>
      </c>
      <c r="CS95" s="52">
        <f t="shared" si="79"/>
        <v>0</v>
      </c>
      <c r="CT95" s="52">
        <f t="shared" si="79"/>
        <v>0</v>
      </c>
      <c r="CU95" s="52">
        <f t="shared" si="79"/>
        <v>0</v>
      </c>
      <c r="CV95" s="52">
        <f t="shared" si="79"/>
        <v>0</v>
      </c>
      <c r="CW95" s="52">
        <f t="shared" si="79"/>
        <v>0</v>
      </c>
      <c r="CX95" s="52">
        <f t="shared" si="79"/>
        <v>0</v>
      </c>
      <c r="CY95" s="52">
        <f t="shared" si="79"/>
        <v>0</v>
      </c>
      <c r="CZ95" s="52">
        <f t="shared" si="79"/>
        <v>0</v>
      </c>
      <c r="DA95" s="52">
        <f t="shared" si="79"/>
        <v>0</v>
      </c>
      <c r="DB95" s="52">
        <f t="shared" si="79"/>
        <v>0</v>
      </c>
      <c r="DC95" s="52">
        <f t="shared" si="79"/>
        <v>0</v>
      </c>
      <c r="DD95" s="52">
        <f t="shared" si="79"/>
        <v>0</v>
      </c>
      <c r="DE95" s="52">
        <f t="shared" si="79"/>
        <v>0</v>
      </c>
      <c r="DF95" s="52">
        <f t="shared" si="79"/>
        <v>0</v>
      </c>
      <c r="DG95" s="52">
        <f t="shared" si="79"/>
        <v>0</v>
      </c>
      <c r="DH95" s="52">
        <f t="shared" si="79"/>
        <v>0</v>
      </c>
      <c r="DI95" s="52">
        <f t="shared" si="79"/>
        <v>0</v>
      </c>
      <c r="DJ95" s="52">
        <f t="shared" si="79"/>
        <v>0</v>
      </c>
    </row>
    <row r="96" ht="15.75" customHeight="1">
      <c r="B96" s="52" t="s">
        <v>1792</v>
      </c>
      <c r="C96" s="52">
        <v>9.0</v>
      </c>
      <c r="D96" s="52" t="s">
        <v>1788</v>
      </c>
      <c r="E96" s="58"/>
      <c r="F96" s="58"/>
      <c r="G96" s="58"/>
      <c r="H96" s="58"/>
      <c r="I96" s="58"/>
      <c r="J96" s="58"/>
      <c r="K96" s="65">
        <v>0.08</v>
      </c>
      <c r="L96" s="65">
        <v>0.08</v>
      </c>
      <c r="M96" s="65">
        <v>0.07</v>
      </c>
      <c r="N96" s="65">
        <v>0.07</v>
      </c>
      <c r="O96" s="65">
        <v>0.06</v>
      </c>
      <c r="P96" s="65">
        <v>0.06</v>
      </c>
      <c r="Q96" s="65">
        <v>0.05</v>
      </c>
      <c r="R96" s="65">
        <v>0.05</v>
      </c>
      <c r="S96" s="65">
        <v>0.05</v>
      </c>
      <c r="T96" s="65">
        <v>0.04</v>
      </c>
      <c r="U96" s="65">
        <v>0.04</v>
      </c>
      <c r="V96" s="65">
        <v>0.04</v>
      </c>
      <c r="W96" s="65">
        <v>0.04</v>
      </c>
      <c r="X96" s="65">
        <v>0.03</v>
      </c>
      <c r="Y96" s="65">
        <v>0.03</v>
      </c>
      <c r="Z96" s="65">
        <v>0.03</v>
      </c>
      <c r="AA96" s="65">
        <v>0.03</v>
      </c>
      <c r="AB96" s="65">
        <v>0.03</v>
      </c>
      <c r="AC96" s="65">
        <v>0.02</v>
      </c>
      <c r="AD96" s="65">
        <v>0.02</v>
      </c>
      <c r="BS96" s="52">
        <f t="shared" ref="BS96:DJ96" si="80">ROUND($BS31*E96,0)</f>
        <v>0</v>
      </c>
      <c r="BT96" s="52">
        <f t="shared" si="80"/>
        <v>0</v>
      </c>
      <c r="BU96" s="52">
        <f t="shared" si="80"/>
        <v>0</v>
      </c>
      <c r="BV96" s="52">
        <f t="shared" si="80"/>
        <v>0</v>
      </c>
      <c r="BW96" s="52">
        <f t="shared" si="80"/>
        <v>0</v>
      </c>
      <c r="BX96" s="52">
        <f t="shared" si="80"/>
        <v>0</v>
      </c>
      <c r="BY96" s="52">
        <f t="shared" si="80"/>
        <v>0</v>
      </c>
      <c r="BZ96" s="52">
        <f t="shared" si="80"/>
        <v>0</v>
      </c>
      <c r="CA96" s="52">
        <f t="shared" si="80"/>
        <v>0</v>
      </c>
      <c r="CB96" s="52">
        <f t="shared" si="80"/>
        <v>0</v>
      </c>
      <c r="CC96" s="52">
        <f t="shared" si="80"/>
        <v>0</v>
      </c>
      <c r="CD96" s="52">
        <f t="shared" si="80"/>
        <v>0</v>
      </c>
      <c r="CE96" s="52">
        <f t="shared" si="80"/>
        <v>0</v>
      </c>
      <c r="CF96" s="52">
        <f t="shared" si="80"/>
        <v>0</v>
      </c>
      <c r="CG96" s="52">
        <f t="shared" si="80"/>
        <v>0</v>
      </c>
      <c r="CH96" s="52">
        <f t="shared" si="80"/>
        <v>0</v>
      </c>
      <c r="CI96" s="52">
        <f t="shared" si="80"/>
        <v>0</v>
      </c>
      <c r="CJ96" s="52">
        <f t="shared" si="80"/>
        <v>0</v>
      </c>
      <c r="CK96" s="52">
        <f t="shared" si="80"/>
        <v>0</v>
      </c>
      <c r="CL96" s="52">
        <f t="shared" si="80"/>
        <v>0</v>
      </c>
      <c r="CM96" s="52">
        <f t="shared" si="80"/>
        <v>0</v>
      </c>
      <c r="CN96" s="52">
        <f t="shared" si="80"/>
        <v>0</v>
      </c>
      <c r="CO96" s="52">
        <f t="shared" si="80"/>
        <v>0</v>
      </c>
      <c r="CP96" s="52">
        <f t="shared" si="80"/>
        <v>0</v>
      </c>
      <c r="CQ96" s="52">
        <f t="shared" si="80"/>
        <v>0</v>
      </c>
      <c r="CR96" s="52">
        <f t="shared" si="80"/>
        <v>0</v>
      </c>
      <c r="CS96" s="52">
        <f t="shared" si="80"/>
        <v>0</v>
      </c>
      <c r="CT96" s="52">
        <f t="shared" si="80"/>
        <v>0</v>
      </c>
      <c r="CU96" s="52">
        <f t="shared" si="80"/>
        <v>0</v>
      </c>
      <c r="CV96" s="52">
        <f t="shared" si="80"/>
        <v>0</v>
      </c>
      <c r="CW96" s="52">
        <f t="shared" si="80"/>
        <v>0</v>
      </c>
      <c r="CX96" s="52">
        <f t="shared" si="80"/>
        <v>0</v>
      </c>
      <c r="CY96" s="52">
        <f t="shared" si="80"/>
        <v>0</v>
      </c>
      <c r="CZ96" s="52">
        <f t="shared" si="80"/>
        <v>0</v>
      </c>
      <c r="DA96" s="52">
        <f t="shared" si="80"/>
        <v>0</v>
      </c>
      <c r="DB96" s="52">
        <f t="shared" si="80"/>
        <v>0</v>
      </c>
      <c r="DC96" s="52">
        <f t="shared" si="80"/>
        <v>0</v>
      </c>
      <c r="DD96" s="52">
        <f t="shared" si="80"/>
        <v>0</v>
      </c>
      <c r="DE96" s="52">
        <f t="shared" si="80"/>
        <v>0</v>
      </c>
      <c r="DF96" s="52">
        <f t="shared" si="80"/>
        <v>0</v>
      </c>
      <c r="DG96" s="52">
        <f t="shared" si="80"/>
        <v>0</v>
      </c>
      <c r="DH96" s="52">
        <f t="shared" si="80"/>
        <v>0</v>
      </c>
      <c r="DI96" s="52">
        <f t="shared" si="80"/>
        <v>0</v>
      </c>
      <c r="DJ96" s="52">
        <f t="shared" si="80"/>
        <v>0</v>
      </c>
    </row>
    <row r="97" ht="15.75" customHeight="1">
      <c r="B97" s="52" t="s">
        <v>1792</v>
      </c>
      <c r="C97" s="52">
        <v>9.0</v>
      </c>
      <c r="D97" s="52" t="s">
        <v>1789</v>
      </c>
      <c r="E97" s="58"/>
      <c r="F97" s="58"/>
      <c r="G97" s="58"/>
      <c r="H97" s="58"/>
      <c r="I97" s="58"/>
      <c r="J97" s="58"/>
      <c r="K97" s="58"/>
      <c r="L97" s="65">
        <v>0.08</v>
      </c>
      <c r="M97" s="65">
        <v>0.08</v>
      </c>
      <c r="N97" s="65">
        <v>0.07</v>
      </c>
      <c r="O97" s="65">
        <v>0.07</v>
      </c>
      <c r="P97" s="65">
        <v>0.06</v>
      </c>
      <c r="Q97" s="65">
        <v>0.06</v>
      </c>
      <c r="R97" s="65">
        <v>0.05</v>
      </c>
      <c r="S97" s="65">
        <v>0.05</v>
      </c>
      <c r="T97" s="65">
        <v>0.05</v>
      </c>
      <c r="U97" s="65">
        <v>0.04</v>
      </c>
      <c r="V97" s="65">
        <v>0.04</v>
      </c>
      <c r="W97" s="65">
        <v>0.04</v>
      </c>
      <c r="X97" s="65">
        <v>0.04</v>
      </c>
      <c r="Y97" s="65">
        <v>0.03</v>
      </c>
      <c r="Z97" s="65">
        <v>0.03</v>
      </c>
      <c r="AA97" s="65">
        <v>0.03</v>
      </c>
      <c r="AB97" s="65">
        <v>0.03</v>
      </c>
      <c r="AC97" s="65">
        <v>0.03</v>
      </c>
      <c r="AD97" s="65">
        <v>0.02</v>
      </c>
      <c r="BS97" s="52">
        <f t="shared" ref="BS97:DJ97" si="81">ROUND($BS32*E97,0)</f>
        <v>0</v>
      </c>
      <c r="BT97" s="52">
        <f t="shared" si="81"/>
        <v>0</v>
      </c>
      <c r="BU97" s="52">
        <f t="shared" si="81"/>
        <v>0</v>
      </c>
      <c r="BV97" s="52">
        <f t="shared" si="81"/>
        <v>0</v>
      </c>
      <c r="BW97" s="52">
        <f t="shared" si="81"/>
        <v>0</v>
      </c>
      <c r="BX97" s="52">
        <f t="shared" si="81"/>
        <v>0</v>
      </c>
      <c r="BY97" s="52">
        <f t="shared" si="81"/>
        <v>0</v>
      </c>
      <c r="BZ97" s="52">
        <f t="shared" si="81"/>
        <v>1</v>
      </c>
      <c r="CA97" s="52">
        <f t="shared" si="81"/>
        <v>1</v>
      </c>
      <c r="CB97" s="52">
        <f t="shared" si="81"/>
        <v>1</v>
      </c>
      <c r="CC97" s="52">
        <f t="shared" si="81"/>
        <v>1</v>
      </c>
      <c r="CD97" s="52">
        <f t="shared" si="81"/>
        <v>1</v>
      </c>
      <c r="CE97" s="52">
        <f t="shared" si="81"/>
        <v>1</v>
      </c>
      <c r="CF97" s="52">
        <f t="shared" si="81"/>
        <v>0</v>
      </c>
      <c r="CG97" s="52">
        <f t="shared" si="81"/>
        <v>0</v>
      </c>
      <c r="CH97" s="52">
        <f t="shared" si="81"/>
        <v>0</v>
      </c>
      <c r="CI97" s="52">
        <f t="shared" si="81"/>
        <v>0</v>
      </c>
      <c r="CJ97" s="52">
        <f t="shared" si="81"/>
        <v>0</v>
      </c>
      <c r="CK97" s="52">
        <f t="shared" si="81"/>
        <v>0</v>
      </c>
      <c r="CL97" s="52">
        <f t="shared" si="81"/>
        <v>0</v>
      </c>
      <c r="CM97" s="52">
        <f t="shared" si="81"/>
        <v>0</v>
      </c>
      <c r="CN97" s="52">
        <f t="shared" si="81"/>
        <v>0</v>
      </c>
      <c r="CO97" s="52">
        <f t="shared" si="81"/>
        <v>0</v>
      </c>
      <c r="CP97" s="52">
        <f t="shared" si="81"/>
        <v>0</v>
      </c>
      <c r="CQ97" s="52">
        <f t="shared" si="81"/>
        <v>0</v>
      </c>
      <c r="CR97" s="52">
        <f t="shared" si="81"/>
        <v>0</v>
      </c>
      <c r="CS97" s="52">
        <f t="shared" si="81"/>
        <v>0</v>
      </c>
      <c r="CT97" s="52">
        <f t="shared" si="81"/>
        <v>0</v>
      </c>
      <c r="CU97" s="52">
        <f t="shared" si="81"/>
        <v>0</v>
      </c>
      <c r="CV97" s="52">
        <f t="shared" si="81"/>
        <v>0</v>
      </c>
      <c r="CW97" s="52">
        <f t="shared" si="81"/>
        <v>0</v>
      </c>
      <c r="CX97" s="52">
        <f t="shared" si="81"/>
        <v>0</v>
      </c>
      <c r="CY97" s="52">
        <f t="shared" si="81"/>
        <v>0</v>
      </c>
      <c r="CZ97" s="52">
        <f t="shared" si="81"/>
        <v>0</v>
      </c>
      <c r="DA97" s="52">
        <f t="shared" si="81"/>
        <v>0</v>
      </c>
      <c r="DB97" s="52">
        <f t="shared" si="81"/>
        <v>0</v>
      </c>
      <c r="DC97" s="52">
        <f t="shared" si="81"/>
        <v>0</v>
      </c>
      <c r="DD97" s="52">
        <f t="shared" si="81"/>
        <v>0</v>
      </c>
      <c r="DE97" s="52">
        <f t="shared" si="81"/>
        <v>0</v>
      </c>
      <c r="DF97" s="52">
        <f t="shared" si="81"/>
        <v>0</v>
      </c>
      <c r="DG97" s="52">
        <f t="shared" si="81"/>
        <v>0</v>
      </c>
      <c r="DH97" s="52">
        <f t="shared" si="81"/>
        <v>0</v>
      </c>
      <c r="DI97" s="52">
        <f t="shared" si="81"/>
        <v>0</v>
      </c>
      <c r="DJ97" s="52">
        <f t="shared" si="81"/>
        <v>0</v>
      </c>
    </row>
    <row r="98" ht="15.75" customHeight="1">
      <c r="B98" s="52" t="s">
        <v>1792</v>
      </c>
      <c r="C98" s="52">
        <v>9.0</v>
      </c>
      <c r="D98" s="52" t="s">
        <v>1790</v>
      </c>
      <c r="E98" s="58"/>
      <c r="F98" s="58"/>
      <c r="G98" s="58"/>
      <c r="H98" s="58"/>
      <c r="I98" s="58"/>
      <c r="J98" s="58"/>
      <c r="K98" s="58"/>
      <c r="L98" s="58"/>
      <c r="M98" s="58"/>
      <c r="N98" s="65">
        <v>0.08</v>
      </c>
      <c r="O98" s="65">
        <v>0.08</v>
      </c>
      <c r="P98" s="65">
        <v>0.07</v>
      </c>
      <c r="Q98" s="65">
        <v>0.07</v>
      </c>
      <c r="R98" s="65">
        <v>0.06</v>
      </c>
      <c r="S98" s="65">
        <v>0.06</v>
      </c>
      <c r="T98" s="65">
        <v>0.05</v>
      </c>
      <c r="U98" s="65">
        <v>0.05</v>
      </c>
      <c r="V98" s="65">
        <v>0.05</v>
      </c>
      <c r="W98" s="65">
        <v>0.04</v>
      </c>
      <c r="X98" s="65">
        <v>0.04</v>
      </c>
      <c r="Y98" s="65">
        <v>0.04</v>
      </c>
      <c r="Z98" s="65">
        <v>0.04</v>
      </c>
      <c r="AA98" s="65">
        <v>0.03</v>
      </c>
      <c r="AB98" s="65">
        <v>0.03</v>
      </c>
      <c r="AC98" s="65">
        <v>0.03</v>
      </c>
      <c r="AD98" s="65">
        <v>0.03</v>
      </c>
      <c r="BS98" s="52">
        <f t="shared" ref="BS98:DJ98" si="82">ROUND($BS33*E98,0)</f>
        <v>0</v>
      </c>
      <c r="BT98" s="52">
        <f t="shared" si="82"/>
        <v>0</v>
      </c>
      <c r="BU98" s="52">
        <f t="shared" si="82"/>
        <v>0</v>
      </c>
      <c r="BV98" s="52">
        <f t="shared" si="82"/>
        <v>0</v>
      </c>
      <c r="BW98" s="52">
        <f t="shared" si="82"/>
        <v>0</v>
      </c>
      <c r="BX98" s="52">
        <f t="shared" si="82"/>
        <v>0</v>
      </c>
      <c r="BY98" s="52">
        <f t="shared" si="82"/>
        <v>0</v>
      </c>
      <c r="BZ98" s="52">
        <f t="shared" si="82"/>
        <v>0</v>
      </c>
      <c r="CA98" s="52">
        <f t="shared" si="82"/>
        <v>0</v>
      </c>
      <c r="CB98" s="52">
        <f t="shared" si="82"/>
        <v>1</v>
      </c>
      <c r="CC98" s="52">
        <f t="shared" si="82"/>
        <v>1</v>
      </c>
      <c r="CD98" s="52">
        <f t="shared" si="82"/>
        <v>1</v>
      </c>
      <c r="CE98" s="52">
        <f t="shared" si="82"/>
        <v>1</v>
      </c>
      <c r="CF98" s="52">
        <f t="shared" si="82"/>
        <v>1</v>
      </c>
      <c r="CG98" s="52">
        <f t="shared" si="82"/>
        <v>1</v>
      </c>
      <c r="CH98" s="52">
        <f t="shared" si="82"/>
        <v>1</v>
      </c>
      <c r="CI98" s="52">
        <f t="shared" si="82"/>
        <v>1</v>
      </c>
      <c r="CJ98" s="52">
        <f t="shared" si="82"/>
        <v>1</v>
      </c>
      <c r="CK98" s="52">
        <f t="shared" si="82"/>
        <v>0</v>
      </c>
      <c r="CL98" s="52">
        <f t="shared" si="82"/>
        <v>0</v>
      </c>
      <c r="CM98" s="52">
        <f t="shared" si="82"/>
        <v>0</v>
      </c>
      <c r="CN98" s="52">
        <f t="shared" si="82"/>
        <v>0</v>
      </c>
      <c r="CO98" s="52">
        <f t="shared" si="82"/>
        <v>0</v>
      </c>
      <c r="CP98" s="52">
        <f t="shared" si="82"/>
        <v>0</v>
      </c>
      <c r="CQ98" s="52">
        <f t="shared" si="82"/>
        <v>0</v>
      </c>
      <c r="CR98" s="52">
        <f t="shared" si="82"/>
        <v>0</v>
      </c>
      <c r="CS98" s="52">
        <f t="shared" si="82"/>
        <v>0</v>
      </c>
      <c r="CT98" s="52">
        <f t="shared" si="82"/>
        <v>0</v>
      </c>
      <c r="CU98" s="52">
        <f t="shared" si="82"/>
        <v>0</v>
      </c>
      <c r="CV98" s="52">
        <f t="shared" si="82"/>
        <v>0</v>
      </c>
      <c r="CW98" s="52">
        <f t="shared" si="82"/>
        <v>0</v>
      </c>
      <c r="CX98" s="52">
        <f t="shared" si="82"/>
        <v>0</v>
      </c>
      <c r="CY98" s="52">
        <f t="shared" si="82"/>
        <v>0</v>
      </c>
      <c r="CZ98" s="52">
        <f t="shared" si="82"/>
        <v>0</v>
      </c>
      <c r="DA98" s="52">
        <f t="shared" si="82"/>
        <v>0</v>
      </c>
      <c r="DB98" s="52">
        <f t="shared" si="82"/>
        <v>0</v>
      </c>
      <c r="DC98" s="52">
        <f t="shared" si="82"/>
        <v>0</v>
      </c>
      <c r="DD98" s="52">
        <f t="shared" si="82"/>
        <v>0</v>
      </c>
      <c r="DE98" s="52">
        <f t="shared" si="82"/>
        <v>0</v>
      </c>
      <c r="DF98" s="52">
        <f t="shared" si="82"/>
        <v>0</v>
      </c>
      <c r="DG98" s="52">
        <f t="shared" si="82"/>
        <v>0</v>
      </c>
      <c r="DH98" s="52">
        <f t="shared" si="82"/>
        <v>0</v>
      </c>
      <c r="DI98" s="52">
        <f t="shared" si="82"/>
        <v>0</v>
      </c>
      <c r="DJ98" s="52">
        <f t="shared" si="82"/>
        <v>0</v>
      </c>
    </row>
    <row r="99" ht="15.75" customHeight="1">
      <c r="B99" s="52" t="s">
        <v>1792</v>
      </c>
      <c r="C99" s="52">
        <v>10.0</v>
      </c>
      <c r="D99" s="52">
        <v>0.0</v>
      </c>
      <c r="E99" s="65">
        <v>0.07</v>
      </c>
      <c r="F99" s="65">
        <v>0.07</v>
      </c>
      <c r="G99" s="65">
        <v>0.07</v>
      </c>
      <c r="H99" s="65">
        <v>0.07</v>
      </c>
      <c r="I99" s="65">
        <v>0.07</v>
      </c>
      <c r="J99" s="65">
        <v>0.07</v>
      </c>
      <c r="K99" s="65">
        <v>0.07</v>
      </c>
      <c r="L99" s="65">
        <v>0.07</v>
      </c>
      <c r="M99" s="65">
        <v>0.07</v>
      </c>
      <c r="N99" s="65">
        <v>0.03</v>
      </c>
      <c r="O99" s="65">
        <v>0.03</v>
      </c>
      <c r="P99" s="65">
        <v>0.03</v>
      </c>
      <c r="Q99" s="65">
        <v>0.03</v>
      </c>
      <c r="R99" s="65">
        <v>0.03</v>
      </c>
      <c r="S99" s="65">
        <v>0.03</v>
      </c>
      <c r="T99" s="65">
        <v>0.03</v>
      </c>
      <c r="U99" s="65">
        <v>0.02</v>
      </c>
      <c r="V99" s="65">
        <v>0.02</v>
      </c>
      <c r="W99" s="65">
        <v>0.02</v>
      </c>
      <c r="X99" s="65">
        <v>0.02</v>
      </c>
      <c r="Y99" s="65">
        <v>0.02</v>
      </c>
      <c r="Z99" s="65">
        <v>0.02</v>
      </c>
      <c r="AA99" s="65">
        <v>0.02</v>
      </c>
      <c r="AB99" s="65">
        <v>0.02</v>
      </c>
      <c r="AC99" s="58"/>
      <c r="AD99" s="58"/>
      <c r="BT99" s="52">
        <f t="shared" ref="BT99:DJ99" si="83">ROUND($BT27*E99,0)</f>
        <v>55</v>
      </c>
      <c r="BU99" s="52">
        <f t="shared" si="83"/>
        <v>55</v>
      </c>
      <c r="BV99" s="52">
        <f t="shared" si="83"/>
        <v>55</v>
      </c>
      <c r="BW99" s="52">
        <f t="shared" si="83"/>
        <v>55</v>
      </c>
      <c r="BX99" s="52">
        <f t="shared" si="83"/>
        <v>55</v>
      </c>
      <c r="BY99" s="52">
        <f t="shared" si="83"/>
        <v>55</v>
      </c>
      <c r="BZ99" s="52">
        <f t="shared" si="83"/>
        <v>55</v>
      </c>
      <c r="CA99" s="52">
        <f t="shared" si="83"/>
        <v>55</v>
      </c>
      <c r="CB99" s="52">
        <f t="shared" si="83"/>
        <v>55</v>
      </c>
      <c r="CC99" s="52">
        <f t="shared" si="83"/>
        <v>24</v>
      </c>
      <c r="CD99" s="52">
        <f t="shared" si="83"/>
        <v>24</v>
      </c>
      <c r="CE99" s="52">
        <f t="shared" si="83"/>
        <v>24</v>
      </c>
      <c r="CF99" s="52">
        <f t="shared" si="83"/>
        <v>24</v>
      </c>
      <c r="CG99" s="52">
        <f t="shared" si="83"/>
        <v>24</v>
      </c>
      <c r="CH99" s="52">
        <f t="shared" si="83"/>
        <v>24</v>
      </c>
      <c r="CI99" s="52">
        <f t="shared" si="83"/>
        <v>24</v>
      </c>
      <c r="CJ99" s="52">
        <f t="shared" si="83"/>
        <v>16</v>
      </c>
      <c r="CK99" s="52">
        <f t="shared" si="83"/>
        <v>16</v>
      </c>
      <c r="CL99" s="52">
        <f t="shared" si="83"/>
        <v>16</v>
      </c>
      <c r="CM99" s="52">
        <f t="shared" si="83"/>
        <v>16</v>
      </c>
      <c r="CN99" s="52">
        <f t="shared" si="83"/>
        <v>16</v>
      </c>
      <c r="CO99" s="52">
        <f t="shared" si="83"/>
        <v>16</v>
      </c>
      <c r="CP99" s="52">
        <f t="shared" si="83"/>
        <v>16</v>
      </c>
      <c r="CQ99" s="52">
        <f t="shared" si="83"/>
        <v>16</v>
      </c>
      <c r="CR99" s="52">
        <f t="shared" si="83"/>
        <v>0</v>
      </c>
      <c r="CS99" s="52">
        <f t="shared" si="83"/>
        <v>0</v>
      </c>
      <c r="CT99" s="52">
        <f t="shared" si="83"/>
        <v>0</v>
      </c>
      <c r="CU99" s="52">
        <f t="shared" si="83"/>
        <v>0</v>
      </c>
      <c r="CV99" s="52">
        <f t="shared" si="83"/>
        <v>0</v>
      </c>
      <c r="CW99" s="52">
        <f t="shared" si="83"/>
        <v>0</v>
      </c>
      <c r="CX99" s="52">
        <f t="shared" si="83"/>
        <v>0</v>
      </c>
      <c r="CY99" s="52">
        <f t="shared" si="83"/>
        <v>0</v>
      </c>
      <c r="CZ99" s="52">
        <f t="shared" si="83"/>
        <v>0</v>
      </c>
      <c r="DA99" s="52">
        <f t="shared" si="83"/>
        <v>0</v>
      </c>
      <c r="DB99" s="52">
        <f t="shared" si="83"/>
        <v>0</v>
      </c>
      <c r="DC99" s="52">
        <f t="shared" si="83"/>
        <v>0</v>
      </c>
      <c r="DD99" s="52">
        <f t="shared" si="83"/>
        <v>0</v>
      </c>
      <c r="DE99" s="52">
        <f t="shared" si="83"/>
        <v>0</v>
      </c>
      <c r="DF99" s="52">
        <f t="shared" si="83"/>
        <v>0</v>
      </c>
      <c r="DG99" s="52">
        <f t="shared" si="83"/>
        <v>0</v>
      </c>
      <c r="DH99" s="52">
        <f t="shared" si="83"/>
        <v>0</v>
      </c>
      <c r="DI99" s="52">
        <f t="shared" si="83"/>
        <v>0</v>
      </c>
      <c r="DJ99" s="52">
        <f t="shared" si="83"/>
        <v>0</v>
      </c>
    </row>
    <row r="100" ht="15.75" customHeight="1">
      <c r="B100" s="52" t="s">
        <v>1792</v>
      </c>
      <c r="C100" s="52">
        <v>10.0</v>
      </c>
      <c r="D100" s="52" t="s">
        <v>1785</v>
      </c>
      <c r="E100" s="65">
        <v>0.02</v>
      </c>
      <c r="F100" s="65">
        <v>0.02</v>
      </c>
      <c r="G100" s="65">
        <v>0.02</v>
      </c>
      <c r="H100" s="65">
        <v>0.02</v>
      </c>
      <c r="I100" s="65">
        <v>0.08</v>
      </c>
      <c r="J100" s="65">
        <v>0.08</v>
      </c>
      <c r="K100" s="65">
        <v>0.07</v>
      </c>
      <c r="L100" s="65">
        <v>0.07</v>
      </c>
      <c r="M100" s="65">
        <v>0.06</v>
      </c>
      <c r="N100" s="65">
        <v>0.06</v>
      </c>
      <c r="O100" s="65">
        <v>0.05</v>
      </c>
      <c r="P100" s="65">
        <v>0.05</v>
      </c>
      <c r="Q100" s="65">
        <v>0.05</v>
      </c>
      <c r="R100" s="65">
        <v>0.04</v>
      </c>
      <c r="S100" s="65">
        <v>0.04</v>
      </c>
      <c r="T100" s="65">
        <v>0.04</v>
      </c>
      <c r="U100" s="65">
        <v>0.04</v>
      </c>
      <c r="V100" s="65">
        <v>0.03</v>
      </c>
      <c r="W100" s="65">
        <v>0.03</v>
      </c>
      <c r="X100" s="65">
        <v>0.03</v>
      </c>
      <c r="Y100" s="65">
        <v>0.03</v>
      </c>
      <c r="Z100" s="65">
        <v>0.03</v>
      </c>
      <c r="AA100" s="65">
        <v>0.02</v>
      </c>
      <c r="AB100" s="65">
        <v>0.02</v>
      </c>
      <c r="AC100" s="58"/>
      <c r="AD100" s="58"/>
      <c r="BT100" s="52">
        <f t="shared" ref="BT100:DJ100" si="84">ROUND($BT28*E100,0)</f>
        <v>2</v>
      </c>
      <c r="BU100" s="52">
        <f t="shared" si="84"/>
        <v>2</v>
      </c>
      <c r="BV100" s="52">
        <f t="shared" si="84"/>
        <v>2</v>
      </c>
      <c r="BW100" s="52">
        <f t="shared" si="84"/>
        <v>2</v>
      </c>
      <c r="BX100" s="52">
        <f t="shared" si="84"/>
        <v>6</v>
      </c>
      <c r="BY100" s="52">
        <f t="shared" si="84"/>
        <v>6</v>
      </c>
      <c r="BZ100" s="52">
        <f t="shared" si="84"/>
        <v>6</v>
      </c>
      <c r="CA100" s="52">
        <f t="shared" si="84"/>
        <v>6</v>
      </c>
      <c r="CB100" s="52">
        <f t="shared" si="84"/>
        <v>5</v>
      </c>
      <c r="CC100" s="52">
        <f t="shared" si="84"/>
        <v>5</v>
      </c>
      <c r="CD100" s="52">
        <f t="shared" si="84"/>
        <v>4</v>
      </c>
      <c r="CE100" s="52">
        <f t="shared" si="84"/>
        <v>4</v>
      </c>
      <c r="CF100" s="52">
        <f t="shared" si="84"/>
        <v>4</v>
      </c>
      <c r="CG100" s="52">
        <f t="shared" si="84"/>
        <v>3</v>
      </c>
      <c r="CH100" s="52">
        <f t="shared" si="84"/>
        <v>3</v>
      </c>
      <c r="CI100" s="52">
        <f t="shared" si="84"/>
        <v>3</v>
      </c>
      <c r="CJ100" s="52">
        <f t="shared" si="84"/>
        <v>3</v>
      </c>
      <c r="CK100" s="52">
        <f t="shared" si="84"/>
        <v>2</v>
      </c>
      <c r="CL100" s="52">
        <f t="shared" si="84"/>
        <v>2</v>
      </c>
      <c r="CM100" s="52">
        <f t="shared" si="84"/>
        <v>2</v>
      </c>
      <c r="CN100" s="52">
        <f t="shared" si="84"/>
        <v>2</v>
      </c>
      <c r="CO100" s="52">
        <f t="shared" si="84"/>
        <v>2</v>
      </c>
      <c r="CP100" s="52">
        <f t="shared" si="84"/>
        <v>2</v>
      </c>
      <c r="CQ100" s="52">
        <f t="shared" si="84"/>
        <v>2</v>
      </c>
      <c r="CR100" s="52">
        <f t="shared" si="84"/>
        <v>0</v>
      </c>
      <c r="CS100" s="52">
        <f t="shared" si="84"/>
        <v>0</v>
      </c>
      <c r="CT100" s="52">
        <f t="shared" si="84"/>
        <v>0</v>
      </c>
      <c r="CU100" s="52">
        <f t="shared" si="84"/>
        <v>0</v>
      </c>
      <c r="CV100" s="52">
        <f t="shared" si="84"/>
        <v>0</v>
      </c>
      <c r="CW100" s="52">
        <f t="shared" si="84"/>
        <v>0</v>
      </c>
      <c r="CX100" s="52">
        <f t="shared" si="84"/>
        <v>0</v>
      </c>
      <c r="CY100" s="52">
        <f t="shared" si="84"/>
        <v>0</v>
      </c>
      <c r="CZ100" s="52">
        <f t="shared" si="84"/>
        <v>0</v>
      </c>
      <c r="DA100" s="52">
        <f t="shared" si="84"/>
        <v>0</v>
      </c>
      <c r="DB100" s="52">
        <f t="shared" si="84"/>
        <v>0</v>
      </c>
      <c r="DC100" s="52">
        <f t="shared" si="84"/>
        <v>0</v>
      </c>
      <c r="DD100" s="52">
        <f t="shared" si="84"/>
        <v>0</v>
      </c>
      <c r="DE100" s="52">
        <f t="shared" si="84"/>
        <v>0</v>
      </c>
      <c r="DF100" s="52">
        <f t="shared" si="84"/>
        <v>0</v>
      </c>
      <c r="DG100" s="52">
        <f t="shared" si="84"/>
        <v>0</v>
      </c>
      <c r="DH100" s="52">
        <f t="shared" si="84"/>
        <v>0</v>
      </c>
      <c r="DI100" s="52">
        <f t="shared" si="84"/>
        <v>0</v>
      </c>
      <c r="DJ100" s="52">
        <f t="shared" si="84"/>
        <v>0</v>
      </c>
    </row>
    <row r="101" ht="15.75" customHeight="1">
      <c r="B101" s="52" t="s">
        <v>1792</v>
      </c>
      <c r="C101" s="52">
        <v>10.0</v>
      </c>
      <c r="D101" s="52" t="s">
        <v>1786</v>
      </c>
      <c r="E101" s="58"/>
      <c r="F101" s="58"/>
      <c r="G101" s="58"/>
      <c r="H101" s="65">
        <v>0.08</v>
      </c>
      <c r="I101" s="65">
        <v>0.08</v>
      </c>
      <c r="J101" s="65">
        <v>0.07</v>
      </c>
      <c r="K101" s="65">
        <v>0.07</v>
      </c>
      <c r="L101" s="65">
        <v>0.06</v>
      </c>
      <c r="M101" s="65">
        <v>0.06</v>
      </c>
      <c r="N101" s="65">
        <v>0.05</v>
      </c>
      <c r="O101" s="65">
        <v>0.05</v>
      </c>
      <c r="P101" s="65">
        <v>0.05</v>
      </c>
      <c r="Q101" s="65">
        <v>0.04</v>
      </c>
      <c r="R101" s="65">
        <v>0.04</v>
      </c>
      <c r="S101" s="65">
        <v>0.04</v>
      </c>
      <c r="T101" s="65">
        <v>0.04</v>
      </c>
      <c r="U101" s="65">
        <v>0.03</v>
      </c>
      <c r="V101" s="65">
        <v>0.03</v>
      </c>
      <c r="W101" s="65">
        <v>0.03</v>
      </c>
      <c r="X101" s="65">
        <v>0.03</v>
      </c>
      <c r="Y101" s="65">
        <v>0.03</v>
      </c>
      <c r="Z101" s="65">
        <v>0.02</v>
      </c>
      <c r="AA101" s="65">
        <v>0.02</v>
      </c>
      <c r="AB101" s="65">
        <v>0.03</v>
      </c>
      <c r="AC101" s="65">
        <v>0.03</v>
      </c>
      <c r="AD101" s="65">
        <v>0.02</v>
      </c>
      <c r="BT101" s="52">
        <f t="shared" ref="BT101:DJ101" si="85">ROUND($BT29*E101,0)</f>
        <v>0</v>
      </c>
      <c r="BU101" s="52">
        <f t="shared" si="85"/>
        <v>0</v>
      </c>
      <c r="BV101" s="52">
        <f t="shared" si="85"/>
        <v>0</v>
      </c>
      <c r="BW101" s="52">
        <f t="shared" si="85"/>
        <v>12</v>
      </c>
      <c r="BX101" s="52">
        <f t="shared" si="85"/>
        <v>12</v>
      </c>
      <c r="BY101" s="52">
        <f t="shared" si="85"/>
        <v>10</v>
      </c>
      <c r="BZ101" s="52">
        <f t="shared" si="85"/>
        <v>10</v>
      </c>
      <c r="CA101" s="52">
        <f t="shared" si="85"/>
        <v>9</v>
      </c>
      <c r="CB101" s="52">
        <f t="shared" si="85"/>
        <v>9</v>
      </c>
      <c r="CC101" s="52">
        <f t="shared" si="85"/>
        <v>7</v>
      </c>
      <c r="CD101" s="52">
        <f t="shared" si="85"/>
        <v>7</v>
      </c>
      <c r="CE101" s="52">
        <f t="shared" si="85"/>
        <v>7</v>
      </c>
      <c r="CF101" s="52">
        <f t="shared" si="85"/>
        <v>6</v>
      </c>
      <c r="CG101" s="52">
        <f t="shared" si="85"/>
        <v>6</v>
      </c>
      <c r="CH101" s="52">
        <f t="shared" si="85"/>
        <v>6</v>
      </c>
      <c r="CI101" s="52">
        <f t="shared" si="85"/>
        <v>6</v>
      </c>
      <c r="CJ101" s="52">
        <f t="shared" si="85"/>
        <v>4</v>
      </c>
      <c r="CK101" s="52">
        <f t="shared" si="85"/>
        <v>4</v>
      </c>
      <c r="CL101" s="52">
        <f t="shared" si="85"/>
        <v>4</v>
      </c>
      <c r="CM101" s="52">
        <f t="shared" si="85"/>
        <v>4</v>
      </c>
      <c r="CN101" s="52">
        <f t="shared" si="85"/>
        <v>4</v>
      </c>
      <c r="CO101" s="52">
        <f t="shared" si="85"/>
        <v>3</v>
      </c>
      <c r="CP101" s="52">
        <f t="shared" si="85"/>
        <v>3</v>
      </c>
      <c r="CQ101" s="52">
        <f t="shared" si="85"/>
        <v>4</v>
      </c>
      <c r="CR101" s="52">
        <f t="shared" si="85"/>
        <v>4</v>
      </c>
      <c r="CS101" s="52">
        <f t="shared" si="85"/>
        <v>3</v>
      </c>
      <c r="CT101" s="52">
        <f t="shared" si="85"/>
        <v>0</v>
      </c>
      <c r="CU101" s="52">
        <f t="shared" si="85"/>
        <v>0</v>
      </c>
      <c r="CV101" s="52">
        <f t="shared" si="85"/>
        <v>0</v>
      </c>
      <c r="CW101" s="52">
        <f t="shared" si="85"/>
        <v>0</v>
      </c>
      <c r="CX101" s="52">
        <f t="shared" si="85"/>
        <v>0</v>
      </c>
      <c r="CY101" s="52">
        <f t="shared" si="85"/>
        <v>0</v>
      </c>
      <c r="CZ101" s="52">
        <f t="shared" si="85"/>
        <v>0</v>
      </c>
      <c r="DA101" s="52">
        <f t="shared" si="85"/>
        <v>0</v>
      </c>
      <c r="DB101" s="52">
        <f t="shared" si="85"/>
        <v>0</v>
      </c>
      <c r="DC101" s="52">
        <f t="shared" si="85"/>
        <v>0</v>
      </c>
      <c r="DD101" s="52">
        <f t="shared" si="85"/>
        <v>0</v>
      </c>
      <c r="DE101" s="52">
        <f t="shared" si="85"/>
        <v>0</v>
      </c>
      <c r="DF101" s="52">
        <f t="shared" si="85"/>
        <v>0</v>
      </c>
      <c r="DG101" s="52">
        <f t="shared" si="85"/>
        <v>0</v>
      </c>
      <c r="DH101" s="52">
        <f t="shared" si="85"/>
        <v>0</v>
      </c>
      <c r="DI101" s="52">
        <f t="shared" si="85"/>
        <v>0</v>
      </c>
      <c r="DJ101" s="52">
        <f t="shared" si="85"/>
        <v>0</v>
      </c>
    </row>
    <row r="102" ht="15.75" customHeight="1">
      <c r="B102" s="52" t="s">
        <v>1792</v>
      </c>
      <c r="C102" s="52">
        <v>10.0</v>
      </c>
      <c r="D102" s="52" t="s">
        <v>1787</v>
      </c>
      <c r="E102" s="58"/>
      <c r="F102" s="58"/>
      <c r="G102" s="58"/>
      <c r="H102" s="58"/>
      <c r="I102" s="58"/>
      <c r="J102" s="65">
        <v>0.08</v>
      </c>
      <c r="K102" s="65">
        <v>0.08</v>
      </c>
      <c r="L102" s="65">
        <v>0.07</v>
      </c>
      <c r="M102" s="65">
        <v>0.07</v>
      </c>
      <c r="N102" s="65">
        <v>0.06</v>
      </c>
      <c r="O102" s="65">
        <v>0.06</v>
      </c>
      <c r="P102" s="65">
        <v>0.05</v>
      </c>
      <c r="Q102" s="65">
        <v>0.05</v>
      </c>
      <c r="R102" s="65">
        <v>0.05</v>
      </c>
      <c r="S102" s="65">
        <v>0.04</v>
      </c>
      <c r="T102" s="65">
        <v>0.04</v>
      </c>
      <c r="U102" s="65">
        <v>0.04</v>
      </c>
      <c r="V102" s="65">
        <v>0.04</v>
      </c>
      <c r="W102" s="65">
        <v>0.03</v>
      </c>
      <c r="X102" s="65">
        <v>0.03</v>
      </c>
      <c r="Y102" s="65">
        <v>0.03</v>
      </c>
      <c r="Z102" s="65">
        <v>0.03</v>
      </c>
      <c r="AA102" s="65">
        <v>0.03</v>
      </c>
      <c r="AB102" s="65">
        <v>0.02</v>
      </c>
      <c r="AC102" s="65">
        <v>0.02</v>
      </c>
      <c r="AD102" s="65">
        <v>0.03</v>
      </c>
      <c r="BT102" s="52">
        <f t="shared" ref="BT102:DJ102" si="86">ROUND($BT30*E102,0)</f>
        <v>0</v>
      </c>
      <c r="BU102" s="52">
        <f t="shared" si="86"/>
        <v>0</v>
      </c>
      <c r="BV102" s="52">
        <f t="shared" si="86"/>
        <v>0</v>
      </c>
      <c r="BW102" s="52">
        <f t="shared" si="86"/>
        <v>0</v>
      </c>
      <c r="BX102" s="52">
        <f t="shared" si="86"/>
        <v>0</v>
      </c>
      <c r="BY102" s="52">
        <f t="shared" si="86"/>
        <v>2</v>
      </c>
      <c r="BZ102" s="52">
        <f t="shared" si="86"/>
        <v>2</v>
      </c>
      <c r="CA102" s="52">
        <f t="shared" si="86"/>
        <v>2</v>
      </c>
      <c r="CB102" s="52">
        <f t="shared" si="86"/>
        <v>2</v>
      </c>
      <c r="CC102" s="52">
        <f t="shared" si="86"/>
        <v>2</v>
      </c>
      <c r="CD102" s="52">
        <f t="shared" si="86"/>
        <v>2</v>
      </c>
      <c r="CE102" s="52">
        <f t="shared" si="86"/>
        <v>1</v>
      </c>
      <c r="CF102" s="52">
        <f t="shared" si="86"/>
        <v>1</v>
      </c>
      <c r="CG102" s="52">
        <f t="shared" si="86"/>
        <v>1</v>
      </c>
      <c r="CH102" s="52">
        <f t="shared" si="86"/>
        <v>1</v>
      </c>
      <c r="CI102" s="52">
        <f t="shared" si="86"/>
        <v>1</v>
      </c>
      <c r="CJ102" s="52">
        <f t="shared" si="86"/>
        <v>1</v>
      </c>
      <c r="CK102" s="52">
        <f t="shared" si="86"/>
        <v>1</v>
      </c>
      <c r="CL102" s="52">
        <f t="shared" si="86"/>
        <v>1</v>
      </c>
      <c r="CM102" s="52">
        <f t="shared" si="86"/>
        <v>1</v>
      </c>
      <c r="CN102" s="52">
        <f t="shared" si="86"/>
        <v>1</v>
      </c>
      <c r="CO102" s="52">
        <f t="shared" si="86"/>
        <v>1</v>
      </c>
      <c r="CP102" s="52">
        <f t="shared" si="86"/>
        <v>1</v>
      </c>
      <c r="CQ102" s="52">
        <f t="shared" si="86"/>
        <v>1</v>
      </c>
      <c r="CR102" s="52">
        <f t="shared" si="86"/>
        <v>1</v>
      </c>
      <c r="CS102" s="52">
        <f t="shared" si="86"/>
        <v>1</v>
      </c>
      <c r="CT102" s="52">
        <f t="shared" si="86"/>
        <v>0</v>
      </c>
      <c r="CU102" s="52">
        <f t="shared" si="86"/>
        <v>0</v>
      </c>
      <c r="CV102" s="52">
        <f t="shared" si="86"/>
        <v>0</v>
      </c>
      <c r="CW102" s="52">
        <f t="shared" si="86"/>
        <v>0</v>
      </c>
      <c r="CX102" s="52">
        <f t="shared" si="86"/>
        <v>0</v>
      </c>
      <c r="CY102" s="52">
        <f t="shared" si="86"/>
        <v>0</v>
      </c>
      <c r="CZ102" s="52">
        <f t="shared" si="86"/>
        <v>0</v>
      </c>
      <c r="DA102" s="52">
        <f t="shared" si="86"/>
        <v>0</v>
      </c>
      <c r="DB102" s="52">
        <f t="shared" si="86"/>
        <v>0</v>
      </c>
      <c r="DC102" s="52">
        <f t="shared" si="86"/>
        <v>0</v>
      </c>
      <c r="DD102" s="52">
        <f t="shared" si="86"/>
        <v>0</v>
      </c>
      <c r="DE102" s="52">
        <f t="shared" si="86"/>
        <v>0</v>
      </c>
      <c r="DF102" s="52">
        <f t="shared" si="86"/>
        <v>0</v>
      </c>
      <c r="DG102" s="52">
        <f t="shared" si="86"/>
        <v>0</v>
      </c>
      <c r="DH102" s="52">
        <f t="shared" si="86"/>
        <v>0</v>
      </c>
      <c r="DI102" s="52">
        <f t="shared" si="86"/>
        <v>0</v>
      </c>
      <c r="DJ102" s="52">
        <f t="shared" si="86"/>
        <v>0</v>
      </c>
    </row>
    <row r="103" ht="15.75" customHeight="1">
      <c r="B103" s="52" t="s">
        <v>1792</v>
      </c>
      <c r="C103" s="52">
        <v>10.0</v>
      </c>
      <c r="D103" s="52" t="s">
        <v>1788</v>
      </c>
      <c r="E103" s="58"/>
      <c r="F103" s="58"/>
      <c r="G103" s="58"/>
      <c r="H103" s="58"/>
      <c r="I103" s="58"/>
      <c r="J103" s="58"/>
      <c r="K103" s="65">
        <v>0.08</v>
      </c>
      <c r="L103" s="65">
        <v>0.08</v>
      </c>
      <c r="M103" s="65">
        <v>0.07</v>
      </c>
      <c r="N103" s="65">
        <v>0.07</v>
      </c>
      <c r="O103" s="65">
        <v>0.06</v>
      </c>
      <c r="P103" s="65">
        <v>0.06</v>
      </c>
      <c r="Q103" s="65">
        <v>0.05</v>
      </c>
      <c r="R103" s="65">
        <v>0.05</v>
      </c>
      <c r="S103" s="65">
        <v>0.05</v>
      </c>
      <c r="T103" s="65">
        <v>0.04</v>
      </c>
      <c r="U103" s="65">
        <v>0.04</v>
      </c>
      <c r="V103" s="65">
        <v>0.04</v>
      </c>
      <c r="W103" s="65">
        <v>0.04</v>
      </c>
      <c r="X103" s="65">
        <v>0.03</v>
      </c>
      <c r="Y103" s="65">
        <v>0.03</v>
      </c>
      <c r="Z103" s="65">
        <v>0.03</v>
      </c>
      <c r="AA103" s="65">
        <v>0.03</v>
      </c>
      <c r="AB103" s="65">
        <v>0.03</v>
      </c>
      <c r="AC103" s="65">
        <v>0.02</v>
      </c>
      <c r="AD103" s="65">
        <v>0.02</v>
      </c>
      <c r="BT103" s="52">
        <f t="shared" ref="BT103:DJ103" si="87">ROUND($BT31*E103,0)</f>
        <v>0</v>
      </c>
      <c r="BU103" s="52">
        <f t="shared" si="87"/>
        <v>0</v>
      </c>
      <c r="BV103" s="52">
        <f t="shared" si="87"/>
        <v>0</v>
      </c>
      <c r="BW103" s="52">
        <f t="shared" si="87"/>
        <v>0</v>
      </c>
      <c r="BX103" s="52">
        <f t="shared" si="87"/>
        <v>0</v>
      </c>
      <c r="BY103" s="52">
        <f t="shared" si="87"/>
        <v>0</v>
      </c>
      <c r="BZ103" s="52">
        <f t="shared" si="87"/>
        <v>2</v>
      </c>
      <c r="CA103" s="52">
        <f t="shared" si="87"/>
        <v>2</v>
      </c>
      <c r="CB103" s="52">
        <f t="shared" si="87"/>
        <v>2</v>
      </c>
      <c r="CC103" s="52">
        <f t="shared" si="87"/>
        <v>2</v>
      </c>
      <c r="CD103" s="52">
        <f t="shared" si="87"/>
        <v>1</v>
      </c>
      <c r="CE103" s="52">
        <f t="shared" si="87"/>
        <v>1</v>
      </c>
      <c r="CF103" s="52">
        <f t="shared" si="87"/>
        <v>1</v>
      </c>
      <c r="CG103" s="52">
        <f t="shared" si="87"/>
        <v>1</v>
      </c>
      <c r="CH103" s="52">
        <f t="shared" si="87"/>
        <v>1</v>
      </c>
      <c r="CI103" s="52">
        <f t="shared" si="87"/>
        <v>1</v>
      </c>
      <c r="CJ103" s="52">
        <f t="shared" si="87"/>
        <v>1</v>
      </c>
      <c r="CK103" s="52">
        <f t="shared" si="87"/>
        <v>1</v>
      </c>
      <c r="CL103" s="52">
        <f t="shared" si="87"/>
        <v>1</v>
      </c>
      <c r="CM103" s="52">
        <f t="shared" si="87"/>
        <v>1</v>
      </c>
      <c r="CN103" s="52">
        <f t="shared" si="87"/>
        <v>1</v>
      </c>
      <c r="CO103" s="52">
        <f t="shared" si="87"/>
        <v>1</v>
      </c>
      <c r="CP103" s="52">
        <f t="shared" si="87"/>
        <v>1</v>
      </c>
      <c r="CQ103" s="52">
        <f t="shared" si="87"/>
        <v>1</v>
      </c>
      <c r="CR103" s="52">
        <f t="shared" si="87"/>
        <v>0</v>
      </c>
      <c r="CS103" s="52">
        <f t="shared" si="87"/>
        <v>0</v>
      </c>
      <c r="CT103" s="52">
        <f t="shared" si="87"/>
        <v>0</v>
      </c>
      <c r="CU103" s="52">
        <f t="shared" si="87"/>
        <v>0</v>
      </c>
      <c r="CV103" s="52">
        <f t="shared" si="87"/>
        <v>0</v>
      </c>
      <c r="CW103" s="52">
        <f t="shared" si="87"/>
        <v>0</v>
      </c>
      <c r="CX103" s="52">
        <f t="shared" si="87"/>
        <v>0</v>
      </c>
      <c r="CY103" s="52">
        <f t="shared" si="87"/>
        <v>0</v>
      </c>
      <c r="CZ103" s="52">
        <f t="shared" si="87"/>
        <v>0</v>
      </c>
      <c r="DA103" s="52">
        <f t="shared" si="87"/>
        <v>0</v>
      </c>
      <c r="DB103" s="52">
        <f t="shared" si="87"/>
        <v>0</v>
      </c>
      <c r="DC103" s="52">
        <f t="shared" si="87"/>
        <v>0</v>
      </c>
      <c r="DD103" s="52">
        <f t="shared" si="87"/>
        <v>0</v>
      </c>
      <c r="DE103" s="52">
        <f t="shared" si="87"/>
        <v>0</v>
      </c>
      <c r="DF103" s="52">
        <f t="shared" si="87"/>
        <v>0</v>
      </c>
      <c r="DG103" s="52">
        <f t="shared" si="87"/>
        <v>0</v>
      </c>
      <c r="DH103" s="52">
        <f t="shared" si="87"/>
        <v>0</v>
      </c>
      <c r="DI103" s="52">
        <f t="shared" si="87"/>
        <v>0</v>
      </c>
      <c r="DJ103" s="52">
        <f t="shared" si="87"/>
        <v>0</v>
      </c>
    </row>
    <row r="104" ht="15.75" customHeight="1">
      <c r="B104" s="52" t="s">
        <v>1792</v>
      </c>
      <c r="C104" s="52">
        <v>10.0</v>
      </c>
      <c r="D104" s="52" t="s">
        <v>1789</v>
      </c>
      <c r="E104" s="58"/>
      <c r="F104" s="58"/>
      <c r="G104" s="58"/>
      <c r="H104" s="58"/>
      <c r="I104" s="58"/>
      <c r="J104" s="58"/>
      <c r="K104" s="58"/>
      <c r="L104" s="65">
        <v>0.08</v>
      </c>
      <c r="M104" s="65">
        <v>0.08</v>
      </c>
      <c r="N104" s="65">
        <v>0.07</v>
      </c>
      <c r="O104" s="65">
        <v>0.07</v>
      </c>
      <c r="P104" s="65">
        <v>0.06</v>
      </c>
      <c r="Q104" s="65">
        <v>0.06</v>
      </c>
      <c r="R104" s="65">
        <v>0.05</v>
      </c>
      <c r="S104" s="65">
        <v>0.05</v>
      </c>
      <c r="T104" s="65">
        <v>0.05</v>
      </c>
      <c r="U104" s="65">
        <v>0.04</v>
      </c>
      <c r="V104" s="65">
        <v>0.04</v>
      </c>
      <c r="W104" s="65">
        <v>0.04</v>
      </c>
      <c r="X104" s="65">
        <v>0.04</v>
      </c>
      <c r="Y104" s="65">
        <v>0.03</v>
      </c>
      <c r="Z104" s="65">
        <v>0.03</v>
      </c>
      <c r="AA104" s="65">
        <v>0.03</v>
      </c>
      <c r="AB104" s="65">
        <v>0.03</v>
      </c>
      <c r="AC104" s="65">
        <v>0.03</v>
      </c>
      <c r="AD104" s="65">
        <v>0.02</v>
      </c>
      <c r="BT104" s="52">
        <f t="shared" ref="BT104:DJ104" si="88">ROUND($BT32*E104,0)</f>
        <v>0</v>
      </c>
      <c r="BU104" s="52">
        <f t="shared" si="88"/>
        <v>0</v>
      </c>
      <c r="BV104" s="52">
        <f t="shared" si="88"/>
        <v>0</v>
      </c>
      <c r="BW104" s="52">
        <f t="shared" si="88"/>
        <v>0</v>
      </c>
      <c r="BX104" s="52">
        <f t="shared" si="88"/>
        <v>0</v>
      </c>
      <c r="BY104" s="52">
        <f t="shared" si="88"/>
        <v>0</v>
      </c>
      <c r="BZ104" s="52">
        <f t="shared" si="88"/>
        <v>0</v>
      </c>
      <c r="CA104" s="52">
        <f t="shared" si="88"/>
        <v>4</v>
      </c>
      <c r="CB104" s="52">
        <f t="shared" si="88"/>
        <v>4</v>
      </c>
      <c r="CC104" s="52">
        <f t="shared" si="88"/>
        <v>3</v>
      </c>
      <c r="CD104" s="52">
        <f t="shared" si="88"/>
        <v>3</v>
      </c>
      <c r="CE104" s="52">
        <f t="shared" si="88"/>
        <v>3</v>
      </c>
      <c r="CF104" s="52">
        <f t="shared" si="88"/>
        <v>3</v>
      </c>
      <c r="CG104" s="52">
        <f t="shared" si="88"/>
        <v>2</v>
      </c>
      <c r="CH104" s="52">
        <f t="shared" si="88"/>
        <v>2</v>
      </c>
      <c r="CI104" s="52">
        <f t="shared" si="88"/>
        <v>2</v>
      </c>
      <c r="CJ104" s="52">
        <f t="shared" si="88"/>
        <v>2</v>
      </c>
      <c r="CK104" s="52">
        <f t="shared" si="88"/>
        <v>2</v>
      </c>
      <c r="CL104" s="52">
        <f t="shared" si="88"/>
        <v>2</v>
      </c>
      <c r="CM104" s="52">
        <f t="shared" si="88"/>
        <v>2</v>
      </c>
      <c r="CN104" s="52">
        <f t="shared" si="88"/>
        <v>1</v>
      </c>
      <c r="CO104" s="52">
        <f t="shared" si="88"/>
        <v>1</v>
      </c>
      <c r="CP104" s="52">
        <f t="shared" si="88"/>
        <v>1</v>
      </c>
      <c r="CQ104" s="52">
        <f t="shared" si="88"/>
        <v>1</v>
      </c>
      <c r="CR104" s="52">
        <f t="shared" si="88"/>
        <v>1</v>
      </c>
      <c r="CS104" s="52">
        <f t="shared" si="88"/>
        <v>1</v>
      </c>
      <c r="CT104" s="52">
        <f t="shared" si="88"/>
        <v>0</v>
      </c>
      <c r="CU104" s="52">
        <f t="shared" si="88"/>
        <v>0</v>
      </c>
      <c r="CV104" s="52">
        <f t="shared" si="88"/>
        <v>0</v>
      </c>
      <c r="CW104" s="52">
        <f t="shared" si="88"/>
        <v>0</v>
      </c>
      <c r="CX104" s="52">
        <f t="shared" si="88"/>
        <v>0</v>
      </c>
      <c r="CY104" s="52">
        <f t="shared" si="88"/>
        <v>0</v>
      </c>
      <c r="CZ104" s="52">
        <f t="shared" si="88"/>
        <v>0</v>
      </c>
      <c r="DA104" s="52">
        <f t="shared" si="88"/>
        <v>0</v>
      </c>
      <c r="DB104" s="52">
        <f t="shared" si="88"/>
        <v>0</v>
      </c>
      <c r="DC104" s="52">
        <f t="shared" si="88"/>
        <v>0</v>
      </c>
      <c r="DD104" s="52">
        <f t="shared" si="88"/>
        <v>0</v>
      </c>
      <c r="DE104" s="52">
        <f t="shared" si="88"/>
        <v>0</v>
      </c>
      <c r="DF104" s="52">
        <f t="shared" si="88"/>
        <v>0</v>
      </c>
      <c r="DG104" s="52">
        <f t="shared" si="88"/>
        <v>0</v>
      </c>
      <c r="DH104" s="52">
        <f t="shared" si="88"/>
        <v>0</v>
      </c>
      <c r="DI104" s="52">
        <f t="shared" si="88"/>
        <v>0</v>
      </c>
      <c r="DJ104" s="52">
        <f t="shared" si="88"/>
        <v>0</v>
      </c>
    </row>
    <row r="105" ht="15.75" customHeight="1">
      <c r="B105" s="52" t="s">
        <v>1792</v>
      </c>
      <c r="C105" s="52">
        <v>10.0</v>
      </c>
      <c r="D105" s="52" t="s">
        <v>1790</v>
      </c>
      <c r="E105" s="58"/>
      <c r="F105" s="58"/>
      <c r="G105" s="58"/>
      <c r="H105" s="58"/>
      <c r="I105" s="58"/>
      <c r="J105" s="58"/>
      <c r="K105" s="58"/>
      <c r="L105" s="58"/>
      <c r="M105" s="58"/>
      <c r="N105" s="65">
        <v>0.08</v>
      </c>
      <c r="O105" s="65">
        <v>0.08</v>
      </c>
      <c r="P105" s="65">
        <v>0.07</v>
      </c>
      <c r="Q105" s="65">
        <v>0.07</v>
      </c>
      <c r="R105" s="65">
        <v>0.06</v>
      </c>
      <c r="S105" s="65">
        <v>0.06</v>
      </c>
      <c r="T105" s="65">
        <v>0.05</v>
      </c>
      <c r="U105" s="65">
        <v>0.05</v>
      </c>
      <c r="V105" s="65">
        <v>0.05</v>
      </c>
      <c r="W105" s="65">
        <v>0.04</v>
      </c>
      <c r="X105" s="65">
        <v>0.04</v>
      </c>
      <c r="Y105" s="65">
        <v>0.04</v>
      </c>
      <c r="Z105" s="65">
        <v>0.04</v>
      </c>
      <c r="AA105" s="65">
        <v>0.03</v>
      </c>
      <c r="AB105" s="65">
        <v>0.03</v>
      </c>
      <c r="AC105" s="65">
        <v>0.03</v>
      </c>
      <c r="AD105" s="65">
        <v>0.03</v>
      </c>
      <c r="BT105" s="52">
        <f t="shared" ref="BT105:DJ105" si="89">ROUND($BT33*E105,0)</f>
        <v>0</v>
      </c>
      <c r="BU105" s="52">
        <f t="shared" si="89"/>
        <v>0</v>
      </c>
      <c r="BV105" s="52">
        <f t="shared" si="89"/>
        <v>0</v>
      </c>
      <c r="BW105" s="52">
        <f t="shared" si="89"/>
        <v>0</v>
      </c>
      <c r="BX105" s="52">
        <f t="shared" si="89"/>
        <v>0</v>
      </c>
      <c r="BY105" s="52">
        <f t="shared" si="89"/>
        <v>0</v>
      </c>
      <c r="BZ105" s="52">
        <f t="shared" si="89"/>
        <v>0</v>
      </c>
      <c r="CA105" s="52">
        <f t="shared" si="89"/>
        <v>0</v>
      </c>
      <c r="CB105" s="52">
        <f t="shared" si="89"/>
        <v>0</v>
      </c>
      <c r="CC105" s="52">
        <f t="shared" si="89"/>
        <v>5</v>
      </c>
      <c r="CD105" s="52">
        <f t="shared" si="89"/>
        <v>5</v>
      </c>
      <c r="CE105" s="52">
        <f t="shared" si="89"/>
        <v>4</v>
      </c>
      <c r="CF105" s="52">
        <f t="shared" si="89"/>
        <v>4</v>
      </c>
      <c r="CG105" s="52">
        <f t="shared" si="89"/>
        <v>4</v>
      </c>
      <c r="CH105" s="52">
        <f t="shared" si="89"/>
        <v>4</v>
      </c>
      <c r="CI105" s="52">
        <f t="shared" si="89"/>
        <v>3</v>
      </c>
      <c r="CJ105" s="52">
        <f t="shared" si="89"/>
        <v>3</v>
      </c>
      <c r="CK105" s="52">
        <f t="shared" si="89"/>
        <v>3</v>
      </c>
      <c r="CL105" s="52">
        <f t="shared" si="89"/>
        <v>3</v>
      </c>
      <c r="CM105" s="52">
        <f t="shared" si="89"/>
        <v>3</v>
      </c>
      <c r="CN105" s="52">
        <f t="shared" si="89"/>
        <v>3</v>
      </c>
      <c r="CO105" s="52">
        <f t="shared" si="89"/>
        <v>3</v>
      </c>
      <c r="CP105" s="52">
        <f t="shared" si="89"/>
        <v>2</v>
      </c>
      <c r="CQ105" s="52">
        <f t="shared" si="89"/>
        <v>2</v>
      </c>
      <c r="CR105" s="52">
        <f t="shared" si="89"/>
        <v>2</v>
      </c>
      <c r="CS105" s="52">
        <f t="shared" si="89"/>
        <v>2</v>
      </c>
      <c r="CT105" s="52">
        <f t="shared" si="89"/>
        <v>0</v>
      </c>
      <c r="CU105" s="52">
        <f t="shared" si="89"/>
        <v>0</v>
      </c>
      <c r="CV105" s="52">
        <f t="shared" si="89"/>
        <v>0</v>
      </c>
      <c r="CW105" s="52">
        <f t="shared" si="89"/>
        <v>0</v>
      </c>
      <c r="CX105" s="52">
        <f t="shared" si="89"/>
        <v>0</v>
      </c>
      <c r="CY105" s="52">
        <f t="shared" si="89"/>
        <v>0</v>
      </c>
      <c r="CZ105" s="52">
        <f t="shared" si="89"/>
        <v>0</v>
      </c>
      <c r="DA105" s="52">
        <f t="shared" si="89"/>
        <v>0</v>
      </c>
      <c r="DB105" s="52">
        <f t="shared" si="89"/>
        <v>0</v>
      </c>
      <c r="DC105" s="52">
        <f t="shared" si="89"/>
        <v>0</v>
      </c>
      <c r="DD105" s="52">
        <f t="shared" si="89"/>
        <v>0</v>
      </c>
      <c r="DE105" s="52">
        <f t="shared" si="89"/>
        <v>0</v>
      </c>
      <c r="DF105" s="52">
        <f t="shared" si="89"/>
        <v>0</v>
      </c>
      <c r="DG105" s="52">
        <f t="shared" si="89"/>
        <v>0</v>
      </c>
      <c r="DH105" s="52">
        <f t="shared" si="89"/>
        <v>0</v>
      </c>
      <c r="DI105" s="52">
        <f t="shared" si="89"/>
        <v>0</v>
      </c>
      <c r="DJ105" s="52">
        <f t="shared" si="89"/>
        <v>0</v>
      </c>
    </row>
    <row r="106" ht="15.75" customHeight="1">
      <c r="B106" s="52" t="s">
        <v>1792</v>
      </c>
      <c r="C106" s="52">
        <v>11.0</v>
      </c>
      <c r="D106" s="52">
        <v>0.0</v>
      </c>
      <c r="E106" s="65">
        <v>0.07</v>
      </c>
      <c r="F106" s="65">
        <v>0.07</v>
      </c>
      <c r="G106" s="65">
        <v>0.07</v>
      </c>
      <c r="H106" s="65">
        <v>0.07</v>
      </c>
      <c r="I106" s="65">
        <v>0.07</v>
      </c>
      <c r="J106" s="65">
        <v>0.07</v>
      </c>
      <c r="K106" s="65">
        <v>0.07</v>
      </c>
      <c r="L106" s="65">
        <v>0.07</v>
      </c>
      <c r="M106" s="65">
        <v>0.07</v>
      </c>
      <c r="N106" s="65">
        <v>0.03</v>
      </c>
      <c r="O106" s="65">
        <v>0.03</v>
      </c>
      <c r="P106" s="65">
        <v>0.03</v>
      </c>
      <c r="Q106" s="65">
        <v>0.03</v>
      </c>
      <c r="R106" s="65">
        <v>0.03</v>
      </c>
      <c r="S106" s="65">
        <v>0.03</v>
      </c>
      <c r="T106" s="65">
        <v>0.03</v>
      </c>
      <c r="U106" s="65">
        <v>0.02</v>
      </c>
      <c r="V106" s="65">
        <v>0.02</v>
      </c>
      <c r="W106" s="65">
        <v>0.02</v>
      </c>
      <c r="X106" s="65">
        <v>0.02</v>
      </c>
      <c r="Y106" s="65">
        <v>0.02</v>
      </c>
      <c r="Z106" s="65">
        <v>0.02</v>
      </c>
      <c r="AA106" s="65">
        <v>0.02</v>
      </c>
      <c r="AB106" s="65">
        <v>0.02</v>
      </c>
      <c r="AC106" s="58"/>
      <c r="AD106" s="58"/>
      <c r="BU106" s="52">
        <f t="shared" ref="BU106:DJ106" si="90">ROUND($BU27*E106,0)</f>
        <v>0</v>
      </c>
      <c r="BV106" s="52">
        <f t="shared" si="90"/>
        <v>0</v>
      </c>
      <c r="BW106" s="52">
        <f t="shared" si="90"/>
        <v>0</v>
      </c>
      <c r="BX106" s="52">
        <f t="shared" si="90"/>
        <v>0</v>
      </c>
      <c r="BY106" s="52">
        <f t="shared" si="90"/>
        <v>0</v>
      </c>
      <c r="BZ106" s="52">
        <f t="shared" si="90"/>
        <v>0</v>
      </c>
      <c r="CA106" s="52">
        <f t="shared" si="90"/>
        <v>0</v>
      </c>
      <c r="CB106" s="52">
        <f t="shared" si="90"/>
        <v>0</v>
      </c>
      <c r="CC106" s="52">
        <f t="shared" si="90"/>
        <v>0</v>
      </c>
      <c r="CD106" s="52">
        <f t="shared" si="90"/>
        <v>0</v>
      </c>
      <c r="CE106" s="52">
        <f t="shared" si="90"/>
        <v>0</v>
      </c>
      <c r="CF106" s="52">
        <f t="shared" si="90"/>
        <v>0</v>
      </c>
      <c r="CG106" s="52">
        <f t="shared" si="90"/>
        <v>0</v>
      </c>
      <c r="CH106" s="52">
        <f t="shared" si="90"/>
        <v>0</v>
      </c>
      <c r="CI106" s="52">
        <f t="shared" si="90"/>
        <v>0</v>
      </c>
      <c r="CJ106" s="52">
        <f t="shared" si="90"/>
        <v>0</v>
      </c>
      <c r="CK106" s="52">
        <f t="shared" si="90"/>
        <v>0</v>
      </c>
      <c r="CL106" s="52">
        <f t="shared" si="90"/>
        <v>0</v>
      </c>
      <c r="CM106" s="52">
        <f t="shared" si="90"/>
        <v>0</v>
      </c>
      <c r="CN106" s="52">
        <f t="shared" si="90"/>
        <v>0</v>
      </c>
      <c r="CO106" s="52">
        <f t="shared" si="90"/>
        <v>0</v>
      </c>
      <c r="CP106" s="52">
        <f t="shared" si="90"/>
        <v>0</v>
      </c>
      <c r="CQ106" s="52">
        <f t="shared" si="90"/>
        <v>0</v>
      </c>
      <c r="CR106" s="52">
        <f t="shared" si="90"/>
        <v>0</v>
      </c>
      <c r="CS106" s="52">
        <f t="shared" si="90"/>
        <v>0</v>
      </c>
      <c r="CT106" s="52">
        <f t="shared" si="90"/>
        <v>0</v>
      </c>
      <c r="CU106" s="52">
        <f t="shared" si="90"/>
        <v>0</v>
      </c>
      <c r="CV106" s="52">
        <f t="shared" si="90"/>
        <v>0</v>
      </c>
      <c r="CW106" s="52">
        <f t="shared" si="90"/>
        <v>0</v>
      </c>
      <c r="CX106" s="52">
        <f t="shared" si="90"/>
        <v>0</v>
      </c>
      <c r="CY106" s="52">
        <f t="shared" si="90"/>
        <v>0</v>
      </c>
      <c r="CZ106" s="52">
        <f t="shared" si="90"/>
        <v>0</v>
      </c>
      <c r="DA106" s="52">
        <f t="shared" si="90"/>
        <v>0</v>
      </c>
      <c r="DB106" s="52">
        <f t="shared" si="90"/>
        <v>0</v>
      </c>
      <c r="DC106" s="52">
        <f t="shared" si="90"/>
        <v>0</v>
      </c>
      <c r="DD106" s="52">
        <f t="shared" si="90"/>
        <v>0</v>
      </c>
      <c r="DE106" s="52">
        <f t="shared" si="90"/>
        <v>0</v>
      </c>
      <c r="DF106" s="52">
        <f t="shared" si="90"/>
        <v>0</v>
      </c>
      <c r="DG106" s="52">
        <f t="shared" si="90"/>
        <v>0</v>
      </c>
      <c r="DH106" s="52">
        <f t="shared" si="90"/>
        <v>0</v>
      </c>
      <c r="DI106" s="52">
        <f t="shared" si="90"/>
        <v>0</v>
      </c>
      <c r="DJ106" s="52">
        <f t="shared" si="90"/>
        <v>0</v>
      </c>
    </row>
    <row r="107" ht="15.75" customHeight="1">
      <c r="B107" s="52" t="s">
        <v>1792</v>
      </c>
      <c r="C107" s="52">
        <v>11.0</v>
      </c>
      <c r="D107" s="52" t="s">
        <v>1785</v>
      </c>
      <c r="E107" s="65">
        <v>0.02</v>
      </c>
      <c r="F107" s="65">
        <v>0.02</v>
      </c>
      <c r="G107" s="65">
        <v>0.02</v>
      </c>
      <c r="H107" s="65">
        <v>0.02</v>
      </c>
      <c r="I107" s="65">
        <v>0.08</v>
      </c>
      <c r="J107" s="65">
        <v>0.08</v>
      </c>
      <c r="K107" s="65">
        <v>0.07</v>
      </c>
      <c r="L107" s="65">
        <v>0.07</v>
      </c>
      <c r="M107" s="65">
        <v>0.06</v>
      </c>
      <c r="N107" s="65">
        <v>0.06</v>
      </c>
      <c r="O107" s="65">
        <v>0.05</v>
      </c>
      <c r="P107" s="65">
        <v>0.05</v>
      </c>
      <c r="Q107" s="65">
        <v>0.05</v>
      </c>
      <c r="R107" s="65">
        <v>0.04</v>
      </c>
      <c r="S107" s="65">
        <v>0.04</v>
      </c>
      <c r="T107" s="65">
        <v>0.04</v>
      </c>
      <c r="U107" s="65">
        <v>0.04</v>
      </c>
      <c r="V107" s="65">
        <v>0.03</v>
      </c>
      <c r="W107" s="65">
        <v>0.03</v>
      </c>
      <c r="X107" s="65">
        <v>0.03</v>
      </c>
      <c r="Y107" s="65">
        <v>0.03</v>
      </c>
      <c r="Z107" s="65">
        <v>0.03</v>
      </c>
      <c r="AA107" s="65">
        <v>0.02</v>
      </c>
      <c r="AB107" s="65">
        <v>0.02</v>
      </c>
      <c r="AC107" s="58"/>
      <c r="AD107" s="58"/>
      <c r="BU107" s="52">
        <f t="shared" ref="BU107:DJ107" si="91">ROUND($BU28*E107,0)</f>
        <v>0</v>
      </c>
      <c r="BV107" s="52">
        <f t="shared" si="91"/>
        <v>0</v>
      </c>
      <c r="BW107" s="52">
        <f t="shared" si="91"/>
        <v>0</v>
      </c>
      <c r="BX107" s="52">
        <f t="shared" si="91"/>
        <v>0</v>
      </c>
      <c r="BY107" s="52">
        <f t="shared" si="91"/>
        <v>0</v>
      </c>
      <c r="BZ107" s="52">
        <f t="shared" si="91"/>
        <v>0</v>
      </c>
      <c r="CA107" s="52">
        <f t="shared" si="91"/>
        <v>0</v>
      </c>
      <c r="CB107" s="52">
        <f t="shared" si="91"/>
        <v>0</v>
      </c>
      <c r="CC107" s="52">
        <f t="shared" si="91"/>
        <v>0</v>
      </c>
      <c r="CD107" s="52">
        <f t="shared" si="91"/>
        <v>0</v>
      </c>
      <c r="CE107" s="52">
        <f t="shared" si="91"/>
        <v>0</v>
      </c>
      <c r="CF107" s="52">
        <f t="shared" si="91"/>
        <v>0</v>
      </c>
      <c r="CG107" s="52">
        <f t="shared" si="91"/>
        <v>0</v>
      </c>
      <c r="CH107" s="52">
        <f t="shared" si="91"/>
        <v>0</v>
      </c>
      <c r="CI107" s="52">
        <f t="shared" si="91"/>
        <v>0</v>
      </c>
      <c r="CJ107" s="52">
        <f t="shared" si="91"/>
        <v>0</v>
      </c>
      <c r="CK107" s="52">
        <f t="shared" si="91"/>
        <v>0</v>
      </c>
      <c r="CL107" s="52">
        <f t="shared" si="91"/>
        <v>0</v>
      </c>
      <c r="CM107" s="52">
        <f t="shared" si="91"/>
        <v>0</v>
      </c>
      <c r="CN107" s="52">
        <f t="shared" si="91"/>
        <v>0</v>
      </c>
      <c r="CO107" s="52">
        <f t="shared" si="91"/>
        <v>0</v>
      </c>
      <c r="CP107" s="52">
        <f t="shared" si="91"/>
        <v>0</v>
      </c>
      <c r="CQ107" s="52">
        <f t="shared" si="91"/>
        <v>0</v>
      </c>
      <c r="CR107" s="52">
        <f t="shared" si="91"/>
        <v>0</v>
      </c>
      <c r="CS107" s="52">
        <f t="shared" si="91"/>
        <v>0</v>
      </c>
      <c r="CT107" s="52">
        <f t="shared" si="91"/>
        <v>0</v>
      </c>
      <c r="CU107" s="52">
        <f t="shared" si="91"/>
        <v>0</v>
      </c>
      <c r="CV107" s="52">
        <f t="shared" si="91"/>
        <v>0</v>
      </c>
      <c r="CW107" s="52">
        <f t="shared" si="91"/>
        <v>0</v>
      </c>
      <c r="CX107" s="52">
        <f t="shared" si="91"/>
        <v>0</v>
      </c>
      <c r="CY107" s="52">
        <f t="shared" si="91"/>
        <v>0</v>
      </c>
      <c r="CZ107" s="52">
        <f t="shared" si="91"/>
        <v>0</v>
      </c>
      <c r="DA107" s="52">
        <f t="shared" si="91"/>
        <v>0</v>
      </c>
      <c r="DB107" s="52">
        <f t="shared" si="91"/>
        <v>0</v>
      </c>
      <c r="DC107" s="52">
        <f t="shared" si="91"/>
        <v>0</v>
      </c>
      <c r="DD107" s="52">
        <f t="shared" si="91"/>
        <v>0</v>
      </c>
      <c r="DE107" s="52">
        <f t="shared" si="91"/>
        <v>0</v>
      </c>
      <c r="DF107" s="52">
        <f t="shared" si="91"/>
        <v>0</v>
      </c>
      <c r="DG107" s="52">
        <f t="shared" si="91"/>
        <v>0</v>
      </c>
      <c r="DH107" s="52">
        <f t="shared" si="91"/>
        <v>0</v>
      </c>
      <c r="DI107" s="52">
        <f t="shared" si="91"/>
        <v>0</v>
      </c>
      <c r="DJ107" s="52">
        <f t="shared" si="91"/>
        <v>0</v>
      </c>
    </row>
    <row r="108" ht="15.75" customHeight="1">
      <c r="B108" s="52" t="s">
        <v>1792</v>
      </c>
      <c r="C108" s="52">
        <v>11.0</v>
      </c>
      <c r="D108" s="52" t="s">
        <v>1786</v>
      </c>
      <c r="E108" s="58"/>
      <c r="F108" s="58"/>
      <c r="G108" s="58"/>
      <c r="H108" s="65">
        <v>0.08</v>
      </c>
      <c r="I108" s="65">
        <v>0.08</v>
      </c>
      <c r="J108" s="65">
        <v>0.07</v>
      </c>
      <c r="K108" s="65">
        <v>0.07</v>
      </c>
      <c r="L108" s="65">
        <v>0.06</v>
      </c>
      <c r="M108" s="65">
        <v>0.06</v>
      </c>
      <c r="N108" s="65">
        <v>0.05</v>
      </c>
      <c r="O108" s="65">
        <v>0.05</v>
      </c>
      <c r="P108" s="65">
        <v>0.05</v>
      </c>
      <c r="Q108" s="65">
        <v>0.04</v>
      </c>
      <c r="R108" s="65">
        <v>0.04</v>
      </c>
      <c r="S108" s="65">
        <v>0.04</v>
      </c>
      <c r="T108" s="65">
        <v>0.04</v>
      </c>
      <c r="U108" s="65">
        <v>0.03</v>
      </c>
      <c r="V108" s="65">
        <v>0.03</v>
      </c>
      <c r="W108" s="65">
        <v>0.03</v>
      </c>
      <c r="X108" s="65">
        <v>0.03</v>
      </c>
      <c r="Y108" s="65">
        <v>0.03</v>
      </c>
      <c r="Z108" s="65">
        <v>0.02</v>
      </c>
      <c r="AA108" s="65">
        <v>0.02</v>
      </c>
      <c r="AB108" s="65">
        <v>0.03</v>
      </c>
      <c r="AC108" s="65">
        <v>0.03</v>
      </c>
      <c r="AD108" s="65">
        <v>0.02</v>
      </c>
      <c r="BU108" s="52">
        <f t="shared" ref="BU108:DJ108" si="92">ROUND($BU29*E108,0)</f>
        <v>0</v>
      </c>
      <c r="BV108" s="52">
        <f t="shared" si="92"/>
        <v>0</v>
      </c>
      <c r="BW108" s="52">
        <f t="shared" si="92"/>
        <v>0</v>
      </c>
      <c r="BX108" s="52">
        <f t="shared" si="92"/>
        <v>0</v>
      </c>
      <c r="BY108" s="52">
        <f t="shared" si="92"/>
        <v>0</v>
      </c>
      <c r="BZ108" s="52">
        <f t="shared" si="92"/>
        <v>0</v>
      </c>
      <c r="CA108" s="52">
        <f t="shared" si="92"/>
        <v>0</v>
      </c>
      <c r="CB108" s="52">
        <f t="shared" si="92"/>
        <v>0</v>
      </c>
      <c r="CC108" s="52">
        <f t="shared" si="92"/>
        <v>0</v>
      </c>
      <c r="CD108" s="52">
        <f t="shared" si="92"/>
        <v>0</v>
      </c>
      <c r="CE108" s="52">
        <f t="shared" si="92"/>
        <v>0</v>
      </c>
      <c r="CF108" s="52">
        <f t="shared" si="92"/>
        <v>0</v>
      </c>
      <c r="CG108" s="52">
        <f t="shared" si="92"/>
        <v>0</v>
      </c>
      <c r="CH108" s="52">
        <f t="shared" si="92"/>
        <v>0</v>
      </c>
      <c r="CI108" s="52">
        <f t="shared" si="92"/>
        <v>0</v>
      </c>
      <c r="CJ108" s="52">
        <f t="shared" si="92"/>
        <v>0</v>
      </c>
      <c r="CK108" s="52">
        <f t="shared" si="92"/>
        <v>0</v>
      </c>
      <c r="CL108" s="52">
        <f t="shared" si="92"/>
        <v>0</v>
      </c>
      <c r="CM108" s="52">
        <f t="shared" si="92"/>
        <v>0</v>
      </c>
      <c r="CN108" s="52">
        <f t="shared" si="92"/>
        <v>0</v>
      </c>
      <c r="CO108" s="52">
        <f t="shared" si="92"/>
        <v>0</v>
      </c>
      <c r="CP108" s="52">
        <f t="shared" si="92"/>
        <v>0</v>
      </c>
      <c r="CQ108" s="52">
        <f t="shared" si="92"/>
        <v>0</v>
      </c>
      <c r="CR108" s="52">
        <f t="shared" si="92"/>
        <v>0</v>
      </c>
      <c r="CS108" s="52">
        <f t="shared" si="92"/>
        <v>0</v>
      </c>
      <c r="CT108" s="52">
        <f t="shared" si="92"/>
        <v>0</v>
      </c>
      <c r="CU108" s="52">
        <f t="shared" si="92"/>
        <v>0</v>
      </c>
      <c r="CV108" s="52">
        <f t="shared" si="92"/>
        <v>0</v>
      </c>
      <c r="CW108" s="52">
        <f t="shared" si="92"/>
        <v>0</v>
      </c>
      <c r="CX108" s="52">
        <f t="shared" si="92"/>
        <v>0</v>
      </c>
      <c r="CY108" s="52">
        <f t="shared" si="92"/>
        <v>0</v>
      </c>
      <c r="CZ108" s="52">
        <f t="shared" si="92"/>
        <v>0</v>
      </c>
      <c r="DA108" s="52">
        <f t="shared" si="92"/>
        <v>0</v>
      </c>
      <c r="DB108" s="52">
        <f t="shared" si="92"/>
        <v>0</v>
      </c>
      <c r="DC108" s="52">
        <f t="shared" si="92"/>
        <v>0</v>
      </c>
      <c r="DD108" s="52">
        <f t="shared" si="92"/>
        <v>0</v>
      </c>
      <c r="DE108" s="52">
        <f t="shared" si="92"/>
        <v>0</v>
      </c>
      <c r="DF108" s="52">
        <f t="shared" si="92"/>
        <v>0</v>
      </c>
      <c r="DG108" s="52">
        <f t="shared" si="92"/>
        <v>0</v>
      </c>
      <c r="DH108" s="52">
        <f t="shared" si="92"/>
        <v>0</v>
      </c>
      <c r="DI108" s="52">
        <f t="shared" si="92"/>
        <v>0</v>
      </c>
      <c r="DJ108" s="52">
        <f t="shared" si="92"/>
        <v>0</v>
      </c>
    </row>
    <row r="109" ht="15.75" customHeight="1">
      <c r="B109" s="52" t="s">
        <v>1792</v>
      </c>
      <c r="C109" s="52">
        <v>11.0</v>
      </c>
      <c r="D109" s="52" t="s">
        <v>1787</v>
      </c>
      <c r="E109" s="58"/>
      <c r="F109" s="58"/>
      <c r="G109" s="58"/>
      <c r="H109" s="58"/>
      <c r="I109" s="58"/>
      <c r="J109" s="65">
        <v>0.08</v>
      </c>
      <c r="K109" s="65">
        <v>0.08</v>
      </c>
      <c r="L109" s="65">
        <v>0.07</v>
      </c>
      <c r="M109" s="65">
        <v>0.07</v>
      </c>
      <c r="N109" s="65">
        <v>0.06</v>
      </c>
      <c r="O109" s="65">
        <v>0.06</v>
      </c>
      <c r="P109" s="65">
        <v>0.05</v>
      </c>
      <c r="Q109" s="65">
        <v>0.05</v>
      </c>
      <c r="R109" s="65">
        <v>0.05</v>
      </c>
      <c r="S109" s="65">
        <v>0.04</v>
      </c>
      <c r="T109" s="65">
        <v>0.04</v>
      </c>
      <c r="U109" s="65">
        <v>0.04</v>
      </c>
      <c r="V109" s="65">
        <v>0.04</v>
      </c>
      <c r="W109" s="65">
        <v>0.03</v>
      </c>
      <c r="X109" s="65">
        <v>0.03</v>
      </c>
      <c r="Y109" s="65">
        <v>0.03</v>
      </c>
      <c r="Z109" s="65">
        <v>0.03</v>
      </c>
      <c r="AA109" s="65">
        <v>0.03</v>
      </c>
      <c r="AB109" s="65">
        <v>0.02</v>
      </c>
      <c r="AC109" s="65">
        <v>0.02</v>
      </c>
      <c r="AD109" s="65">
        <v>0.03</v>
      </c>
      <c r="BU109" s="52">
        <f t="shared" ref="BU109:DJ109" si="93">ROUND($BU30*E109,0)</f>
        <v>0</v>
      </c>
      <c r="BV109" s="52">
        <f t="shared" si="93"/>
        <v>0</v>
      </c>
      <c r="BW109" s="52">
        <f t="shared" si="93"/>
        <v>0</v>
      </c>
      <c r="BX109" s="52">
        <f t="shared" si="93"/>
        <v>0</v>
      </c>
      <c r="BY109" s="52">
        <f t="shared" si="93"/>
        <v>0</v>
      </c>
      <c r="BZ109" s="52">
        <f t="shared" si="93"/>
        <v>0</v>
      </c>
      <c r="CA109" s="52">
        <f t="shared" si="93"/>
        <v>0</v>
      </c>
      <c r="CB109" s="52">
        <f t="shared" si="93"/>
        <v>0</v>
      </c>
      <c r="CC109" s="52">
        <f t="shared" si="93"/>
        <v>0</v>
      </c>
      <c r="CD109" s="52">
        <f t="shared" si="93"/>
        <v>0</v>
      </c>
      <c r="CE109" s="52">
        <f t="shared" si="93"/>
        <v>0</v>
      </c>
      <c r="CF109" s="52">
        <f t="shared" si="93"/>
        <v>0</v>
      </c>
      <c r="CG109" s="52">
        <f t="shared" si="93"/>
        <v>0</v>
      </c>
      <c r="CH109" s="52">
        <f t="shared" si="93"/>
        <v>0</v>
      </c>
      <c r="CI109" s="52">
        <f t="shared" si="93"/>
        <v>0</v>
      </c>
      <c r="CJ109" s="52">
        <f t="shared" si="93"/>
        <v>0</v>
      </c>
      <c r="CK109" s="52">
        <f t="shared" si="93"/>
        <v>0</v>
      </c>
      <c r="CL109" s="52">
        <f t="shared" si="93"/>
        <v>0</v>
      </c>
      <c r="CM109" s="52">
        <f t="shared" si="93"/>
        <v>0</v>
      </c>
      <c r="CN109" s="52">
        <f t="shared" si="93"/>
        <v>0</v>
      </c>
      <c r="CO109" s="52">
        <f t="shared" si="93"/>
        <v>0</v>
      </c>
      <c r="CP109" s="52">
        <f t="shared" si="93"/>
        <v>0</v>
      </c>
      <c r="CQ109" s="52">
        <f t="shared" si="93"/>
        <v>0</v>
      </c>
      <c r="CR109" s="52">
        <f t="shared" si="93"/>
        <v>0</v>
      </c>
      <c r="CS109" s="52">
        <f t="shared" si="93"/>
        <v>0</v>
      </c>
      <c r="CT109" s="52">
        <f t="shared" si="93"/>
        <v>0</v>
      </c>
      <c r="CU109" s="52">
        <f t="shared" si="93"/>
        <v>0</v>
      </c>
      <c r="CV109" s="52">
        <f t="shared" si="93"/>
        <v>0</v>
      </c>
      <c r="CW109" s="52">
        <f t="shared" si="93"/>
        <v>0</v>
      </c>
      <c r="CX109" s="52">
        <f t="shared" si="93"/>
        <v>0</v>
      </c>
      <c r="CY109" s="52">
        <f t="shared" si="93"/>
        <v>0</v>
      </c>
      <c r="CZ109" s="52">
        <f t="shared" si="93"/>
        <v>0</v>
      </c>
      <c r="DA109" s="52">
        <f t="shared" si="93"/>
        <v>0</v>
      </c>
      <c r="DB109" s="52">
        <f t="shared" si="93"/>
        <v>0</v>
      </c>
      <c r="DC109" s="52">
        <f t="shared" si="93"/>
        <v>0</v>
      </c>
      <c r="DD109" s="52">
        <f t="shared" si="93"/>
        <v>0</v>
      </c>
      <c r="DE109" s="52">
        <f t="shared" si="93"/>
        <v>0</v>
      </c>
      <c r="DF109" s="52">
        <f t="shared" si="93"/>
        <v>0</v>
      </c>
      <c r="DG109" s="52">
        <f t="shared" si="93"/>
        <v>0</v>
      </c>
      <c r="DH109" s="52">
        <f t="shared" si="93"/>
        <v>0</v>
      </c>
      <c r="DI109" s="52">
        <f t="shared" si="93"/>
        <v>0</v>
      </c>
      <c r="DJ109" s="52">
        <f t="shared" si="93"/>
        <v>0</v>
      </c>
    </row>
    <row r="110" ht="15.75" customHeight="1">
      <c r="B110" s="52" t="s">
        <v>1792</v>
      </c>
      <c r="C110" s="52">
        <v>11.0</v>
      </c>
      <c r="D110" s="52" t="s">
        <v>1788</v>
      </c>
      <c r="E110" s="58"/>
      <c r="F110" s="58"/>
      <c r="G110" s="58"/>
      <c r="H110" s="58"/>
      <c r="I110" s="58"/>
      <c r="J110" s="58"/>
      <c r="K110" s="65">
        <v>0.08</v>
      </c>
      <c r="L110" s="65">
        <v>0.08</v>
      </c>
      <c r="M110" s="65">
        <v>0.07</v>
      </c>
      <c r="N110" s="65">
        <v>0.07</v>
      </c>
      <c r="O110" s="65">
        <v>0.06</v>
      </c>
      <c r="P110" s="65">
        <v>0.06</v>
      </c>
      <c r="Q110" s="65">
        <v>0.05</v>
      </c>
      <c r="R110" s="65">
        <v>0.05</v>
      </c>
      <c r="S110" s="65">
        <v>0.05</v>
      </c>
      <c r="T110" s="65">
        <v>0.04</v>
      </c>
      <c r="U110" s="65">
        <v>0.04</v>
      </c>
      <c r="V110" s="65">
        <v>0.04</v>
      </c>
      <c r="W110" s="65">
        <v>0.04</v>
      </c>
      <c r="X110" s="65">
        <v>0.03</v>
      </c>
      <c r="Y110" s="65">
        <v>0.03</v>
      </c>
      <c r="Z110" s="65">
        <v>0.03</v>
      </c>
      <c r="AA110" s="65">
        <v>0.03</v>
      </c>
      <c r="AB110" s="65">
        <v>0.03</v>
      </c>
      <c r="AC110" s="65">
        <v>0.02</v>
      </c>
      <c r="AD110" s="65">
        <v>0.02</v>
      </c>
      <c r="BU110" s="52">
        <f t="shared" ref="BU110:DJ110" si="94">ROUND($BU31*E110,0)</f>
        <v>0</v>
      </c>
      <c r="BV110" s="52">
        <f t="shared" si="94"/>
        <v>0</v>
      </c>
      <c r="BW110" s="52">
        <f t="shared" si="94"/>
        <v>0</v>
      </c>
      <c r="BX110" s="52">
        <f t="shared" si="94"/>
        <v>0</v>
      </c>
      <c r="BY110" s="52">
        <f t="shared" si="94"/>
        <v>0</v>
      </c>
      <c r="BZ110" s="52">
        <f t="shared" si="94"/>
        <v>0</v>
      </c>
      <c r="CA110" s="52">
        <f t="shared" si="94"/>
        <v>0</v>
      </c>
      <c r="CB110" s="52">
        <f t="shared" si="94"/>
        <v>0</v>
      </c>
      <c r="CC110" s="52">
        <f t="shared" si="94"/>
        <v>0</v>
      </c>
      <c r="CD110" s="52">
        <f t="shared" si="94"/>
        <v>0</v>
      </c>
      <c r="CE110" s="52">
        <f t="shared" si="94"/>
        <v>0</v>
      </c>
      <c r="CF110" s="52">
        <f t="shared" si="94"/>
        <v>0</v>
      </c>
      <c r="CG110" s="52">
        <f t="shared" si="94"/>
        <v>0</v>
      </c>
      <c r="CH110" s="52">
        <f t="shared" si="94"/>
        <v>0</v>
      </c>
      <c r="CI110" s="52">
        <f t="shared" si="94"/>
        <v>0</v>
      </c>
      <c r="CJ110" s="52">
        <f t="shared" si="94"/>
        <v>0</v>
      </c>
      <c r="CK110" s="52">
        <f t="shared" si="94"/>
        <v>0</v>
      </c>
      <c r="CL110" s="52">
        <f t="shared" si="94"/>
        <v>0</v>
      </c>
      <c r="CM110" s="52">
        <f t="shared" si="94"/>
        <v>0</v>
      </c>
      <c r="CN110" s="52">
        <f t="shared" si="94"/>
        <v>0</v>
      </c>
      <c r="CO110" s="52">
        <f t="shared" si="94"/>
        <v>0</v>
      </c>
      <c r="CP110" s="52">
        <f t="shared" si="94"/>
        <v>0</v>
      </c>
      <c r="CQ110" s="52">
        <f t="shared" si="94"/>
        <v>0</v>
      </c>
      <c r="CR110" s="52">
        <f t="shared" si="94"/>
        <v>0</v>
      </c>
      <c r="CS110" s="52">
        <f t="shared" si="94"/>
        <v>0</v>
      </c>
      <c r="CT110" s="52">
        <f t="shared" si="94"/>
        <v>0</v>
      </c>
      <c r="CU110" s="52">
        <f t="shared" si="94"/>
        <v>0</v>
      </c>
      <c r="CV110" s="52">
        <f t="shared" si="94"/>
        <v>0</v>
      </c>
      <c r="CW110" s="52">
        <f t="shared" si="94"/>
        <v>0</v>
      </c>
      <c r="CX110" s="52">
        <f t="shared" si="94"/>
        <v>0</v>
      </c>
      <c r="CY110" s="52">
        <f t="shared" si="94"/>
        <v>0</v>
      </c>
      <c r="CZ110" s="52">
        <f t="shared" si="94"/>
        <v>0</v>
      </c>
      <c r="DA110" s="52">
        <f t="shared" si="94"/>
        <v>0</v>
      </c>
      <c r="DB110" s="52">
        <f t="shared" si="94"/>
        <v>0</v>
      </c>
      <c r="DC110" s="52">
        <f t="shared" si="94"/>
        <v>0</v>
      </c>
      <c r="DD110" s="52">
        <f t="shared" si="94"/>
        <v>0</v>
      </c>
      <c r="DE110" s="52">
        <f t="shared" si="94"/>
        <v>0</v>
      </c>
      <c r="DF110" s="52">
        <f t="shared" si="94"/>
        <v>0</v>
      </c>
      <c r="DG110" s="52">
        <f t="shared" si="94"/>
        <v>0</v>
      </c>
      <c r="DH110" s="52">
        <f t="shared" si="94"/>
        <v>0</v>
      </c>
      <c r="DI110" s="52">
        <f t="shared" si="94"/>
        <v>0</v>
      </c>
      <c r="DJ110" s="52">
        <f t="shared" si="94"/>
        <v>0</v>
      </c>
    </row>
    <row r="111" ht="15.75" customHeight="1">
      <c r="B111" s="52" t="s">
        <v>1792</v>
      </c>
      <c r="C111" s="52">
        <v>11.0</v>
      </c>
      <c r="D111" s="52" t="s">
        <v>1789</v>
      </c>
      <c r="E111" s="58"/>
      <c r="F111" s="58"/>
      <c r="G111" s="58"/>
      <c r="H111" s="58"/>
      <c r="I111" s="58"/>
      <c r="J111" s="58"/>
      <c r="K111" s="58"/>
      <c r="L111" s="65">
        <v>0.08</v>
      </c>
      <c r="M111" s="65">
        <v>0.08</v>
      </c>
      <c r="N111" s="65">
        <v>0.07</v>
      </c>
      <c r="O111" s="65">
        <v>0.07</v>
      </c>
      <c r="P111" s="65">
        <v>0.06</v>
      </c>
      <c r="Q111" s="65">
        <v>0.06</v>
      </c>
      <c r="R111" s="65">
        <v>0.05</v>
      </c>
      <c r="S111" s="65">
        <v>0.05</v>
      </c>
      <c r="T111" s="65">
        <v>0.05</v>
      </c>
      <c r="U111" s="65">
        <v>0.04</v>
      </c>
      <c r="V111" s="65">
        <v>0.04</v>
      </c>
      <c r="W111" s="65">
        <v>0.04</v>
      </c>
      <c r="X111" s="65">
        <v>0.04</v>
      </c>
      <c r="Y111" s="65">
        <v>0.03</v>
      </c>
      <c r="Z111" s="65">
        <v>0.03</v>
      </c>
      <c r="AA111" s="65">
        <v>0.03</v>
      </c>
      <c r="AB111" s="65">
        <v>0.03</v>
      </c>
      <c r="AC111" s="65">
        <v>0.03</v>
      </c>
      <c r="AD111" s="65">
        <v>0.02</v>
      </c>
      <c r="BU111" s="52">
        <f t="shared" ref="BU111:DJ111" si="95">ROUND($BU32*E111,0)</f>
        <v>0</v>
      </c>
      <c r="BV111" s="52">
        <f t="shared" si="95"/>
        <v>0</v>
      </c>
      <c r="BW111" s="52">
        <f t="shared" si="95"/>
        <v>0</v>
      </c>
      <c r="BX111" s="52">
        <f t="shared" si="95"/>
        <v>0</v>
      </c>
      <c r="BY111" s="52">
        <f t="shared" si="95"/>
        <v>0</v>
      </c>
      <c r="BZ111" s="52">
        <f t="shared" si="95"/>
        <v>0</v>
      </c>
      <c r="CA111" s="52">
        <f t="shared" si="95"/>
        <v>0</v>
      </c>
      <c r="CB111" s="52">
        <f t="shared" si="95"/>
        <v>0</v>
      </c>
      <c r="CC111" s="52">
        <f t="shared" si="95"/>
        <v>0</v>
      </c>
      <c r="CD111" s="52">
        <f t="shared" si="95"/>
        <v>0</v>
      </c>
      <c r="CE111" s="52">
        <f t="shared" si="95"/>
        <v>0</v>
      </c>
      <c r="CF111" s="52">
        <f t="shared" si="95"/>
        <v>0</v>
      </c>
      <c r="CG111" s="52">
        <f t="shared" si="95"/>
        <v>0</v>
      </c>
      <c r="CH111" s="52">
        <f t="shared" si="95"/>
        <v>0</v>
      </c>
      <c r="CI111" s="52">
        <f t="shared" si="95"/>
        <v>0</v>
      </c>
      <c r="CJ111" s="52">
        <f t="shared" si="95"/>
        <v>0</v>
      </c>
      <c r="CK111" s="52">
        <f t="shared" si="95"/>
        <v>0</v>
      </c>
      <c r="CL111" s="52">
        <f t="shared" si="95"/>
        <v>0</v>
      </c>
      <c r="CM111" s="52">
        <f t="shared" si="95"/>
        <v>0</v>
      </c>
      <c r="CN111" s="52">
        <f t="shared" si="95"/>
        <v>0</v>
      </c>
      <c r="CO111" s="52">
        <f t="shared" si="95"/>
        <v>0</v>
      </c>
      <c r="CP111" s="52">
        <f t="shared" si="95"/>
        <v>0</v>
      </c>
      <c r="CQ111" s="52">
        <f t="shared" si="95"/>
        <v>0</v>
      </c>
      <c r="CR111" s="52">
        <f t="shared" si="95"/>
        <v>0</v>
      </c>
      <c r="CS111" s="52">
        <f t="shared" si="95"/>
        <v>0</v>
      </c>
      <c r="CT111" s="52">
        <f t="shared" si="95"/>
        <v>0</v>
      </c>
      <c r="CU111" s="52">
        <f t="shared" si="95"/>
        <v>0</v>
      </c>
      <c r="CV111" s="52">
        <f t="shared" si="95"/>
        <v>0</v>
      </c>
      <c r="CW111" s="52">
        <f t="shared" si="95"/>
        <v>0</v>
      </c>
      <c r="CX111" s="52">
        <f t="shared" si="95"/>
        <v>0</v>
      </c>
      <c r="CY111" s="52">
        <f t="shared" si="95"/>
        <v>0</v>
      </c>
      <c r="CZ111" s="52">
        <f t="shared" si="95"/>
        <v>0</v>
      </c>
      <c r="DA111" s="52">
        <f t="shared" si="95"/>
        <v>0</v>
      </c>
      <c r="DB111" s="52">
        <f t="shared" si="95"/>
        <v>0</v>
      </c>
      <c r="DC111" s="52">
        <f t="shared" si="95"/>
        <v>0</v>
      </c>
      <c r="DD111" s="52">
        <f t="shared" si="95"/>
        <v>0</v>
      </c>
      <c r="DE111" s="52">
        <f t="shared" si="95"/>
        <v>0</v>
      </c>
      <c r="DF111" s="52">
        <f t="shared" si="95"/>
        <v>0</v>
      </c>
      <c r="DG111" s="52">
        <f t="shared" si="95"/>
        <v>0</v>
      </c>
      <c r="DH111" s="52">
        <f t="shared" si="95"/>
        <v>0</v>
      </c>
      <c r="DI111" s="52">
        <f t="shared" si="95"/>
        <v>0</v>
      </c>
      <c r="DJ111" s="52">
        <f t="shared" si="95"/>
        <v>0</v>
      </c>
    </row>
    <row r="112" ht="15.75" customHeight="1">
      <c r="B112" s="52" t="s">
        <v>1792</v>
      </c>
      <c r="C112" s="52">
        <v>11.0</v>
      </c>
      <c r="D112" s="52" t="s">
        <v>1790</v>
      </c>
      <c r="E112" s="58"/>
      <c r="F112" s="58"/>
      <c r="G112" s="58"/>
      <c r="H112" s="58"/>
      <c r="I112" s="58"/>
      <c r="J112" s="58"/>
      <c r="K112" s="58"/>
      <c r="L112" s="58"/>
      <c r="M112" s="58"/>
      <c r="N112" s="65">
        <v>0.08</v>
      </c>
      <c r="O112" s="65">
        <v>0.08</v>
      </c>
      <c r="P112" s="65">
        <v>0.07</v>
      </c>
      <c r="Q112" s="65">
        <v>0.07</v>
      </c>
      <c r="R112" s="65">
        <v>0.06</v>
      </c>
      <c r="S112" s="65">
        <v>0.06</v>
      </c>
      <c r="T112" s="65">
        <v>0.05</v>
      </c>
      <c r="U112" s="65">
        <v>0.05</v>
      </c>
      <c r="V112" s="65">
        <v>0.05</v>
      </c>
      <c r="W112" s="65">
        <v>0.04</v>
      </c>
      <c r="X112" s="65">
        <v>0.04</v>
      </c>
      <c r="Y112" s="65">
        <v>0.04</v>
      </c>
      <c r="Z112" s="65">
        <v>0.04</v>
      </c>
      <c r="AA112" s="65">
        <v>0.03</v>
      </c>
      <c r="AB112" s="65">
        <v>0.03</v>
      </c>
      <c r="AC112" s="65">
        <v>0.03</v>
      </c>
      <c r="AD112" s="65">
        <v>0.03</v>
      </c>
      <c r="BU112" s="52">
        <f t="shared" ref="BU112:DJ112" si="96">ROUND($BU33*E112,0)</f>
        <v>0</v>
      </c>
      <c r="BV112" s="52">
        <f t="shared" si="96"/>
        <v>0</v>
      </c>
      <c r="BW112" s="52">
        <f t="shared" si="96"/>
        <v>0</v>
      </c>
      <c r="BX112" s="52">
        <f t="shared" si="96"/>
        <v>0</v>
      </c>
      <c r="BY112" s="52">
        <f t="shared" si="96"/>
        <v>0</v>
      </c>
      <c r="BZ112" s="52">
        <f t="shared" si="96"/>
        <v>0</v>
      </c>
      <c r="CA112" s="52">
        <f t="shared" si="96"/>
        <v>0</v>
      </c>
      <c r="CB112" s="52">
        <f t="shared" si="96"/>
        <v>0</v>
      </c>
      <c r="CC112" s="52">
        <f t="shared" si="96"/>
        <v>0</v>
      </c>
      <c r="CD112" s="52">
        <f t="shared" si="96"/>
        <v>0</v>
      </c>
      <c r="CE112" s="52">
        <f t="shared" si="96"/>
        <v>0</v>
      </c>
      <c r="CF112" s="52">
        <f t="shared" si="96"/>
        <v>0</v>
      </c>
      <c r="CG112" s="52">
        <f t="shared" si="96"/>
        <v>0</v>
      </c>
      <c r="CH112" s="52">
        <f t="shared" si="96"/>
        <v>0</v>
      </c>
      <c r="CI112" s="52">
        <f t="shared" si="96"/>
        <v>0</v>
      </c>
      <c r="CJ112" s="52">
        <f t="shared" si="96"/>
        <v>0</v>
      </c>
      <c r="CK112" s="52">
        <f t="shared" si="96"/>
        <v>0</v>
      </c>
      <c r="CL112" s="52">
        <f t="shared" si="96"/>
        <v>0</v>
      </c>
      <c r="CM112" s="52">
        <f t="shared" si="96"/>
        <v>0</v>
      </c>
      <c r="CN112" s="52">
        <f t="shared" si="96"/>
        <v>0</v>
      </c>
      <c r="CO112" s="52">
        <f t="shared" si="96"/>
        <v>0</v>
      </c>
      <c r="CP112" s="52">
        <f t="shared" si="96"/>
        <v>0</v>
      </c>
      <c r="CQ112" s="52">
        <f t="shared" si="96"/>
        <v>0</v>
      </c>
      <c r="CR112" s="52">
        <f t="shared" si="96"/>
        <v>0</v>
      </c>
      <c r="CS112" s="52">
        <f t="shared" si="96"/>
        <v>0</v>
      </c>
      <c r="CT112" s="52">
        <f t="shared" si="96"/>
        <v>0</v>
      </c>
      <c r="CU112" s="52">
        <f t="shared" si="96"/>
        <v>0</v>
      </c>
      <c r="CV112" s="52">
        <f t="shared" si="96"/>
        <v>0</v>
      </c>
      <c r="CW112" s="52">
        <f t="shared" si="96"/>
        <v>0</v>
      </c>
      <c r="CX112" s="52">
        <f t="shared" si="96"/>
        <v>0</v>
      </c>
      <c r="CY112" s="52">
        <f t="shared" si="96"/>
        <v>0</v>
      </c>
      <c r="CZ112" s="52">
        <f t="shared" si="96"/>
        <v>0</v>
      </c>
      <c r="DA112" s="52">
        <f t="shared" si="96"/>
        <v>0</v>
      </c>
      <c r="DB112" s="52">
        <f t="shared" si="96"/>
        <v>0</v>
      </c>
      <c r="DC112" s="52">
        <f t="shared" si="96"/>
        <v>0</v>
      </c>
      <c r="DD112" s="52">
        <f t="shared" si="96"/>
        <v>0</v>
      </c>
      <c r="DE112" s="52">
        <f t="shared" si="96"/>
        <v>0</v>
      </c>
      <c r="DF112" s="52">
        <f t="shared" si="96"/>
        <v>0</v>
      </c>
      <c r="DG112" s="52">
        <f t="shared" si="96"/>
        <v>0</v>
      </c>
      <c r="DH112" s="52">
        <f t="shared" si="96"/>
        <v>0</v>
      </c>
      <c r="DI112" s="52">
        <f t="shared" si="96"/>
        <v>0</v>
      </c>
      <c r="DJ112" s="52">
        <f t="shared" si="96"/>
        <v>0</v>
      </c>
    </row>
    <row r="113" ht="15.75" customHeight="1">
      <c r="B113" s="52" t="s">
        <v>1792</v>
      </c>
      <c r="C113" s="52">
        <v>12.0</v>
      </c>
      <c r="D113" s="52">
        <v>0.0</v>
      </c>
      <c r="E113" s="65">
        <v>0.07</v>
      </c>
      <c r="F113" s="65">
        <v>0.07</v>
      </c>
      <c r="G113" s="65">
        <v>0.07</v>
      </c>
      <c r="H113" s="65">
        <v>0.07</v>
      </c>
      <c r="I113" s="65">
        <v>0.07</v>
      </c>
      <c r="J113" s="65">
        <v>0.07</v>
      </c>
      <c r="K113" s="65">
        <v>0.07</v>
      </c>
      <c r="L113" s="65">
        <v>0.07</v>
      </c>
      <c r="M113" s="65">
        <v>0.07</v>
      </c>
      <c r="N113" s="65">
        <v>0.03</v>
      </c>
      <c r="O113" s="65">
        <v>0.03</v>
      </c>
      <c r="P113" s="65">
        <v>0.03</v>
      </c>
      <c r="Q113" s="65">
        <v>0.03</v>
      </c>
      <c r="R113" s="65">
        <v>0.03</v>
      </c>
      <c r="S113" s="65">
        <v>0.03</v>
      </c>
      <c r="T113" s="65">
        <v>0.03</v>
      </c>
      <c r="U113" s="65">
        <v>0.02</v>
      </c>
      <c r="V113" s="65">
        <v>0.02</v>
      </c>
      <c r="W113" s="65">
        <v>0.02</v>
      </c>
      <c r="X113" s="65">
        <v>0.02</v>
      </c>
      <c r="Y113" s="65">
        <v>0.02</v>
      </c>
      <c r="Z113" s="65">
        <v>0.02</v>
      </c>
      <c r="AA113" s="65">
        <v>0.02</v>
      </c>
      <c r="AB113" s="65">
        <v>0.02</v>
      </c>
      <c r="AC113" s="58"/>
      <c r="AD113" s="58"/>
      <c r="BV113" s="52">
        <f t="shared" ref="BV113:DJ113" si="97">ROUND($BV27*E113,0)</f>
        <v>8</v>
      </c>
      <c r="BW113" s="52">
        <f t="shared" si="97"/>
        <v>8</v>
      </c>
      <c r="BX113" s="52">
        <f t="shared" si="97"/>
        <v>8</v>
      </c>
      <c r="BY113" s="52">
        <f t="shared" si="97"/>
        <v>8</v>
      </c>
      <c r="BZ113" s="52">
        <f t="shared" si="97"/>
        <v>8</v>
      </c>
      <c r="CA113" s="52">
        <f t="shared" si="97"/>
        <v>8</v>
      </c>
      <c r="CB113" s="52">
        <f t="shared" si="97"/>
        <v>8</v>
      </c>
      <c r="CC113" s="52">
        <f t="shared" si="97"/>
        <v>8</v>
      </c>
      <c r="CD113" s="52">
        <f t="shared" si="97"/>
        <v>8</v>
      </c>
      <c r="CE113" s="52">
        <f t="shared" si="97"/>
        <v>4</v>
      </c>
      <c r="CF113" s="52">
        <f t="shared" si="97"/>
        <v>4</v>
      </c>
      <c r="CG113" s="52">
        <f t="shared" si="97"/>
        <v>4</v>
      </c>
      <c r="CH113" s="52">
        <f t="shared" si="97"/>
        <v>4</v>
      </c>
      <c r="CI113" s="52">
        <f t="shared" si="97"/>
        <v>4</v>
      </c>
      <c r="CJ113" s="52">
        <f t="shared" si="97"/>
        <v>4</v>
      </c>
      <c r="CK113" s="52">
        <f t="shared" si="97"/>
        <v>4</v>
      </c>
      <c r="CL113" s="52">
        <f t="shared" si="97"/>
        <v>2</v>
      </c>
      <c r="CM113" s="52">
        <f t="shared" si="97"/>
        <v>2</v>
      </c>
      <c r="CN113" s="52">
        <f t="shared" si="97"/>
        <v>2</v>
      </c>
      <c r="CO113" s="52">
        <f t="shared" si="97"/>
        <v>2</v>
      </c>
      <c r="CP113" s="52">
        <f t="shared" si="97"/>
        <v>2</v>
      </c>
      <c r="CQ113" s="52">
        <f t="shared" si="97"/>
        <v>2</v>
      </c>
      <c r="CR113" s="52">
        <f t="shared" si="97"/>
        <v>2</v>
      </c>
      <c r="CS113" s="52">
        <f t="shared" si="97"/>
        <v>2</v>
      </c>
      <c r="CT113" s="52">
        <f t="shared" si="97"/>
        <v>0</v>
      </c>
      <c r="CU113" s="52">
        <f t="shared" si="97"/>
        <v>0</v>
      </c>
      <c r="CV113" s="52">
        <f t="shared" si="97"/>
        <v>0</v>
      </c>
      <c r="CW113" s="52">
        <f t="shared" si="97"/>
        <v>0</v>
      </c>
      <c r="CX113" s="52">
        <f t="shared" si="97"/>
        <v>0</v>
      </c>
      <c r="CY113" s="52">
        <f t="shared" si="97"/>
        <v>0</v>
      </c>
      <c r="CZ113" s="52">
        <f t="shared" si="97"/>
        <v>0</v>
      </c>
      <c r="DA113" s="52">
        <f t="shared" si="97"/>
        <v>0</v>
      </c>
      <c r="DB113" s="52">
        <f t="shared" si="97"/>
        <v>0</v>
      </c>
      <c r="DC113" s="52">
        <f t="shared" si="97"/>
        <v>0</v>
      </c>
      <c r="DD113" s="52">
        <f t="shared" si="97"/>
        <v>0</v>
      </c>
      <c r="DE113" s="52">
        <f t="shared" si="97"/>
        <v>0</v>
      </c>
      <c r="DF113" s="52">
        <f t="shared" si="97"/>
        <v>0</v>
      </c>
      <c r="DG113" s="52">
        <f t="shared" si="97"/>
        <v>0</v>
      </c>
      <c r="DH113" s="52">
        <f t="shared" si="97"/>
        <v>0</v>
      </c>
      <c r="DI113" s="52">
        <f t="shared" si="97"/>
        <v>0</v>
      </c>
      <c r="DJ113" s="52">
        <f t="shared" si="97"/>
        <v>0</v>
      </c>
    </row>
    <row r="114" ht="15.75" customHeight="1">
      <c r="B114" s="52" t="s">
        <v>1792</v>
      </c>
      <c r="C114" s="52">
        <v>12.0</v>
      </c>
      <c r="D114" s="52" t="s">
        <v>1785</v>
      </c>
      <c r="E114" s="65">
        <v>0.02</v>
      </c>
      <c r="F114" s="65">
        <v>0.02</v>
      </c>
      <c r="G114" s="65">
        <v>0.02</v>
      </c>
      <c r="H114" s="65">
        <v>0.02</v>
      </c>
      <c r="I114" s="65">
        <v>0.08</v>
      </c>
      <c r="J114" s="65">
        <v>0.08</v>
      </c>
      <c r="K114" s="65">
        <v>0.07</v>
      </c>
      <c r="L114" s="65">
        <v>0.07</v>
      </c>
      <c r="M114" s="65">
        <v>0.06</v>
      </c>
      <c r="N114" s="65">
        <v>0.06</v>
      </c>
      <c r="O114" s="65">
        <v>0.05</v>
      </c>
      <c r="P114" s="65">
        <v>0.05</v>
      </c>
      <c r="Q114" s="65">
        <v>0.05</v>
      </c>
      <c r="R114" s="65">
        <v>0.04</v>
      </c>
      <c r="S114" s="65">
        <v>0.04</v>
      </c>
      <c r="T114" s="65">
        <v>0.04</v>
      </c>
      <c r="U114" s="65">
        <v>0.04</v>
      </c>
      <c r="V114" s="65">
        <v>0.03</v>
      </c>
      <c r="W114" s="65">
        <v>0.03</v>
      </c>
      <c r="X114" s="65">
        <v>0.03</v>
      </c>
      <c r="Y114" s="65">
        <v>0.03</v>
      </c>
      <c r="Z114" s="65">
        <v>0.03</v>
      </c>
      <c r="AA114" s="65">
        <v>0.02</v>
      </c>
      <c r="AB114" s="65">
        <v>0.02</v>
      </c>
      <c r="AC114" s="58"/>
      <c r="AD114" s="58"/>
      <c r="BV114" s="52">
        <f t="shared" ref="BV114:DJ114" si="98">ROUND($BV28*E114,0)</f>
        <v>0</v>
      </c>
      <c r="BW114" s="52">
        <f t="shared" si="98"/>
        <v>0</v>
      </c>
      <c r="BX114" s="52">
        <f t="shared" si="98"/>
        <v>0</v>
      </c>
      <c r="BY114" s="52">
        <f t="shared" si="98"/>
        <v>0</v>
      </c>
      <c r="BZ114" s="52">
        <f t="shared" si="98"/>
        <v>1</v>
      </c>
      <c r="CA114" s="52">
        <f t="shared" si="98"/>
        <v>1</v>
      </c>
      <c r="CB114" s="52">
        <f t="shared" si="98"/>
        <v>1</v>
      </c>
      <c r="CC114" s="52">
        <f t="shared" si="98"/>
        <v>1</v>
      </c>
      <c r="CD114" s="52">
        <f t="shared" si="98"/>
        <v>1</v>
      </c>
      <c r="CE114" s="52">
        <f t="shared" si="98"/>
        <v>1</v>
      </c>
      <c r="CF114" s="52">
        <f t="shared" si="98"/>
        <v>1</v>
      </c>
      <c r="CG114" s="52">
        <f t="shared" si="98"/>
        <v>1</v>
      </c>
      <c r="CH114" s="52">
        <f t="shared" si="98"/>
        <v>1</v>
      </c>
      <c r="CI114" s="52">
        <f t="shared" si="98"/>
        <v>0</v>
      </c>
      <c r="CJ114" s="52">
        <f t="shared" si="98"/>
        <v>0</v>
      </c>
      <c r="CK114" s="52">
        <f t="shared" si="98"/>
        <v>0</v>
      </c>
      <c r="CL114" s="52">
        <f t="shared" si="98"/>
        <v>0</v>
      </c>
      <c r="CM114" s="52">
        <f t="shared" si="98"/>
        <v>0</v>
      </c>
      <c r="CN114" s="52">
        <f t="shared" si="98"/>
        <v>0</v>
      </c>
      <c r="CO114" s="52">
        <f t="shared" si="98"/>
        <v>0</v>
      </c>
      <c r="CP114" s="52">
        <f t="shared" si="98"/>
        <v>0</v>
      </c>
      <c r="CQ114" s="52">
        <f t="shared" si="98"/>
        <v>0</v>
      </c>
      <c r="CR114" s="52">
        <f t="shared" si="98"/>
        <v>0</v>
      </c>
      <c r="CS114" s="52">
        <f t="shared" si="98"/>
        <v>0</v>
      </c>
      <c r="CT114" s="52">
        <f t="shared" si="98"/>
        <v>0</v>
      </c>
      <c r="CU114" s="52">
        <f t="shared" si="98"/>
        <v>0</v>
      </c>
      <c r="CV114" s="52">
        <f t="shared" si="98"/>
        <v>0</v>
      </c>
      <c r="CW114" s="52">
        <f t="shared" si="98"/>
        <v>0</v>
      </c>
      <c r="CX114" s="52">
        <f t="shared" si="98"/>
        <v>0</v>
      </c>
      <c r="CY114" s="52">
        <f t="shared" si="98"/>
        <v>0</v>
      </c>
      <c r="CZ114" s="52">
        <f t="shared" si="98"/>
        <v>0</v>
      </c>
      <c r="DA114" s="52">
        <f t="shared" si="98"/>
        <v>0</v>
      </c>
      <c r="DB114" s="52">
        <f t="shared" si="98"/>
        <v>0</v>
      </c>
      <c r="DC114" s="52">
        <f t="shared" si="98"/>
        <v>0</v>
      </c>
      <c r="DD114" s="52">
        <f t="shared" si="98"/>
        <v>0</v>
      </c>
      <c r="DE114" s="52">
        <f t="shared" si="98"/>
        <v>0</v>
      </c>
      <c r="DF114" s="52">
        <f t="shared" si="98"/>
        <v>0</v>
      </c>
      <c r="DG114" s="52">
        <f t="shared" si="98"/>
        <v>0</v>
      </c>
      <c r="DH114" s="52">
        <f t="shared" si="98"/>
        <v>0</v>
      </c>
      <c r="DI114" s="52">
        <f t="shared" si="98"/>
        <v>0</v>
      </c>
      <c r="DJ114" s="52">
        <f t="shared" si="98"/>
        <v>0</v>
      </c>
    </row>
    <row r="115" ht="15.75" customHeight="1">
      <c r="B115" s="52" t="s">
        <v>1792</v>
      </c>
      <c r="C115" s="52">
        <v>12.0</v>
      </c>
      <c r="D115" s="52" t="s">
        <v>1786</v>
      </c>
      <c r="E115" s="58"/>
      <c r="F115" s="58"/>
      <c r="G115" s="58"/>
      <c r="H115" s="65">
        <v>0.08</v>
      </c>
      <c r="I115" s="65">
        <v>0.08</v>
      </c>
      <c r="J115" s="65">
        <v>0.07</v>
      </c>
      <c r="K115" s="65">
        <v>0.07</v>
      </c>
      <c r="L115" s="65">
        <v>0.06</v>
      </c>
      <c r="M115" s="65">
        <v>0.06</v>
      </c>
      <c r="N115" s="65">
        <v>0.05</v>
      </c>
      <c r="O115" s="65">
        <v>0.05</v>
      </c>
      <c r="P115" s="65">
        <v>0.05</v>
      </c>
      <c r="Q115" s="65">
        <v>0.04</v>
      </c>
      <c r="R115" s="65">
        <v>0.04</v>
      </c>
      <c r="S115" s="65">
        <v>0.04</v>
      </c>
      <c r="T115" s="65">
        <v>0.04</v>
      </c>
      <c r="U115" s="65">
        <v>0.03</v>
      </c>
      <c r="V115" s="65">
        <v>0.03</v>
      </c>
      <c r="W115" s="65">
        <v>0.03</v>
      </c>
      <c r="X115" s="65">
        <v>0.03</v>
      </c>
      <c r="Y115" s="65">
        <v>0.03</v>
      </c>
      <c r="Z115" s="65">
        <v>0.02</v>
      </c>
      <c r="AA115" s="65">
        <v>0.02</v>
      </c>
      <c r="AB115" s="65">
        <v>0.03</v>
      </c>
      <c r="AC115" s="65">
        <v>0.03</v>
      </c>
      <c r="AD115" s="65">
        <v>0.02</v>
      </c>
      <c r="BV115" s="52">
        <f t="shared" ref="BV115:DJ115" si="99">ROUND($BV29*E115,0)</f>
        <v>0</v>
      </c>
      <c r="BW115" s="52">
        <f t="shared" si="99"/>
        <v>0</v>
      </c>
      <c r="BX115" s="52">
        <f t="shared" si="99"/>
        <v>0</v>
      </c>
      <c r="BY115" s="52">
        <f t="shared" si="99"/>
        <v>2</v>
      </c>
      <c r="BZ115" s="52">
        <f t="shared" si="99"/>
        <v>2</v>
      </c>
      <c r="CA115" s="52">
        <f t="shared" si="99"/>
        <v>2</v>
      </c>
      <c r="CB115" s="52">
        <f t="shared" si="99"/>
        <v>2</v>
      </c>
      <c r="CC115" s="52">
        <f t="shared" si="99"/>
        <v>1</v>
      </c>
      <c r="CD115" s="52">
        <f t="shared" si="99"/>
        <v>1</v>
      </c>
      <c r="CE115" s="52">
        <f t="shared" si="99"/>
        <v>1</v>
      </c>
      <c r="CF115" s="52">
        <f t="shared" si="99"/>
        <v>1</v>
      </c>
      <c r="CG115" s="52">
        <f t="shared" si="99"/>
        <v>1</v>
      </c>
      <c r="CH115" s="52">
        <f t="shared" si="99"/>
        <v>1</v>
      </c>
      <c r="CI115" s="52">
        <f t="shared" si="99"/>
        <v>1</v>
      </c>
      <c r="CJ115" s="52">
        <f t="shared" si="99"/>
        <v>1</v>
      </c>
      <c r="CK115" s="52">
        <f t="shared" si="99"/>
        <v>1</v>
      </c>
      <c r="CL115" s="52">
        <f t="shared" si="99"/>
        <v>1</v>
      </c>
      <c r="CM115" s="52">
        <f t="shared" si="99"/>
        <v>1</v>
      </c>
      <c r="CN115" s="52">
        <f t="shared" si="99"/>
        <v>1</v>
      </c>
      <c r="CO115" s="52">
        <f t="shared" si="99"/>
        <v>1</v>
      </c>
      <c r="CP115" s="52">
        <f t="shared" si="99"/>
        <v>1</v>
      </c>
      <c r="CQ115" s="52">
        <f t="shared" si="99"/>
        <v>0</v>
      </c>
      <c r="CR115" s="52">
        <f t="shared" si="99"/>
        <v>0</v>
      </c>
      <c r="CS115" s="52">
        <f t="shared" si="99"/>
        <v>1</v>
      </c>
      <c r="CT115" s="52">
        <f t="shared" si="99"/>
        <v>1</v>
      </c>
      <c r="CU115" s="52">
        <f t="shared" si="99"/>
        <v>0</v>
      </c>
      <c r="CV115" s="52">
        <f t="shared" si="99"/>
        <v>0</v>
      </c>
      <c r="CW115" s="52">
        <f t="shared" si="99"/>
        <v>0</v>
      </c>
      <c r="CX115" s="52">
        <f t="shared" si="99"/>
        <v>0</v>
      </c>
      <c r="CY115" s="52">
        <f t="shared" si="99"/>
        <v>0</v>
      </c>
      <c r="CZ115" s="52">
        <f t="shared" si="99"/>
        <v>0</v>
      </c>
      <c r="DA115" s="52">
        <f t="shared" si="99"/>
        <v>0</v>
      </c>
      <c r="DB115" s="52">
        <f t="shared" si="99"/>
        <v>0</v>
      </c>
      <c r="DC115" s="52">
        <f t="shared" si="99"/>
        <v>0</v>
      </c>
      <c r="DD115" s="52">
        <f t="shared" si="99"/>
        <v>0</v>
      </c>
      <c r="DE115" s="52">
        <f t="shared" si="99"/>
        <v>0</v>
      </c>
      <c r="DF115" s="52">
        <f t="shared" si="99"/>
        <v>0</v>
      </c>
      <c r="DG115" s="52">
        <f t="shared" si="99"/>
        <v>0</v>
      </c>
      <c r="DH115" s="52">
        <f t="shared" si="99"/>
        <v>0</v>
      </c>
      <c r="DI115" s="52">
        <f t="shared" si="99"/>
        <v>0</v>
      </c>
      <c r="DJ115" s="52">
        <f t="shared" si="99"/>
        <v>0</v>
      </c>
    </row>
    <row r="116" ht="15.75" customHeight="1">
      <c r="B116" s="52" t="s">
        <v>1792</v>
      </c>
      <c r="C116" s="52">
        <v>12.0</v>
      </c>
      <c r="D116" s="52" t="s">
        <v>1787</v>
      </c>
      <c r="E116" s="58"/>
      <c r="F116" s="58"/>
      <c r="G116" s="58"/>
      <c r="H116" s="58"/>
      <c r="I116" s="58"/>
      <c r="J116" s="65">
        <v>0.08</v>
      </c>
      <c r="K116" s="65">
        <v>0.08</v>
      </c>
      <c r="L116" s="65">
        <v>0.07</v>
      </c>
      <c r="M116" s="65">
        <v>0.07</v>
      </c>
      <c r="N116" s="65">
        <v>0.06</v>
      </c>
      <c r="O116" s="65">
        <v>0.06</v>
      </c>
      <c r="P116" s="65">
        <v>0.05</v>
      </c>
      <c r="Q116" s="65">
        <v>0.05</v>
      </c>
      <c r="R116" s="65">
        <v>0.05</v>
      </c>
      <c r="S116" s="65">
        <v>0.04</v>
      </c>
      <c r="T116" s="65">
        <v>0.04</v>
      </c>
      <c r="U116" s="65">
        <v>0.04</v>
      </c>
      <c r="V116" s="65">
        <v>0.04</v>
      </c>
      <c r="W116" s="65">
        <v>0.03</v>
      </c>
      <c r="X116" s="65">
        <v>0.03</v>
      </c>
      <c r="Y116" s="65">
        <v>0.03</v>
      </c>
      <c r="Z116" s="65">
        <v>0.03</v>
      </c>
      <c r="AA116" s="65">
        <v>0.03</v>
      </c>
      <c r="AB116" s="65">
        <v>0.02</v>
      </c>
      <c r="AC116" s="65">
        <v>0.02</v>
      </c>
      <c r="AD116" s="65">
        <v>0.03</v>
      </c>
      <c r="BV116" s="52">
        <f t="shared" ref="BV116:DJ116" si="100">ROUND($BV30*E116,0)</f>
        <v>0</v>
      </c>
      <c r="BW116" s="52">
        <f t="shared" si="100"/>
        <v>0</v>
      </c>
      <c r="BX116" s="52">
        <f t="shared" si="100"/>
        <v>0</v>
      </c>
      <c r="BY116" s="52">
        <f t="shared" si="100"/>
        <v>0</v>
      </c>
      <c r="BZ116" s="52">
        <f t="shared" si="100"/>
        <v>0</v>
      </c>
      <c r="CA116" s="52">
        <f t="shared" si="100"/>
        <v>0</v>
      </c>
      <c r="CB116" s="52">
        <f t="shared" si="100"/>
        <v>0</v>
      </c>
      <c r="CC116" s="52">
        <f t="shared" si="100"/>
        <v>0</v>
      </c>
      <c r="CD116" s="52">
        <f t="shared" si="100"/>
        <v>0</v>
      </c>
      <c r="CE116" s="52">
        <f t="shared" si="100"/>
        <v>0</v>
      </c>
      <c r="CF116" s="52">
        <f t="shared" si="100"/>
        <v>0</v>
      </c>
      <c r="CG116" s="52">
        <f t="shared" si="100"/>
        <v>0</v>
      </c>
      <c r="CH116" s="52">
        <f t="shared" si="100"/>
        <v>0</v>
      </c>
      <c r="CI116" s="52">
        <f t="shared" si="100"/>
        <v>0</v>
      </c>
      <c r="CJ116" s="52">
        <f t="shared" si="100"/>
        <v>0</v>
      </c>
      <c r="CK116" s="52">
        <f t="shared" si="100"/>
        <v>0</v>
      </c>
      <c r="CL116" s="52">
        <f t="shared" si="100"/>
        <v>0</v>
      </c>
      <c r="CM116" s="52">
        <f t="shared" si="100"/>
        <v>0</v>
      </c>
      <c r="CN116" s="52">
        <f t="shared" si="100"/>
        <v>0</v>
      </c>
      <c r="CO116" s="52">
        <f t="shared" si="100"/>
        <v>0</v>
      </c>
      <c r="CP116" s="52">
        <f t="shared" si="100"/>
        <v>0</v>
      </c>
      <c r="CQ116" s="52">
        <f t="shared" si="100"/>
        <v>0</v>
      </c>
      <c r="CR116" s="52">
        <f t="shared" si="100"/>
        <v>0</v>
      </c>
      <c r="CS116" s="52">
        <f t="shared" si="100"/>
        <v>0</v>
      </c>
      <c r="CT116" s="52">
        <f t="shared" si="100"/>
        <v>0</v>
      </c>
      <c r="CU116" s="52">
        <f t="shared" si="100"/>
        <v>0</v>
      </c>
      <c r="CV116" s="52">
        <f t="shared" si="100"/>
        <v>0</v>
      </c>
      <c r="CW116" s="52">
        <f t="shared" si="100"/>
        <v>0</v>
      </c>
      <c r="CX116" s="52">
        <f t="shared" si="100"/>
        <v>0</v>
      </c>
      <c r="CY116" s="52">
        <f t="shared" si="100"/>
        <v>0</v>
      </c>
      <c r="CZ116" s="52">
        <f t="shared" si="100"/>
        <v>0</v>
      </c>
      <c r="DA116" s="52">
        <f t="shared" si="100"/>
        <v>0</v>
      </c>
      <c r="DB116" s="52">
        <f t="shared" si="100"/>
        <v>0</v>
      </c>
      <c r="DC116" s="52">
        <f t="shared" si="100"/>
        <v>0</v>
      </c>
      <c r="DD116" s="52">
        <f t="shared" si="100"/>
        <v>0</v>
      </c>
      <c r="DE116" s="52">
        <f t="shared" si="100"/>
        <v>0</v>
      </c>
      <c r="DF116" s="52">
        <f t="shared" si="100"/>
        <v>0</v>
      </c>
      <c r="DG116" s="52">
        <f t="shared" si="100"/>
        <v>0</v>
      </c>
      <c r="DH116" s="52">
        <f t="shared" si="100"/>
        <v>0</v>
      </c>
      <c r="DI116" s="52">
        <f t="shared" si="100"/>
        <v>0</v>
      </c>
      <c r="DJ116" s="52">
        <f t="shared" si="100"/>
        <v>0</v>
      </c>
    </row>
    <row r="117" ht="15.75" customHeight="1">
      <c r="B117" s="52" t="s">
        <v>1792</v>
      </c>
      <c r="C117" s="52">
        <v>12.0</v>
      </c>
      <c r="D117" s="52" t="s">
        <v>1788</v>
      </c>
      <c r="E117" s="58"/>
      <c r="F117" s="58"/>
      <c r="G117" s="58"/>
      <c r="H117" s="58"/>
      <c r="I117" s="58"/>
      <c r="J117" s="58"/>
      <c r="K117" s="65">
        <v>0.08</v>
      </c>
      <c r="L117" s="65">
        <v>0.08</v>
      </c>
      <c r="M117" s="65">
        <v>0.07</v>
      </c>
      <c r="N117" s="65">
        <v>0.07</v>
      </c>
      <c r="O117" s="65">
        <v>0.06</v>
      </c>
      <c r="P117" s="65">
        <v>0.06</v>
      </c>
      <c r="Q117" s="65">
        <v>0.05</v>
      </c>
      <c r="R117" s="65">
        <v>0.05</v>
      </c>
      <c r="S117" s="65">
        <v>0.05</v>
      </c>
      <c r="T117" s="65">
        <v>0.04</v>
      </c>
      <c r="U117" s="65">
        <v>0.04</v>
      </c>
      <c r="V117" s="65">
        <v>0.04</v>
      </c>
      <c r="W117" s="65">
        <v>0.04</v>
      </c>
      <c r="X117" s="65">
        <v>0.03</v>
      </c>
      <c r="Y117" s="65">
        <v>0.03</v>
      </c>
      <c r="Z117" s="65">
        <v>0.03</v>
      </c>
      <c r="AA117" s="65">
        <v>0.03</v>
      </c>
      <c r="AB117" s="65">
        <v>0.03</v>
      </c>
      <c r="AC117" s="65">
        <v>0.02</v>
      </c>
      <c r="AD117" s="65">
        <v>0.02</v>
      </c>
      <c r="BV117" s="52">
        <f t="shared" ref="BV117:DJ117" si="101">ROUND($BV31*E117,0)</f>
        <v>0</v>
      </c>
      <c r="BW117" s="52">
        <f t="shared" si="101"/>
        <v>0</v>
      </c>
      <c r="BX117" s="52">
        <f t="shared" si="101"/>
        <v>0</v>
      </c>
      <c r="BY117" s="52">
        <f t="shared" si="101"/>
        <v>0</v>
      </c>
      <c r="BZ117" s="52">
        <f t="shared" si="101"/>
        <v>0</v>
      </c>
      <c r="CA117" s="52">
        <f t="shared" si="101"/>
        <v>0</v>
      </c>
      <c r="CB117" s="52">
        <f t="shared" si="101"/>
        <v>0</v>
      </c>
      <c r="CC117" s="52">
        <f t="shared" si="101"/>
        <v>0</v>
      </c>
      <c r="CD117" s="52">
        <f t="shared" si="101"/>
        <v>0</v>
      </c>
      <c r="CE117" s="52">
        <f t="shared" si="101"/>
        <v>0</v>
      </c>
      <c r="CF117" s="52">
        <f t="shared" si="101"/>
        <v>0</v>
      </c>
      <c r="CG117" s="52">
        <f t="shared" si="101"/>
        <v>0</v>
      </c>
      <c r="CH117" s="52">
        <f t="shared" si="101"/>
        <v>0</v>
      </c>
      <c r="CI117" s="52">
        <f t="shared" si="101"/>
        <v>0</v>
      </c>
      <c r="CJ117" s="52">
        <f t="shared" si="101"/>
        <v>0</v>
      </c>
      <c r="CK117" s="52">
        <f t="shared" si="101"/>
        <v>0</v>
      </c>
      <c r="CL117" s="52">
        <f t="shared" si="101"/>
        <v>0</v>
      </c>
      <c r="CM117" s="52">
        <f t="shared" si="101"/>
        <v>0</v>
      </c>
      <c r="CN117" s="52">
        <f t="shared" si="101"/>
        <v>0</v>
      </c>
      <c r="CO117" s="52">
        <f t="shared" si="101"/>
        <v>0</v>
      </c>
      <c r="CP117" s="52">
        <f t="shared" si="101"/>
        <v>0</v>
      </c>
      <c r="CQ117" s="52">
        <f t="shared" si="101"/>
        <v>0</v>
      </c>
      <c r="CR117" s="52">
        <f t="shared" si="101"/>
        <v>0</v>
      </c>
      <c r="CS117" s="52">
        <f t="shared" si="101"/>
        <v>0</v>
      </c>
      <c r="CT117" s="52">
        <f t="shared" si="101"/>
        <v>0</v>
      </c>
      <c r="CU117" s="52">
        <f t="shared" si="101"/>
        <v>0</v>
      </c>
      <c r="CV117" s="52">
        <f t="shared" si="101"/>
        <v>0</v>
      </c>
      <c r="CW117" s="52">
        <f t="shared" si="101"/>
        <v>0</v>
      </c>
      <c r="CX117" s="52">
        <f t="shared" si="101"/>
        <v>0</v>
      </c>
      <c r="CY117" s="52">
        <f t="shared" si="101"/>
        <v>0</v>
      </c>
      <c r="CZ117" s="52">
        <f t="shared" si="101"/>
        <v>0</v>
      </c>
      <c r="DA117" s="52">
        <f t="shared" si="101"/>
        <v>0</v>
      </c>
      <c r="DB117" s="52">
        <f t="shared" si="101"/>
        <v>0</v>
      </c>
      <c r="DC117" s="52">
        <f t="shared" si="101"/>
        <v>0</v>
      </c>
      <c r="DD117" s="52">
        <f t="shared" si="101"/>
        <v>0</v>
      </c>
      <c r="DE117" s="52">
        <f t="shared" si="101"/>
        <v>0</v>
      </c>
      <c r="DF117" s="52">
        <f t="shared" si="101"/>
        <v>0</v>
      </c>
      <c r="DG117" s="52">
        <f t="shared" si="101"/>
        <v>0</v>
      </c>
      <c r="DH117" s="52">
        <f t="shared" si="101"/>
        <v>0</v>
      </c>
      <c r="DI117" s="52">
        <f t="shared" si="101"/>
        <v>0</v>
      </c>
      <c r="DJ117" s="52">
        <f t="shared" si="101"/>
        <v>0</v>
      </c>
    </row>
    <row r="118" ht="15.75" customHeight="1">
      <c r="B118" s="52" t="s">
        <v>1792</v>
      </c>
      <c r="C118" s="52">
        <v>12.0</v>
      </c>
      <c r="D118" s="52" t="s">
        <v>1789</v>
      </c>
      <c r="E118" s="58"/>
      <c r="F118" s="58"/>
      <c r="G118" s="58"/>
      <c r="H118" s="58"/>
      <c r="I118" s="58"/>
      <c r="J118" s="58"/>
      <c r="K118" s="58"/>
      <c r="L118" s="65">
        <v>0.08</v>
      </c>
      <c r="M118" s="65">
        <v>0.08</v>
      </c>
      <c r="N118" s="65">
        <v>0.07</v>
      </c>
      <c r="O118" s="65">
        <v>0.07</v>
      </c>
      <c r="P118" s="65">
        <v>0.06</v>
      </c>
      <c r="Q118" s="65">
        <v>0.06</v>
      </c>
      <c r="R118" s="65">
        <v>0.05</v>
      </c>
      <c r="S118" s="65">
        <v>0.05</v>
      </c>
      <c r="T118" s="65">
        <v>0.05</v>
      </c>
      <c r="U118" s="65">
        <v>0.04</v>
      </c>
      <c r="V118" s="65">
        <v>0.04</v>
      </c>
      <c r="W118" s="65">
        <v>0.04</v>
      </c>
      <c r="X118" s="65">
        <v>0.04</v>
      </c>
      <c r="Y118" s="65">
        <v>0.03</v>
      </c>
      <c r="Z118" s="65">
        <v>0.03</v>
      </c>
      <c r="AA118" s="65">
        <v>0.03</v>
      </c>
      <c r="AB118" s="65">
        <v>0.03</v>
      </c>
      <c r="AC118" s="65">
        <v>0.03</v>
      </c>
      <c r="AD118" s="65">
        <v>0.02</v>
      </c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V118" s="52">
        <f t="shared" ref="BV118:DJ118" si="102">ROUND($BV32*E118,0)</f>
        <v>0</v>
      </c>
      <c r="BW118" s="52">
        <f t="shared" si="102"/>
        <v>0</v>
      </c>
      <c r="BX118" s="52">
        <f t="shared" si="102"/>
        <v>0</v>
      </c>
      <c r="BY118" s="52">
        <f t="shared" si="102"/>
        <v>0</v>
      </c>
      <c r="BZ118" s="52">
        <f t="shared" si="102"/>
        <v>0</v>
      </c>
      <c r="CA118" s="52">
        <f t="shared" si="102"/>
        <v>0</v>
      </c>
      <c r="CB118" s="52">
        <f t="shared" si="102"/>
        <v>0</v>
      </c>
      <c r="CC118" s="52">
        <f t="shared" si="102"/>
        <v>1</v>
      </c>
      <c r="CD118" s="52">
        <f t="shared" si="102"/>
        <v>1</v>
      </c>
      <c r="CE118" s="52">
        <f t="shared" si="102"/>
        <v>0</v>
      </c>
      <c r="CF118" s="52">
        <f t="shared" si="102"/>
        <v>0</v>
      </c>
      <c r="CG118" s="52">
        <f t="shared" si="102"/>
        <v>0</v>
      </c>
      <c r="CH118" s="52">
        <f t="shared" si="102"/>
        <v>0</v>
      </c>
      <c r="CI118" s="52">
        <f t="shared" si="102"/>
        <v>0</v>
      </c>
      <c r="CJ118" s="52">
        <f t="shared" si="102"/>
        <v>0</v>
      </c>
      <c r="CK118" s="52">
        <f t="shared" si="102"/>
        <v>0</v>
      </c>
      <c r="CL118" s="52">
        <f t="shared" si="102"/>
        <v>0</v>
      </c>
      <c r="CM118" s="52">
        <f t="shared" si="102"/>
        <v>0</v>
      </c>
      <c r="CN118" s="52">
        <f t="shared" si="102"/>
        <v>0</v>
      </c>
      <c r="CO118" s="52">
        <f t="shared" si="102"/>
        <v>0</v>
      </c>
      <c r="CP118" s="52">
        <f t="shared" si="102"/>
        <v>0</v>
      </c>
      <c r="CQ118" s="52">
        <f t="shared" si="102"/>
        <v>0</v>
      </c>
      <c r="CR118" s="52">
        <f t="shared" si="102"/>
        <v>0</v>
      </c>
      <c r="CS118" s="52">
        <f t="shared" si="102"/>
        <v>0</v>
      </c>
      <c r="CT118" s="52">
        <f t="shared" si="102"/>
        <v>0</v>
      </c>
      <c r="CU118" s="52">
        <f t="shared" si="102"/>
        <v>0</v>
      </c>
      <c r="CV118" s="52">
        <f t="shared" si="102"/>
        <v>0</v>
      </c>
      <c r="CW118" s="52">
        <f t="shared" si="102"/>
        <v>0</v>
      </c>
      <c r="CX118" s="52">
        <f t="shared" si="102"/>
        <v>0</v>
      </c>
      <c r="CY118" s="52">
        <f t="shared" si="102"/>
        <v>0</v>
      </c>
      <c r="CZ118" s="52">
        <f t="shared" si="102"/>
        <v>0</v>
      </c>
      <c r="DA118" s="52">
        <f t="shared" si="102"/>
        <v>0</v>
      </c>
      <c r="DB118" s="52">
        <f t="shared" si="102"/>
        <v>0</v>
      </c>
      <c r="DC118" s="52">
        <f t="shared" si="102"/>
        <v>0</v>
      </c>
      <c r="DD118" s="52">
        <f t="shared" si="102"/>
        <v>0</v>
      </c>
      <c r="DE118" s="52">
        <f t="shared" si="102"/>
        <v>0</v>
      </c>
      <c r="DF118" s="52">
        <f t="shared" si="102"/>
        <v>0</v>
      </c>
      <c r="DG118" s="52">
        <f t="shared" si="102"/>
        <v>0</v>
      </c>
      <c r="DH118" s="52">
        <f t="shared" si="102"/>
        <v>0</v>
      </c>
      <c r="DI118" s="52">
        <f t="shared" si="102"/>
        <v>0</v>
      </c>
      <c r="DJ118" s="52">
        <f t="shared" si="102"/>
        <v>0</v>
      </c>
    </row>
    <row r="119" ht="15.75" customHeight="1">
      <c r="B119" s="52" t="s">
        <v>1792</v>
      </c>
      <c r="C119" s="52">
        <v>12.0</v>
      </c>
      <c r="D119" s="52" t="s">
        <v>1790</v>
      </c>
      <c r="E119" s="58"/>
      <c r="F119" s="58"/>
      <c r="G119" s="58"/>
      <c r="H119" s="58"/>
      <c r="I119" s="58"/>
      <c r="J119" s="58"/>
      <c r="K119" s="58"/>
      <c r="L119" s="58"/>
      <c r="M119" s="58"/>
      <c r="N119" s="65">
        <v>0.08</v>
      </c>
      <c r="O119" s="65">
        <v>0.08</v>
      </c>
      <c r="P119" s="65">
        <v>0.07</v>
      </c>
      <c r="Q119" s="65">
        <v>0.07</v>
      </c>
      <c r="R119" s="65">
        <v>0.06</v>
      </c>
      <c r="S119" s="65">
        <v>0.06</v>
      </c>
      <c r="T119" s="65">
        <v>0.05</v>
      </c>
      <c r="U119" s="65">
        <v>0.05</v>
      </c>
      <c r="V119" s="65">
        <v>0.05</v>
      </c>
      <c r="W119" s="65">
        <v>0.04</v>
      </c>
      <c r="X119" s="65">
        <v>0.04</v>
      </c>
      <c r="Y119" s="65">
        <v>0.04</v>
      </c>
      <c r="Z119" s="65">
        <v>0.04</v>
      </c>
      <c r="AA119" s="65">
        <v>0.03</v>
      </c>
      <c r="AB119" s="65">
        <v>0.03</v>
      </c>
      <c r="AC119" s="65">
        <v>0.03</v>
      </c>
      <c r="AD119" s="65">
        <v>0.03</v>
      </c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V119" s="52">
        <f t="shared" ref="BV119:DJ119" si="103">ROUND($BV33*E119,0)</f>
        <v>0</v>
      </c>
      <c r="BW119" s="52">
        <f t="shared" si="103"/>
        <v>0</v>
      </c>
      <c r="BX119" s="52">
        <f t="shared" si="103"/>
        <v>0</v>
      </c>
      <c r="BY119" s="52">
        <f t="shared" si="103"/>
        <v>0</v>
      </c>
      <c r="BZ119" s="52">
        <f t="shared" si="103"/>
        <v>0</v>
      </c>
      <c r="CA119" s="52">
        <f t="shared" si="103"/>
        <v>0</v>
      </c>
      <c r="CB119" s="52">
        <f t="shared" si="103"/>
        <v>0</v>
      </c>
      <c r="CC119" s="52">
        <f t="shared" si="103"/>
        <v>0</v>
      </c>
      <c r="CD119" s="52">
        <f t="shared" si="103"/>
        <v>0</v>
      </c>
      <c r="CE119" s="52">
        <f t="shared" si="103"/>
        <v>1</v>
      </c>
      <c r="CF119" s="52">
        <f t="shared" si="103"/>
        <v>1</v>
      </c>
      <c r="CG119" s="52">
        <f t="shared" si="103"/>
        <v>1</v>
      </c>
      <c r="CH119" s="52">
        <f t="shared" si="103"/>
        <v>1</v>
      </c>
      <c r="CI119" s="52">
        <f t="shared" si="103"/>
        <v>1</v>
      </c>
      <c r="CJ119" s="52">
        <f t="shared" si="103"/>
        <v>1</v>
      </c>
      <c r="CK119" s="52">
        <f t="shared" si="103"/>
        <v>1</v>
      </c>
      <c r="CL119" s="52">
        <f t="shared" si="103"/>
        <v>1</v>
      </c>
      <c r="CM119" s="52">
        <f t="shared" si="103"/>
        <v>1</v>
      </c>
      <c r="CN119" s="52">
        <f t="shared" si="103"/>
        <v>0</v>
      </c>
      <c r="CO119" s="52">
        <f t="shared" si="103"/>
        <v>0</v>
      </c>
      <c r="CP119" s="52">
        <f t="shared" si="103"/>
        <v>0</v>
      </c>
      <c r="CQ119" s="52">
        <f t="shared" si="103"/>
        <v>0</v>
      </c>
      <c r="CR119" s="52">
        <f t="shared" si="103"/>
        <v>0</v>
      </c>
      <c r="CS119" s="52">
        <f t="shared" si="103"/>
        <v>0</v>
      </c>
      <c r="CT119" s="52">
        <f t="shared" si="103"/>
        <v>0</v>
      </c>
      <c r="CU119" s="52">
        <f t="shared" si="103"/>
        <v>0</v>
      </c>
      <c r="CV119" s="52">
        <f t="shared" si="103"/>
        <v>0</v>
      </c>
      <c r="CW119" s="52">
        <f t="shared" si="103"/>
        <v>0</v>
      </c>
      <c r="CX119" s="52">
        <f t="shared" si="103"/>
        <v>0</v>
      </c>
      <c r="CY119" s="52">
        <f t="shared" si="103"/>
        <v>0</v>
      </c>
      <c r="CZ119" s="52">
        <f t="shared" si="103"/>
        <v>0</v>
      </c>
      <c r="DA119" s="52">
        <f t="shared" si="103"/>
        <v>0</v>
      </c>
      <c r="DB119" s="52">
        <f t="shared" si="103"/>
        <v>0</v>
      </c>
      <c r="DC119" s="52">
        <f t="shared" si="103"/>
        <v>0</v>
      </c>
      <c r="DD119" s="52">
        <f t="shared" si="103"/>
        <v>0</v>
      </c>
      <c r="DE119" s="52">
        <f t="shared" si="103"/>
        <v>0</v>
      </c>
      <c r="DF119" s="52">
        <f t="shared" si="103"/>
        <v>0</v>
      </c>
      <c r="DG119" s="52">
        <f t="shared" si="103"/>
        <v>0</v>
      </c>
      <c r="DH119" s="52">
        <f t="shared" si="103"/>
        <v>0</v>
      </c>
      <c r="DI119" s="52">
        <f t="shared" si="103"/>
        <v>0</v>
      </c>
      <c r="DJ119" s="52">
        <f t="shared" si="103"/>
        <v>0</v>
      </c>
    </row>
    <row r="120" ht="15.75" customHeight="1">
      <c r="B120" s="52" t="s">
        <v>1792</v>
      </c>
      <c r="C120" s="52">
        <v>13.0</v>
      </c>
      <c r="D120" s="52">
        <v>0.0</v>
      </c>
      <c r="E120" s="65">
        <v>0.07</v>
      </c>
      <c r="F120" s="65">
        <v>0.07</v>
      </c>
      <c r="G120" s="65">
        <v>0.07</v>
      </c>
      <c r="H120" s="65">
        <v>0.07</v>
      </c>
      <c r="I120" s="65">
        <v>0.07</v>
      </c>
      <c r="J120" s="65">
        <v>0.07</v>
      </c>
      <c r="K120" s="65">
        <v>0.07</v>
      </c>
      <c r="L120" s="65">
        <v>0.07</v>
      </c>
      <c r="M120" s="65">
        <v>0.07</v>
      </c>
      <c r="N120" s="65">
        <v>0.03</v>
      </c>
      <c r="O120" s="65">
        <v>0.03</v>
      </c>
      <c r="P120" s="65">
        <v>0.03</v>
      </c>
      <c r="Q120" s="65">
        <v>0.03</v>
      </c>
      <c r="R120" s="65">
        <v>0.03</v>
      </c>
      <c r="S120" s="65">
        <v>0.03</v>
      </c>
      <c r="T120" s="65">
        <v>0.03</v>
      </c>
      <c r="U120" s="65">
        <v>0.02</v>
      </c>
      <c r="V120" s="65">
        <v>0.02</v>
      </c>
      <c r="W120" s="65">
        <v>0.02</v>
      </c>
      <c r="X120" s="65">
        <v>0.02</v>
      </c>
      <c r="Y120" s="65">
        <v>0.02</v>
      </c>
      <c r="Z120" s="65">
        <v>0.02</v>
      </c>
      <c r="AA120" s="65">
        <v>0.02</v>
      </c>
      <c r="AB120" s="65">
        <v>0.02</v>
      </c>
      <c r="AC120" s="58"/>
      <c r="AD120" s="58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W120" s="52">
        <f t="shared" ref="BW120:DJ120" si="104">ROUND($BW27*E120,0)</f>
        <v>7</v>
      </c>
      <c r="BX120" s="52">
        <f t="shared" si="104"/>
        <v>7</v>
      </c>
      <c r="BY120" s="52">
        <f t="shared" si="104"/>
        <v>7</v>
      </c>
      <c r="BZ120" s="52">
        <f t="shared" si="104"/>
        <v>7</v>
      </c>
      <c r="CA120" s="52">
        <f t="shared" si="104"/>
        <v>7</v>
      </c>
      <c r="CB120" s="52">
        <f t="shared" si="104"/>
        <v>7</v>
      </c>
      <c r="CC120" s="52">
        <f t="shared" si="104"/>
        <v>7</v>
      </c>
      <c r="CD120" s="52">
        <f t="shared" si="104"/>
        <v>7</v>
      </c>
      <c r="CE120" s="52">
        <f t="shared" si="104"/>
        <v>7</v>
      </c>
      <c r="CF120" s="52">
        <f t="shared" si="104"/>
        <v>3</v>
      </c>
      <c r="CG120" s="52">
        <f t="shared" si="104"/>
        <v>3</v>
      </c>
      <c r="CH120" s="52">
        <f t="shared" si="104"/>
        <v>3</v>
      </c>
      <c r="CI120" s="52">
        <f t="shared" si="104"/>
        <v>3</v>
      </c>
      <c r="CJ120" s="52">
        <f t="shared" si="104"/>
        <v>3</v>
      </c>
      <c r="CK120" s="52">
        <f t="shared" si="104"/>
        <v>3</v>
      </c>
      <c r="CL120" s="52">
        <f t="shared" si="104"/>
        <v>3</v>
      </c>
      <c r="CM120" s="52">
        <f t="shared" si="104"/>
        <v>2</v>
      </c>
      <c r="CN120" s="52">
        <f t="shared" si="104"/>
        <v>2</v>
      </c>
      <c r="CO120" s="52">
        <f t="shared" si="104"/>
        <v>2</v>
      </c>
      <c r="CP120" s="52">
        <f t="shared" si="104"/>
        <v>2</v>
      </c>
      <c r="CQ120" s="52">
        <f t="shared" si="104"/>
        <v>2</v>
      </c>
      <c r="CR120" s="52">
        <f t="shared" si="104"/>
        <v>2</v>
      </c>
      <c r="CS120" s="52">
        <f t="shared" si="104"/>
        <v>2</v>
      </c>
      <c r="CT120" s="52">
        <f t="shared" si="104"/>
        <v>2</v>
      </c>
      <c r="CU120" s="52">
        <f t="shared" si="104"/>
        <v>0</v>
      </c>
      <c r="CV120" s="52">
        <f t="shared" si="104"/>
        <v>0</v>
      </c>
      <c r="CW120" s="52">
        <f t="shared" si="104"/>
        <v>0</v>
      </c>
      <c r="CX120" s="52">
        <f t="shared" si="104"/>
        <v>0</v>
      </c>
      <c r="CY120" s="52">
        <f t="shared" si="104"/>
        <v>0</v>
      </c>
      <c r="CZ120" s="52">
        <f t="shared" si="104"/>
        <v>0</v>
      </c>
      <c r="DA120" s="52">
        <f t="shared" si="104"/>
        <v>0</v>
      </c>
      <c r="DB120" s="52">
        <f t="shared" si="104"/>
        <v>0</v>
      </c>
      <c r="DC120" s="52">
        <f t="shared" si="104"/>
        <v>0</v>
      </c>
      <c r="DD120" s="52">
        <f t="shared" si="104"/>
        <v>0</v>
      </c>
      <c r="DE120" s="52">
        <f t="shared" si="104"/>
        <v>0</v>
      </c>
      <c r="DF120" s="52">
        <f t="shared" si="104"/>
        <v>0</v>
      </c>
      <c r="DG120" s="52">
        <f t="shared" si="104"/>
        <v>0</v>
      </c>
      <c r="DH120" s="52">
        <f t="shared" si="104"/>
        <v>0</v>
      </c>
      <c r="DI120" s="52">
        <f t="shared" si="104"/>
        <v>0</v>
      </c>
      <c r="DJ120" s="52">
        <f t="shared" si="104"/>
        <v>0</v>
      </c>
    </row>
    <row r="121" ht="15.75" customHeight="1">
      <c r="B121" s="52" t="s">
        <v>1792</v>
      </c>
      <c r="C121" s="52">
        <v>13.0</v>
      </c>
      <c r="D121" s="52" t="s">
        <v>1785</v>
      </c>
      <c r="E121" s="65">
        <v>0.02</v>
      </c>
      <c r="F121" s="65">
        <v>0.02</v>
      </c>
      <c r="G121" s="65">
        <v>0.02</v>
      </c>
      <c r="H121" s="65">
        <v>0.02</v>
      </c>
      <c r="I121" s="65">
        <v>0.08</v>
      </c>
      <c r="J121" s="65">
        <v>0.08</v>
      </c>
      <c r="K121" s="65">
        <v>0.07</v>
      </c>
      <c r="L121" s="65">
        <v>0.07</v>
      </c>
      <c r="M121" s="65">
        <v>0.06</v>
      </c>
      <c r="N121" s="65">
        <v>0.06</v>
      </c>
      <c r="O121" s="65">
        <v>0.05</v>
      </c>
      <c r="P121" s="65">
        <v>0.05</v>
      </c>
      <c r="Q121" s="65">
        <v>0.05</v>
      </c>
      <c r="R121" s="65">
        <v>0.04</v>
      </c>
      <c r="S121" s="65">
        <v>0.04</v>
      </c>
      <c r="T121" s="65">
        <v>0.04</v>
      </c>
      <c r="U121" s="65">
        <v>0.04</v>
      </c>
      <c r="V121" s="65">
        <v>0.03</v>
      </c>
      <c r="W121" s="65">
        <v>0.03</v>
      </c>
      <c r="X121" s="65">
        <v>0.03</v>
      </c>
      <c r="Y121" s="65">
        <v>0.03</v>
      </c>
      <c r="Z121" s="65">
        <v>0.03</v>
      </c>
      <c r="AA121" s="65">
        <v>0.02</v>
      </c>
      <c r="AB121" s="65">
        <v>0.02</v>
      </c>
      <c r="AC121" s="58"/>
      <c r="AD121" s="58"/>
      <c r="BL121" s="55"/>
      <c r="BW121" s="52">
        <f t="shared" ref="BW121:DJ121" si="105">ROUND($BW28*E121,0)</f>
        <v>0</v>
      </c>
      <c r="BX121" s="52">
        <f t="shared" si="105"/>
        <v>0</v>
      </c>
      <c r="BY121" s="52">
        <f t="shared" si="105"/>
        <v>0</v>
      </c>
      <c r="BZ121" s="52">
        <f t="shared" si="105"/>
        <v>0</v>
      </c>
      <c r="CA121" s="52">
        <f t="shared" si="105"/>
        <v>1</v>
      </c>
      <c r="CB121" s="52">
        <f t="shared" si="105"/>
        <v>1</v>
      </c>
      <c r="CC121" s="52">
        <f t="shared" si="105"/>
        <v>1</v>
      </c>
      <c r="CD121" s="52">
        <f t="shared" si="105"/>
        <v>1</v>
      </c>
      <c r="CE121" s="52">
        <f t="shared" si="105"/>
        <v>1</v>
      </c>
      <c r="CF121" s="52">
        <f t="shared" si="105"/>
        <v>1</v>
      </c>
      <c r="CG121" s="52">
        <f t="shared" si="105"/>
        <v>1</v>
      </c>
      <c r="CH121" s="52">
        <f t="shared" si="105"/>
        <v>1</v>
      </c>
      <c r="CI121" s="52">
        <f t="shared" si="105"/>
        <v>1</v>
      </c>
      <c r="CJ121" s="52">
        <f t="shared" si="105"/>
        <v>0</v>
      </c>
      <c r="CK121" s="52">
        <f t="shared" si="105"/>
        <v>0</v>
      </c>
      <c r="CL121" s="52">
        <f t="shared" si="105"/>
        <v>0</v>
      </c>
      <c r="CM121" s="52">
        <f t="shared" si="105"/>
        <v>0</v>
      </c>
      <c r="CN121" s="52">
        <f t="shared" si="105"/>
        <v>0</v>
      </c>
      <c r="CO121" s="52">
        <f t="shared" si="105"/>
        <v>0</v>
      </c>
      <c r="CP121" s="52">
        <f t="shared" si="105"/>
        <v>0</v>
      </c>
      <c r="CQ121" s="52">
        <f t="shared" si="105"/>
        <v>0</v>
      </c>
      <c r="CR121" s="52">
        <f t="shared" si="105"/>
        <v>0</v>
      </c>
      <c r="CS121" s="52">
        <f t="shared" si="105"/>
        <v>0</v>
      </c>
      <c r="CT121" s="52">
        <f t="shared" si="105"/>
        <v>0</v>
      </c>
      <c r="CU121" s="52">
        <f t="shared" si="105"/>
        <v>0</v>
      </c>
      <c r="CV121" s="52">
        <f t="shared" si="105"/>
        <v>0</v>
      </c>
      <c r="CW121" s="52">
        <f t="shared" si="105"/>
        <v>0</v>
      </c>
      <c r="CX121" s="52">
        <f t="shared" si="105"/>
        <v>0</v>
      </c>
      <c r="CY121" s="52">
        <f t="shared" si="105"/>
        <v>0</v>
      </c>
      <c r="CZ121" s="52">
        <f t="shared" si="105"/>
        <v>0</v>
      </c>
      <c r="DA121" s="52">
        <f t="shared" si="105"/>
        <v>0</v>
      </c>
      <c r="DB121" s="52">
        <f t="shared" si="105"/>
        <v>0</v>
      </c>
      <c r="DC121" s="52">
        <f t="shared" si="105"/>
        <v>0</v>
      </c>
      <c r="DD121" s="52">
        <f t="shared" si="105"/>
        <v>0</v>
      </c>
      <c r="DE121" s="52">
        <f t="shared" si="105"/>
        <v>0</v>
      </c>
      <c r="DF121" s="52">
        <f t="shared" si="105"/>
        <v>0</v>
      </c>
      <c r="DG121" s="52">
        <f t="shared" si="105"/>
        <v>0</v>
      </c>
      <c r="DH121" s="52">
        <f t="shared" si="105"/>
        <v>0</v>
      </c>
      <c r="DI121" s="52">
        <f t="shared" si="105"/>
        <v>0</v>
      </c>
      <c r="DJ121" s="52">
        <f t="shared" si="105"/>
        <v>0</v>
      </c>
    </row>
    <row r="122" ht="15.75" customHeight="1">
      <c r="B122" s="52" t="s">
        <v>1792</v>
      </c>
      <c r="C122" s="52">
        <v>13.0</v>
      </c>
      <c r="D122" s="52" t="s">
        <v>1786</v>
      </c>
      <c r="E122" s="58"/>
      <c r="F122" s="58"/>
      <c r="G122" s="58"/>
      <c r="H122" s="65">
        <v>0.08</v>
      </c>
      <c r="I122" s="65">
        <v>0.08</v>
      </c>
      <c r="J122" s="65">
        <v>0.07</v>
      </c>
      <c r="K122" s="65">
        <v>0.07</v>
      </c>
      <c r="L122" s="65">
        <v>0.06</v>
      </c>
      <c r="M122" s="65">
        <v>0.06</v>
      </c>
      <c r="N122" s="65">
        <v>0.05</v>
      </c>
      <c r="O122" s="65">
        <v>0.05</v>
      </c>
      <c r="P122" s="65">
        <v>0.05</v>
      </c>
      <c r="Q122" s="65">
        <v>0.04</v>
      </c>
      <c r="R122" s="65">
        <v>0.04</v>
      </c>
      <c r="S122" s="65">
        <v>0.04</v>
      </c>
      <c r="T122" s="65">
        <v>0.04</v>
      </c>
      <c r="U122" s="65">
        <v>0.03</v>
      </c>
      <c r="V122" s="65">
        <v>0.03</v>
      </c>
      <c r="W122" s="65">
        <v>0.03</v>
      </c>
      <c r="X122" s="65">
        <v>0.03</v>
      </c>
      <c r="Y122" s="65">
        <v>0.03</v>
      </c>
      <c r="Z122" s="65">
        <v>0.02</v>
      </c>
      <c r="AA122" s="65">
        <v>0.02</v>
      </c>
      <c r="AB122" s="65">
        <v>0.03</v>
      </c>
      <c r="AC122" s="65">
        <v>0.03</v>
      </c>
      <c r="AD122" s="65">
        <v>0.02</v>
      </c>
      <c r="BL122" s="55"/>
      <c r="BW122" s="52">
        <f t="shared" ref="BW122:DJ122" si="106">ROUND($BW29*E122,0)</f>
        <v>0</v>
      </c>
      <c r="BX122" s="52">
        <f t="shared" si="106"/>
        <v>0</v>
      </c>
      <c r="BY122" s="52">
        <f t="shared" si="106"/>
        <v>0</v>
      </c>
      <c r="BZ122" s="52">
        <f t="shared" si="106"/>
        <v>1</v>
      </c>
      <c r="CA122" s="52">
        <f t="shared" si="106"/>
        <v>1</v>
      </c>
      <c r="CB122" s="52">
        <f t="shared" si="106"/>
        <v>1</v>
      </c>
      <c r="CC122" s="52">
        <f t="shared" si="106"/>
        <v>1</v>
      </c>
      <c r="CD122" s="52">
        <f t="shared" si="106"/>
        <v>1</v>
      </c>
      <c r="CE122" s="52">
        <f t="shared" si="106"/>
        <v>1</v>
      </c>
      <c r="CF122" s="52">
        <f t="shared" si="106"/>
        <v>1</v>
      </c>
      <c r="CG122" s="52">
        <f t="shared" si="106"/>
        <v>1</v>
      </c>
      <c r="CH122" s="52">
        <f t="shared" si="106"/>
        <v>1</v>
      </c>
      <c r="CI122" s="52">
        <f t="shared" si="106"/>
        <v>1</v>
      </c>
      <c r="CJ122" s="52">
        <f t="shared" si="106"/>
        <v>1</v>
      </c>
      <c r="CK122" s="52">
        <f t="shared" si="106"/>
        <v>1</v>
      </c>
      <c r="CL122" s="52">
        <f t="shared" si="106"/>
        <v>1</v>
      </c>
      <c r="CM122" s="52">
        <f t="shared" si="106"/>
        <v>1</v>
      </c>
      <c r="CN122" s="52">
        <f t="shared" si="106"/>
        <v>1</v>
      </c>
      <c r="CO122" s="52">
        <f t="shared" si="106"/>
        <v>1</v>
      </c>
      <c r="CP122" s="52">
        <f t="shared" si="106"/>
        <v>1</v>
      </c>
      <c r="CQ122" s="52">
        <f t="shared" si="106"/>
        <v>1</v>
      </c>
      <c r="CR122" s="52">
        <f t="shared" si="106"/>
        <v>0</v>
      </c>
      <c r="CS122" s="52">
        <f t="shared" si="106"/>
        <v>0</v>
      </c>
      <c r="CT122" s="52">
        <f t="shared" si="106"/>
        <v>1</v>
      </c>
      <c r="CU122" s="52">
        <f t="shared" si="106"/>
        <v>1</v>
      </c>
      <c r="CV122" s="52">
        <f t="shared" si="106"/>
        <v>0</v>
      </c>
      <c r="CW122" s="52">
        <f t="shared" si="106"/>
        <v>0</v>
      </c>
      <c r="CX122" s="52">
        <f t="shared" si="106"/>
        <v>0</v>
      </c>
      <c r="CY122" s="52">
        <f t="shared" si="106"/>
        <v>0</v>
      </c>
      <c r="CZ122" s="52">
        <f t="shared" si="106"/>
        <v>0</v>
      </c>
      <c r="DA122" s="52">
        <f t="shared" si="106"/>
        <v>0</v>
      </c>
      <c r="DB122" s="52">
        <f t="shared" si="106"/>
        <v>0</v>
      </c>
      <c r="DC122" s="52">
        <f t="shared" si="106"/>
        <v>0</v>
      </c>
      <c r="DD122" s="52">
        <f t="shared" si="106"/>
        <v>0</v>
      </c>
      <c r="DE122" s="52">
        <f t="shared" si="106"/>
        <v>0</v>
      </c>
      <c r="DF122" s="52">
        <f t="shared" si="106"/>
        <v>0</v>
      </c>
      <c r="DG122" s="52">
        <f t="shared" si="106"/>
        <v>0</v>
      </c>
      <c r="DH122" s="52">
        <f t="shared" si="106"/>
        <v>0</v>
      </c>
      <c r="DI122" s="52">
        <f t="shared" si="106"/>
        <v>0</v>
      </c>
      <c r="DJ122" s="52">
        <f t="shared" si="106"/>
        <v>0</v>
      </c>
    </row>
    <row r="123" ht="15.75" customHeight="1">
      <c r="B123" s="52" t="s">
        <v>1792</v>
      </c>
      <c r="C123" s="52">
        <v>13.0</v>
      </c>
      <c r="D123" s="52" t="s">
        <v>1787</v>
      </c>
      <c r="E123" s="58"/>
      <c r="F123" s="58"/>
      <c r="G123" s="58"/>
      <c r="H123" s="58"/>
      <c r="I123" s="58"/>
      <c r="J123" s="65">
        <v>0.08</v>
      </c>
      <c r="K123" s="65">
        <v>0.08</v>
      </c>
      <c r="L123" s="65">
        <v>0.07</v>
      </c>
      <c r="M123" s="65">
        <v>0.07</v>
      </c>
      <c r="N123" s="65">
        <v>0.06</v>
      </c>
      <c r="O123" s="65">
        <v>0.06</v>
      </c>
      <c r="P123" s="65">
        <v>0.05</v>
      </c>
      <c r="Q123" s="65">
        <v>0.05</v>
      </c>
      <c r="R123" s="65">
        <v>0.05</v>
      </c>
      <c r="S123" s="65">
        <v>0.04</v>
      </c>
      <c r="T123" s="65">
        <v>0.04</v>
      </c>
      <c r="U123" s="65">
        <v>0.04</v>
      </c>
      <c r="V123" s="65">
        <v>0.04</v>
      </c>
      <c r="W123" s="65">
        <v>0.03</v>
      </c>
      <c r="X123" s="65">
        <v>0.03</v>
      </c>
      <c r="Y123" s="65">
        <v>0.03</v>
      </c>
      <c r="Z123" s="65">
        <v>0.03</v>
      </c>
      <c r="AA123" s="65">
        <v>0.03</v>
      </c>
      <c r="AB123" s="65">
        <v>0.02</v>
      </c>
      <c r="AC123" s="65">
        <v>0.02</v>
      </c>
      <c r="AD123" s="65">
        <v>0.03</v>
      </c>
      <c r="BL123" s="55"/>
      <c r="BW123" s="52">
        <f t="shared" ref="BW123:DJ123" si="107">ROUND($BW30*E123,0)</f>
        <v>0</v>
      </c>
      <c r="BX123" s="52">
        <f t="shared" si="107"/>
        <v>0</v>
      </c>
      <c r="BY123" s="52">
        <f t="shared" si="107"/>
        <v>0</v>
      </c>
      <c r="BZ123" s="52">
        <f t="shared" si="107"/>
        <v>0</v>
      </c>
      <c r="CA123" s="52">
        <f t="shared" si="107"/>
        <v>0</v>
      </c>
      <c r="CB123" s="52">
        <f t="shared" si="107"/>
        <v>0</v>
      </c>
      <c r="CC123" s="52">
        <f t="shared" si="107"/>
        <v>0</v>
      </c>
      <c r="CD123" s="52">
        <f t="shared" si="107"/>
        <v>0</v>
      </c>
      <c r="CE123" s="52">
        <f t="shared" si="107"/>
        <v>0</v>
      </c>
      <c r="CF123" s="52">
        <f t="shared" si="107"/>
        <v>0</v>
      </c>
      <c r="CG123" s="52">
        <f t="shared" si="107"/>
        <v>0</v>
      </c>
      <c r="CH123" s="52">
        <f t="shared" si="107"/>
        <v>0</v>
      </c>
      <c r="CI123" s="52">
        <f t="shared" si="107"/>
        <v>0</v>
      </c>
      <c r="CJ123" s="52">
        <f t="shared" si="107"/>
        <v>0</v>
      </c>
      <c r="CK123" s="52">
        <f t="shared" si="107"/>
        <v>0</v>
      </c>
      <c r="CL123" s="52">
        <f t="shared" si="107"/>
        <v>0</v>
      </c>
      <c r="CM123" s="52">
        <f t="shared" si="107"/>
        <v>0</v>
      </c>
      <c r="CN123" s="52">
        <f t="shared" si="107"/>
        <v>0</v>
      </c>
      <c r="CO123" s="52">
        <f t="shared" si="107"/>
        <v>0</v>
      </c>
      <c r="CP123" s="52">
        <f t="shared" si="107"/>
        <v>0</v>
      </c>
      <c r="CQ123" s="52">
        <f t="shared" si="107"/>
        <v>0</v>
      </c>
      <c r="CR123" s="52">
        <f t="shared" si="107"/>
        <v>0</v>
      </c>
      <c r="CS123" s="52">
        <f t="shared" si="107"/>
        <v>0</v>
      </c>
      <c r="CT123" s="52">
        <f t="shared" si="107"/>
        <v>0</v>
      </c>
      <c r="CU123" s="52">
        <f t="shared" si="107"/>
        <v>0</v>
      </c>
      <c r="CV123" s="52">
        <f t="shared" si="107"/>
        <v>0</v>
      </c>
      <c r="CW123" s="52">
        <f t="shared" si="107"/>
        <v>0</v>
      </c>
      <c r="CX123" s="52">
        <f t="shared" si="107"/>
        <v>0</v>
      </c>
      <c r="CY123" s="52">
        <f t="shared" si="107"/>
        <v>0</v>
      </c>
      <c r="CZ123" s="52">
        <f t="shared" si="107"/>
        <v>0</v>
      </c>
      <c r="DA123" s="52">
        <f t="shared" si="107"/>
        <v>0</v>
      </c>
      <c r="DB123" s="52">
        <f t="shared" si="107"/>
        <v>0</v>
      </c>
      <c r="DC123" s="52">
        <f t="shared" si="107"/>
        <v>0</v>
      </c>
      <c r="DD123" s="52">
        <f t="shared" si="107"/>
        <v>0</v>
      </c>
      <c r="DE123" s="52">
        <f t="shared" si="107"/>
        <v>0</v>
      </c>
      <c r="DF123" s="52">
        <f t="shared" si="107"/>
        <v>0</v>
      </c>
      <c r="DG123" s="52">
        <f t="shared" si="107"/>
        <v>0</v>
      </c>
      <c r="DH123" s="52">
        <f t="shared" si="107"/>
        <v>0</v>
      </c>
      <c r="DI123" s="52">
        <f t="shared" si="107"/>
        <v>0</v>
      </c>
      <c r="DJ123" s="52">
        <f t="shared" si="107"/>
        <v>0</v>
      </c>
    </row>
    <row r="124" ht="15.75" customHeight="1">
      <c r="B124" s="52" t="s">
        <v>1792</v>
      </c>
      <c r="C124" s="52">
        <v>13.0</v>
      </c>
      <c r="D124" s="52" t="s">
        <v>1788</v>
      </c>
      <c r="E124" s="58"/>
      <c r="F124" s="58"/>
      <c r="G124" s="58"/>
      <c r="H124" s="58"/>
      <c r="I124" s="58"/>
      <c r="J124" s="58"/>
      <c r="K124" s="65">
        <v>0.08</v>
      </c>
      <c r="L124" s="65">
        <v>0.08</v>
      </c>
      <c r="M124" s="65">
        <v>0.07</v>
      </c>
      <c r="N124" s="65">
        <v>0.07</v>
      </c>
      <c r="O124" s="65">
        <v>0.06</v>
      </c>
      <c r="P124" s="65">
        <v>0.06</v>
      </c>
      <c r="Q124" s="65">
        <v>0.05</v>
      </c>
      <c r="R124" s="65">
        <v>0.05</v>
      </c>
      <c r="S124" s="65">
        <v>0.05</v>
      </c>
      <c r="T124" s="65">
        <v>0.04</v>
      </c>
      <c r="U124" s="65">
        <v>0.04</v>
      </c>
      <c r="V124" s="65">
        <v>0.04</v>
      </c>
      <c r="W124" s="65">
        <v>0.04</v>
      </c>
      <c r="X124" s="65">
        <v>0.03</v>
      </c>
      <c r="Y124" s="65">
        <v>0.03</v>
      </c>
      <c r="Z124" s="65">
        <v>0.03</v>
      </c>
      <c r="AA124" s="65">
        <v>0.03</v>
      </c>
      <c r="AB124" s="65">
        <v>0.03</v>
      </c>
      <c r="AC124" s="65">
        <v>0.02</v>
      </c>
      <c r="AD124" s="65">
        <v>0.02</v>
      </c>
      <c r="BL124" s="55"/>
      <c r="BW124" s="52">
        <f t="shared" ref="BW124:DJ124" si="108">ROUND($BW31*E124,0)</f>
        <v>0</v>
      </c>
      <c r="BX124" s="52">
        <f t="shared" si="108"/>
        <v>0</v>
      </c>
      <c r="BY124" s="52">
        <f t="shared" si="108"/>
        <v>0</v>
      </c>
      <c r="BZ124" s="52">
        <f t="shared" si="108"/>
        <v>0</v>
      </c>
      <c r="CA124" s="52">
        <f t="shared" si="108"/>
        <v>0</v>
      </c>
      <c r="CB124" s="52">
        <f t="shared" si="108"/>
        <v>0</v>
      </c>
      <c r="CC124" s="52">
        <f t="shared" si="108"/>
        <v>0</v>
      </c>
      <c r="CD124" s="52">
        <f t="shared" si="108"/>
        <v>0</v>
      </c>
      <c r="CE124" s="52">
        <f t="shared" si="108"/>
        <v>0</v>
      </c>
      <c r="CF124" s="52">
        <f t="shared" si="108"/>
        <v>0</v>
      </c>
      <c r="CG124" s="52">
        <f t="shared" si="108"/>
        <v>0</v>
      </c>
      <c r="CH124" s="52">
        <f t="shared" si="108"/>
        <v>0</v>
      </c>
      <c r="CI124" s="52">
        <f t="shared" si="108"/>
        <v>0</v>
      </c>
      <c r="CJ124" s="52">
        <f t="shared" si="108"/>
        <v>0</v>
      </c>
      <c r="CK124" s="52">
        <f t="shared" si="108"/>
        <v>0</v>
      </c>
      <c r="CL124" s="52">
        <f t="shared" si="108"/>
        <v>0</v>
      </c>
      <c r="CM124" s="52">
        <f t="shared" si="108"/>
        <v>0</v>
      </c>
      <c r="CN124" s="52">
        <f t="shared" si="108"/>
        <v>0</v>
      </c>
      <c r="CO124" s="52">
        <f t="shared" si="108"/>
        <v>0</v>
      </c>
      <c r="CP124" s="52">
        <f t="shared" si="108"/>
        <v>0</v>
      </c>
      <c r="CQ124" s="52">
        <f t="shared" si="108"/>
        <v>0</v>
      </c>
      <c r="CR124" s="52">
        <f t="shared" si="108"/>
        <v>0</v>
      </c>
      <c r="CS124" s="52">
        <f t="shared" si="108"/>
        <v>0</v>
      </c>
      <c r="CT124" s="52">
        <f t="shared" si="108"/>
        <v>0</v>
      </c>
      <c r="CU124" s="52">
        <f t="shared" si="108"/>
        <v>0</v>
      </c>
      <c r="CV124" s="52">
        <f t="shared" si="108"/>
        <v>0</v>
      </c>
      <c r="CW124" s="52">
        <f t="shared" si="108"/>
        <v>0</v>
      </c>
      <c r="CX124" s="52">
        <f t="shared" si="108"/>
        <v>0</v>
      </c>
      <c r="CY124" s="52">
        <f t="shared" si="108"/>
        <v>0</v>
      </c>
      <c r="CZ124" s="52">
        <f t="shared" si="108"/>
        <v>0</v>
      </c>
      <c r="DA124" s="52">
        <f t="shared" si="108"/>
        <v>0</v>
      </c>
      <c r="DB124" s="52">
        <f t="shared" si="108"/>
        <v>0</v>
      </c>
      <c r="DC124" s="52">
        <f t="shared" si="108"/>
        <v>0</v>
      </c>
      <c r="DD124" s="52">
        <f t="shared" si="108"/>
        <v>0</v>
      </c>
      <c r="DE124" s="52">
        <f t="shared" si="108"/>
        <v>0</v>
      </c>
      <c r="DF124" s="52">
        <f t="shared" si="108"/>
        <v>0</v>
      </c>
      <c r="DG124" s="52">
        <f t="shared" si="108"/>
        <v>0</v>
      </c>
      <c r="DH124" s="52">
        <f t="shared" si="108"/>
        <v>0</v>
      </c>
      <c r="DI124" s="52">
        <f t="shared" si="108"/>
        <v>0</v>
      </c>
      <c r="DJ124" s="52">
        <f t="shared" si="108"/>
        <v>0</v>
      </c>
    </row>
    <row r="125" ht="15.75" customHeight="1">
      <c r="B125" s="52" t="s">
        <v>1792</v>
      </c>
      <c r="C125" s="52">
        <v>13.0</v>
      </c>
      <c r="D125" s="52" t="s">
        <v>1789</v>
      </c>
      <c r="E125" s="58"/>
      <c r="F125" s="58"/>
      <c r="G125" s="58"/>
      <c r="H125" s="58"/>
      <c r="I125" s="58"/>
      <c r="J125" s="58"/>
      <c r="K125" s="58"/>
      <c r="L125" s="65">
        <v>0.08</v>
      </c>
      <c r="M125" s="65">
        <v>0.08</v>
      </c>
      <c r="N125" s="65">
        <v>0.07</v>
      </c>
      <c r="O125" s="65">
        <v>0.07</v>
      </c>
      <c r="P125" s="65">
        <v>0.06</v>
      </c>
      <c r="Q125" s="65">
        <v>0.06</v>
      </c>
      <c r="R125" s="65">
        <v>0.05</v>
      </c>
      <c r="S125" s="65">
        <v>0.05</v>
      </c>
      <c r="T125" s="65">
        <v>0.05</v>
      </c>
      <c r="U125" s="65">
        <v>0.04</v>
      </c>
      <c r="V125" s="65">
        <v>0.04</v>
      </c>
      <c r="W125" s="65">
        <v>0.04</v>
      </c>
      <c r="X125" s="65">
        <v>0.04</v>
      </c>
      <c r="Y125" s="65">
        <v>0.03</v>
      </c>
      <c r="Z125" s="65">
        <v>0.03</v>
      </c>
      <c r="AA125" s="65">
        <v>0.03</v>
      </c>
      <c r="AB125" s="65">
        <v>0.03</v>
      </c>
      <c r="AC125" s="65">
        <v>0.03</v>
      </c>
      <c r="AD125" s="65">
        <v>0.02</v>
      </c>
      <c r="BL125" s="55"/>
      <c r="BW125" s="52">
        <f t="shared" ref="BW125:DJ125" si="109">ROUND($BW32*E125,0)</f>
        <v>0</v>
      </c>
      <c r="BX125" s="52">
        <f t="shared" si="109"/>
        <v>0</v>
      </c>
      <c r="BY125" s="52">
        <f t="shared" si="109"/>
        <v>0</v>
      </c>
      <c r="BZ125" s="52">
        <f t="shared" si="109"/>
        <v>0</v>
      </c>
      <c r="CA125" s="52">
        <f t="shared" si="109"/>
        <v>0</v>
      </c>
      <c r="CB125" s="52">
        <f t="shared" si="109"/>
        <v>0</v>
      </c>
      <c r="CC125" s="52">
        <f t="shared" si="109"/>
        <v>0</v>
      </c>
      <c r="CD125" s="52">
        <f t="shared" si="109"/>
        <v>0</v>
      </c>
      <c r="CE125" s="52">
        <f t="shared" si="109"/>
        <v>0</v>
      </c>
      <c r="CF125" s="52">
        <f t="shared" si="109"/>
        <v>0</v>
      </c>
      <c r="CG125" s="52">
        <f t="shared" si="109"/>
        <v>0</v>
      </c>
      <c r="CH125" s="52">
        <f t="shared" si="109"/>
        <v>0</v>
      </c>
      <c r="CI125" s="52">
        <f t="shared" si="109"/>
        <v>0</v>
      </c>
      <c r="CJ125" s="52">
        <f t="shared" si="109"/>
        <v>0</v>
      </c>
      <c r="CK125" s="52">
        <f t="shared" si="109"/>
        <v>0</v>
      </c>
      <c r="CL125" s="52">
        <f t="shared" si="109"/>
        <v>0</v>
      </c>
      <c r="CM125" s="52">
        <f t="shared" si="109"/>
        <v>0</v>
      </c>
      <c r="CN125" s="52">
        <f t="shared" si="109"/>
        <v>0</v>
      </c>
      <c r="CO125" s="52">
        <f t="shared" si="109"/>
        <v>0</v>
      </c>
      <c r="CP125" s="52">
        <f t="shared" si="109"/>
        <v>0</v>
      </c>
      <c r="CQ125" s="52">
        <f t="shared" si="109"/>
        <v>0</v>
      </c>
      <c r="CR125" s="52">
        <f t="shared" si="109"/>
        <v>0</v>
      </c>
      <c r="CS125" s="52">
        <f t="shared" si="109"/>
        <v>0</v>
      </c>
      <c r="CT125" s="52">
        <f t="shared" si="109"/>
        <v>0</v>
      </c>
      <c r="CU125" s="52">
        <f t="shared" si="109"/>
        <v>0</v>
      </c>
      <c r="CV125" s="52">
        <f t="shared" si="109"/>
        <v>0</v>
      </c>
      <c r="CW125" s="52">
        <f t="shared" si="109"/>
        <v>0</v>
      </c>
      <c r="CX125" s="52">
        <f t="shared" si="109"/>
        <v>0</v>
      </c>
      <c r="CY125" s="52">
        <f t="shared" si="109"/>
        <v>0</v>
      </c>
      <c r="CZ125" s="52">
        <f t="shared" si="109"/>
        <v>0</v>
      </c>
      <c r="DA125" s="52">
        <f t="shared" si="109"/>
        <v>0</v>
      </c>
      <c r="DB125" s="52">
        <f t="shared" si="109"/>
        <v>0</v>
      </c>
      <c r="DC125" s="52">
        <f t="shared" si="109"/>
        <v>0</v>
      </c>
      <c r="DD125" s="52">
        <f t="shared" si="109"/>
        <v>0</v>
      </c>
      <c r="DE125" s="52">
        <f t="shared" si="109"/>
        <v>0</v>
      </c>
      <c r="DF125" s="52">
        <f t="shared" si="109"/>
        <v>0</v>
      </c>
      <c r="DG125" s="52">
        <f t="shared" si="109"/>
        <v>0</v>
      </c>
      <c r="DH125" s="52">
        <f t="shared" si="109"/>
        <v>0</v>
      </c>
      <c r="DI125" s="52">
        <f t="shared" si="109"/>
        <v>0</v>
      </c>
      <c r="DJ125" s="52">
        <f t="shared" si="109"/>
        <v>0</v>
      </c>
    </row>
    <row r="126" ht="15.75" customHeight="1">
      <c r="B126" s="52" t="s">
        <v>1792</v>
      </c>
      <c r="C126" s="52">
        <v>13.0</v>
      </c>
      <c r="D126" s="52" t="s">
        <v>1790</v>
      </c>
      <c r="E126" s="58"/>
      <c r="F126" s="58"/>
      <c r="G126" s="58"/>
      <c r="H126" s="58"/>
      <c r="I126" s="58"/>
      <c r="J126" s="58"/>
      <c r="K126" s="58"/>
      <c r="L126" s="58"/>
      <c r="M126" s="58"/>
      <c r="N126" s="65">
        <v>0.08</v>
      </c>
      <c r="O126" s="65">
        <v>0.08</v>
      </c>
      <c r="P126" s="65">
        <v>0.07</v>
      </c>
      <c r="Q126" s="65">
        <v>0.07</v>
      </c>
      <c r="R126" s="65">
        <v>0.06</v>
      </c>
      <c r="S126" s="65">
        <v>0.06</v>
      </c>
      <c r="T126" s="65">
        <v>0.05</v>
      </c>
      <c r="U126" s="65">
        <v>0.05</v>
      </c>
      <c r="V126" s="65">
        <v>0.05</v>
      </c>
      <c r="W126" s="65">
        <v>0.04</v>
      </c>
      <c r="X126" s="65">
        <v>0.04</v>
      </c>
      <c r="Y126" s="65">
        <v>0.04</v>
      </c>
      <c r="Z126" s="65">
        <v>0.04</v>
      </c>
      <c r="AA126" s="65">
        <v>0.03</v>
      </c>
      <c r="AB126" s="65">
        <v>0.03</v>
      </c>
      <c r="AC126" s="65">
        <v>0.03</v>
      </c>
      <c r="AD126" s="65">
        <v>0.03</v>
      </c>
      <c r="BL126" s="55"/>
      <c r="BW126" s="52">
        <f t="shared" ref="BW126:DJ126" si="110">ROUND($BW33*E126,0)</f>
        <v>0</v>
      </c>
      <c r="BX126" s="52">
        <f t="shared" si="110"/>
        <v>0</v>
      </c>
      <c r="BY126" s="52">
        <f t="shared" si="110"/>
        <v>0</v>
      </c>
      <c r="BZ126" s="52">
        <f t="shared" si="110"/>
        <v>0</v>
      </c>
      <c r="CA126" s="52">
        <f t="shared" si="110"/>
        <v>0</v>
      </c>
      <c r="CB126" s="52">
        <f t="shared" si="110"/>
        <v>0</v>
      </c>
      <c r="CC126" s="52">
        <f t="shared" si="110"/>
        <v>0</v>
      </c>
      <c r="CD126" s="52">
        <f t="shared" si="110"/>
        <v>0</v>
      </c>
      <c r="CE126" s="52">
        <f t="shared" si="110"/>
        <v>0</v>
      </c>
      <c r="CF126" s="52">
        <f t="shared" si="110"/>
        <v>1</v>
      </c>
      <c r="CG126" s="52">
        <f t="shared" si="110"/>
        <v>1</v>
      </c>
      <c r="CH126" s="52">
        <f t="shared" si="110"/>
        <v>1</v>
      </c>
      <c r="CI126" s="52">
        <f t="shared" si="110"/>
        <v>1</v>
      </c>
      <c r="CJ126" s="52">
        <f t="shared" si="110"/>
        <v>0</v>
      </c>
      <c r="CK126" s="52">
        <f t="shared" si="110"/>
        <v>0</v>
      </c>
      <c r="CL126" s="52">
        <f t="shared" si="110"/>
        <v>0</v>
      </c>
      <c r="CM126" s="52">
        <f t="shared" si="110"/>
        <v>0</v>
      </c>
      <c r="CN126" s="52">
        <f t="shared" si="110"/>
        <v>0</v>
      </c>
      <c r="CO126" s="52">
        <f t="shared" si="110"/>
        <v>0</v>
      </c>
      <c r="CP126" s="52">
        <f t="shared" si="110"/>
        <v>0</v>
      </c>
      <c r="CQ126" s="52">
        <f t="shared" si="110"/>
        <v>0</v>
      </c>
      <c r="CR126" s="52">
        <f t="shared" si="110"/>
        <v>0</v>
      </c>
      <c r="CS126" s="52">
        <f t="shared" si="110"/>
        <v>0</v>
      </c>
      <c r="CT126" s="52">
        <f t="shared" si="110"/>
        <v>0</v>
      </c>
      <c r="CU126" s="52">
        <f t="shared" si="110"/>
        <v>0</v>
      </c>
      <c r="CV126" s="52">
        <f t="shared" si="110"/>
        <v>0</v>
      </c>
      <c r="CW126" s="52">
        <f t="shared" si="110"/>
        <v>0</v>
      </c>
      <c r="CX126" s="52">
        <f t="shared" si="110"/>
        <v>0</v>
      </c>
      <c r="CY126" s="52">
        <f t="shared" si="110"/>
        <v>0</v>
      </c>
      <c r="CZ126" s="52">
        <f t="shared" si="110"/>
        <v>0</v>
      </c>
      <c r="DA126" s="52">
        <f t="shared" si="110"/>
        <v>0</v>
      </c>
      <c r="DB126" s="52">
        <f t="shared" si="110"/>
        <v>0</v>
      </c>
      <c r="DC126" s="52">
        <f t="shared" si="110"/>
        <v>0</v>
      </c>
      <c r="DD126" s="52">
        <f t="shared" si="110"/>
        <v>0</v>
      </c>
      <c r="DE126" s="52">
        <f t="shared" si="110"/>
        <v>0</v>
      </c>
      <c r="DF126" s="52">
        <f t="shared" si="110"/>
        <v>0</v>
      </c>
      <c r="DG126" s="52">
        <f t="shared" si="110"/>
        <v>0</v>
      </c>
      <c r="DH126" s="52">
        <f t="shared" si="110"/>
        <v>0</v>
      </c>
      <c r="DI126" s="52">
        <f t="shared" si="110"/>
        <v>0</v>
      </c>
      <c r="DJ126" s="52">
        <f t="shared" si="110"/>
        <v>0</v>
      </c>
    </row>
    <row r="127" ht="15.75" customHeight="1">
      <c r="B127" s="52" t="s">
        <v>1792</v>
      </c>
      <c r="C127" s="52">
        <v>14.0</v>
      </c>
      <c r="D127" s="52">
        <v>0.0</v>
      </c>
      <c r="E127" s="65">
        <v>0.07</v>
      </c>
      <c r="F127" s="65">
        <v>0.07</v>
      </c>
      <c r="G127" s="65">
        <v>0.07</v>
      </c>
      <c r="H127" s="65">
        <v>0.07</v>
      </c>
      <c r="I127" s="65">
        <v>0.07</v>
      </c>
      <c r="J127" s="65">
        <v>0.07</v>
      </c>
      <c r="K127" s="65">
        <v>0.07</v>
      </c>
      <c r="L127" s="65">
        <v>0.07</v>
      </c>
      <c r="M127" s="65">
        <v>0.07</v>
      </c>
      <c r="N127" s="65">
        <v>0.03</v>
      </c>
      <c r="O127" s="65">
        <v>0.03</v>
      </c>
      <c r="P127" s="65">
        <v>0.03</v>
      </c>
      <c r="Q127" s="65">
        <v>0.03</v>
      </c>
      <c r="R127" s="65">
        <v>0.03</v>
      </c>
      <c r="S127" s="65">
        <v>0.03</v>
      </c>
      <c r="T127" s="65">
        <v>0.03</v>
      </c>
      <c r="U127" s="65">
        <v>0.02</v>
      </c>
      <c r="V127" s="65">
        <v>0.02</v>
      </c>
      <c r="W127" s="65">
        <v>0.02</v>
      </c>
      <c r="X127" s="65">
        <v>0.02</v>
      </c>
      <c r="Y127" s="65">
        <v>0.02</v>
      </c>
      <c r="Z127" s="65">
        <v>0.02</v>
      </c>
      <c r="AA127" s="65">
        <v>0.02</v>
      </c>
      <c r="AB127" s="65">
        <v>0.02</v>
      </c>
      <c r="AC127" s="58"/>
      <c r="AD127" s="58"/>
      <c r="BL127" s="55"/>
      <c r="BX127" s="52">
        <f t="shared" ref="BX127:DJ127" si="111">ROUND($BX27*E127,0)</f>
        <v>27</v>
      </c>
      <c r="BY127" s="52">
        <f t="shared" si="111"/>
        <v>27</v>
      </c>
      <c r="BZ127" s="52">
        <f t="shared" si="111"/>
        <v>27</v>
      </c>
      <c r="CA127" s="52">
        <f t="shared" si="111"/>
        <v>27</v>
      </c>
      <c r="CB127" s="52">
        <f t="shared" si="111"/>
        <v>27</v>
      </c>
      <c r="CC127" s="52">
        <f t="shared" si="111"/>
        <v>27</v>
      </c>
      <c r="CD127" s="52">
        <f t="shared" si="111"/>
        <v>27</v>
      </c>
      <c r="CE127" s="52">
        <f t="shared" si="111"/>
        <v>27</v>
      </c>
      <c r="CF127" s="52">
        <f t="shared" si="111"/>
        <v>27</v>
      </c>
      <c r="CG127" s="52">
        <f t="shared" si="111"/>
        <v>12</v>
      </c>
      <c r="CH127" s="52">
        <f t="shared" si="111"/>
        <v>12</v>
      </c>
      <c r="CI127" s="52">
        <f t="shared" si="111"/>
        <v>12</v>
      </c>
      <c r="CJ127" s="52">
        <f t="shared" si="111"/>
        <v>12</v>
      </c>
      <c r="CK127" s="52">
        <f t="shared" si="111"/>
        <v>12</v>
      </c>
      <c r="CL127" s="52">
        <f t="shared" si="111"/>
        <v>12</v>
      </c>
      <c r="CM127" s="52">
        <f t="shared" si="111"/>
        <v>12</v>
      </c>
      <c r="CN127" s="52">
        <f t="shared" si="111"/>
        <v>8</v>
      </c>
      <c r="CO127" s="52">
        <f t="shared" si="111"/>
        <v>8</v>
      </c>
      <c r="CP127" s="52">
        <f t="shared" si="111"/>
        <v>8</v>
      </c>
      <c r="CQ127" s="52">
        <f t="shared" si="111"/>
        <v>8</v>
      </c>
      <c r="CR127" s="52">
        <f t="shared" si="111"/>
        <v>8</v>
      </c>
      <c r="CS127" s="52">
        <f t="shared" si="111"/>
        <v>8</v>
      </c>
      <c r="CT127" s="52">
        <f t="shared" si="111"/>
        <v>8</v>
      </c>
      <c r="CU127" s="52">
        <f t="shared" si="111"/>
        <v>8</v>
      </c>
      <c r="CV127" s="52">
        <f t="shared" si="111"/>
        <v>0</v>
      </c>
      <c r="CW127" s="52">
        <f t="shared" si="111"/>
        <v>0</v>
      </c>
      <c r="CX127" s="52">
        <f t="shared" si="111"/>
        <v>0</v>
      </c>
      <c r="CY127" s="52">
        <f t="shared" si="111"/>
        <v>0</v>
      </c>
      <c r="CZ127" s="52">
        <f t="shared" si="111"/>
        <v>0</v>
      </c>
      <c r="DA127" s="52">
        <f t="shared" si="111"/>
        <v>0</v>
      </c>
      <c r="DB127" s="52">
        <f t="shared" si="111"/>
        <v>0</v>
      </c>
      <c r="DC127" s="52">
        <f t="shared" si="111"/>
        <v>0</v>
      </c>
      <c r="DD127" s="52">
        <f t="shared" si="111"/>
        <v>0</v>
      </c>
      <c r="DE127" s="52">
        <f t="shared" si="111"/>
        <v>0</v>
      </c>
      <c r="DF127" s="52">
        <f t="shared" si="111"/>
        <v>0</v>
      </c>
      <c r="DG127" s="52">
        <f t="shared" si="111"/>
        <v>0</v>
      </c>
      <c r="DH127" s="52">
        <f t="shared" si="111"/>
        <v>0</v>
      </c>
      <c r="DI127" s="52">
        <f t="shared" si="111"/>
        <v>0</v>
      </c>
      <c r="DJ127" s="52">
        <f t="shared" si="111"/>
        <v>0</v>
      </c>
    </row>
    <row r="128" ht="15.75" customHeight="1">
      <c r="B128" s="52" t="s">
        <v>1792</v>
      </c>
      <c r="C128" s="52">
        <v>14.0</v>
      </c>
      <c r="D128" s="52" t="s">
        <v>1785</v>
      </c>
      <c r="E128" s="65">
        <v>0.02</v>
      </c>
      <c r="F128" s="65">
        <v>0.02</v>
      </c>
      <c r="G128" s="65">
        <v>0.02</v>
      </c>
      <c r="H128" s="65">
        <v>0.02</v>
      </c>
      <c r="I128" s="65">
        <v>0.08</v>
      </c>
      <c r="J128" s="65">
        <v>0.08</v>
      </c>
      <c r="K128" s="65">
        <v>0.07</v>
      </c>
      <c r="L128" s="65">
        <v>0.07</v>
      </c>
      <c r="M128" s="65">
        <v>0.06</v>
      </c>
      <c r="N128" s="65">
        <v>0.06</v>
      </c>
      <c r="O128" s="65">
        <v>0.05</v>
      </c>
      <c r="P128" s="65">
        <v>0.05</v>
      </c>
      <c r="Q128" s="65">
        <v>0.05</v>
      </c>
      <c r="R128" s="65">
        <v>0.04</v>
      </c>
      <c r="S128" s="65">
        <v>0.04</v>
      </c>
      <c r="T128" s="65">
        <v>0.04</v>
      </c>
      <c r="U128" s="65">
        <v>0.04</v>
      </c>
      <c r="V128" s="65">
        <v>0.03</v>
      </c>
      <c r="W128" s="65">
        <v>0.03</v>
      </c>
      <c r="X128" s="65">
        <v>0.03</v>
      </c>
      <c r="Y128" s="65">
        <v>0.03</v>
      </c>
      <c r="Z128" s="65">
        <v>0.03</v>
      </c>
      <c r="AA128" s="65">
        <v>0.02</v>
      </c>
      <c r="AB128" s="65">
        <v>0.02</v>
      </c>
      <c r="AC128" s="58"/>
      <c r="AD128" s="58"/>
      <c r="BL128" s="55"/>
      <c r="BX128" s="52">
        <f t="shared" ref="BX128:DJ128" si="112">ROUND($BX28*E128,0)</f>
        <v>1</v>
      </c>
      <c r="BY128" s="52">
        <f t="shared" si="112"/>
        <v>1</v>
      </c>
      <c r="BZ128" s="52">
        <f t="shared" si="112"/>
        <v>1</v>
      </c>
      <c r="CA128" s="52">
        <f t="shared" si="112"/>
        <v>1</v>
      </c>
      <c r="CB128" s="52">
        <f t="shared" si="112"/>
        <v>3</v>
      </c>
      <c r="CC128" s="52">
        <f t="shared" si="112"/>
        <v>3</v>
      </c>
      <c r="CD128" s="52">
        <f t="shared" si="112"/>
        <v>3</v>
      </c>
      <c r="CE128" s="52">
        <f t="shared" si="112"/>
        <v>3</v>
      </c>
      <c r="CF128" s="52">
        <f t="shared" si="112"/>
        <v>2</v>
      </c>
      <c r="CG128" s="52">
        <f t="shared" si="112"/>
        <v>2</v>
      </c>
      <c r="CH128" s="52">
        <f t="shared" si="112"/>
        <v>2</v>
      </c>
      <c r="CI128" s="52">
        <f t="shared" si="112"/>
        <v>2</v>
      </c>
      <c r="CJ128" s="52">
        <f t="shared" si="112"/>
        <v>2</v>
      </c>
      <c r="CK128" s="52">
        <f t="shared" si="112"/>
        <v>2</v>
      </c>
      <c r="CL128" s="52">
        <f t="shared" si="112"/>
        <v>2</v>
      </c>
      <c r="CM128" s="52">
        <f t="shared" si="112"/>
        <v>2</v>
      </c>
      <c r="CN128" s="52">
        <f t="shared" si="112"/>
        <v>2</v>
      </c>
      <c r="CO128" s="52">
        <f t="shared" si="112"/>
        <v>1</v>
      </c>
      <c r="CP128" s="52">
        <f t="shared" si="112"/>
        <v>1</v>
      </c>
      <c r="CQ128" s="52">
        <f t="shared" si="112"/>
        <v>1</v>
      </c>
      <c r="CR128" s="52">
        <f t="shared" si="112"/>
        <v>1</v>
      </c>
      <c r="CS128" s="52">
        <f t="shared" si="112"/>
        <v>1</v>
      </c>
      <c r="CT128" s="52">
        <f t="shared" si="112"/>
        <v>1</v>
      </c>
      <c r="CU128" s="52">
        <f t="shared" si="112"/>
        <v>1</v>
      </c>
      <c r="CV128" s="52">
        <f t="shared" si="112"/>
        <v>0</v>
      </c>
      <c r="CW128" s="52">
        <f t="shared" si="112"/>
        <v>0</v>
      </c>
      <c r="CX128" s="52">
        <f t="shared" si="112"/>
        <v>0</v>
      </c>
      <c r="CY128" s="52">
        <f t="shared" si="112"/>
        <v>0</v>
      </c>
      <c r="CZ128" s="52">
        <f t="shared" si="112"/>
        <v>0</v>
      </c>
      <c r="DA128" s="52">
        <f t="shared" si="112"/>
        <v>0</v>
      </c>
      <c r="DB128" s="52">
        <f t="shared" si="112"/>
        <v>0</v>
      </c>
      <c r="DC128" s="52">
        <f t="shared" si="112"/>
        <v>0</v>
      </c>
      <c r="DD128" s="52">
        <f t="shared" si="112"/>
        <v>0</v>
      </c>
      <c r="DE128" s="52">
        <f t="shared" si="112"/>
        <v>0</v>
      </c>
      <c r="DF128" s="52">
        <f t="shared" si="112"/>
        <v>0</v>
      </c>
      <c r="DG128" s="52">
        <f t="shared" si="112"/>
        <v>0</v>
      </c>
      <c r="DH128" s="52">
        <f t="shared" si="112"/>
        <v>0</v>
      </c>
      <c r="DI128" s="52">
        <f t="shared" si="112"/>
        <v>0</v>
      </c>
      <c r="DJ128" s="52">
        <f t="shared" si="112"/>
        <v>0</v>
      </c>
    </row>
    <row r="129" ht="15.75" customHeight="1">
      <c r="B129" s="52" t="s">
        <v>1792</v>
      </c>
      <c r="C129" s="52">
        <v>14.0</v>
      </c>
      <c r="D129" s="52" t="s">
        <v>1786</v>
      </c>
      <c r="E129" s="58"/>
      <c r="F129" s="58"/>
      <c r="G129" s="58"/>
      <c r="H129" s="65">
        <v>0.08</v>
      </c>
      <c r="I129" s="65">
        <v>0.08</v>
      </c>
      <c r="J129" s="65">
        <v>0.07</v>
      </c>
      <c r="K129" s="65">
        <v>0.07</v>
      </c>
      <c r="L129" s="65">
        <v>0.06</v>
      </c>
      <c r="M129" s="65">
        <v>0.06</v>
      </c>
      <c r="N129" s="65">
        <v>0.05</v>
      </c>
      <c r="O129" s="65">
        <v>0.05</v>
      </c>
      <c r="P129" s="65">
        <v>0.05</v>
      </c>
      <c r="Q129" s="65">
        <v>0.04</v>
      </c>
      <c r="R129" s="65">
        <v>0.04</v>
      </c>
      <c r="S129" s="65">
        <v>0.04</v>
      </c>
      <c r="T129" s="65">
        <v>0.04</v>
      </c>
      <c r="U129" s="65">
        <v>0.03</v>
      </c>
      <c r="V129" s="65">
        <v>0.03</v>
      </c>
      <c r="W129" s="65">
        <v>0.03</v>
      </c>
      <c r="X129" s="65">
        <v>0.03</v>
      </c>
      <c r="Y129" s="65">
        <v>0.03</v>
      </c>
      <c r="Z129" s="65">
        <v>0.02</v>
      </c>
      <c r="AA129" s="65">
        <v>0.02</v>
      </c>
      <c r="AB129" s="65">
        <v>0.03</v>
      </c>
      <c r="AC129" s="65">
        <v>0.03</v>
      </c>
      <c r="AD129" s="65">
        <v>0.02</v>
      </c>
      <c r="BL129" s="55"/>
      <c r="BX129" s="52">
        <f t="shared" ref="BX129:DJ129" si="113">ROUND($BX29*E129,0)</f>
        <v>0</v>
      </c>
      <c r="BY129" s="52">
        <f t="shared" si="113"/>
        <v>0</v>
      </c>
      <c r="BZ129" s="52">
        <f t="shared" si="113"/>
        <v>0</v>
      </c>
      <c r="CA129" s="52">
        <f t="shared" si="113"/>
        <v>6</v>
      </c>
      <c r="CB129" s="52">
        <f t="shared" si="113"/>
        <v>6</v>
      </c>
      <c r="CC129" s="52">
        <f t="shared" si="113"/>
        <v>5</v>
      </c>
      <c r="CD129" s="52">
        <f t="shared" si="113"/>
        <v>5</v>
      </c>
      <c r="CE129" s="52">
        <f t="shared" si="113"/>
        <v>4</v>
      </c>
      <c r="CF129" s="52">
        <f t="shared" si="113"/>
        <v>4</v>
      </c>
      <c r="CG129" s="52">
        <f t="shared" si="113"/>
        <v>4</v>
      </c>
      <c r="CH129" s="52">
        <f t="shared" si="113"/>
        <v>4</v>
      </c>
      <c r="CI129" s="52">
        <f t="shared" si="113"/>
        <v>4</v>
      </c>
      <c r="CJ129" s="52">
        <f t="shared" si="113"/>
        <v>3</v>
      </c>
      <c r="CK129" s="52">
        <f t="shared" si="113"/>
        <v>3</v>
      </c>
      <c r="CL129" s="52">
        <f t="shared" si="113"/>
        <v>3</v>
      </c>
      <c r="CM129" s="52">
        <f t="shared" si="113"/>
        <v>3</v>
      </c>
      <c r="CN129" s="52">
        <f t="shared" si="113"/>
        <v>2</v>
      </c>
      <c r="CO129" s="52">
        <f t="shared" si="113"/>
        <v>2</v>
      </c>
      <c r="CP129" s="52">
        <f t="shared" si="113"/>
        <v>2</v>
      </c>
      <c r="CQ129" s="52">
        <f t="shared" si="113"/>
        <v>2</v>
      </c>
      <c r="CR129" s="52">
        <f t="shared" si="113"/>
        <v>2</v>
      </c>
      <c r="CS129" s="52">
        <f t="shared" si="113"/>
        <v>1</v>
      </c>
      <c r="CT129" s="52">
        <f t="shared" si="113"/>
        <v>1</v>
      </c>
      <c r="CU129" s="52">
        <f t="shared" si="113"/>
        <v>2</v>
      </c>
      <c r="CV129" s="52">
        <f t="shared" si="113"/>
        <v>2</v>
      </c>
      <c r="CW129" s="52">
        <f t="shared" si="113"/>
        <v>1</v>
      </c>
      <c r="CX129" s="52">
        <f t="shared" si="113"/>
        <v>0</v>
      </c>
      <c r="CY129" s="52">
        <f t="shared" si="113"/>
        <v>0</v>
      </c>
      <c r="CZ129" s="52">
        <f t="shared" si="113"/>
        <v>0</v>
      </c>
      <c r="DA129" s="52">
        <f t="shared" si="113"/>
        <v>0</v>
      </c>
      <c r="DB129" s="52">
        <f t="shared" si="113"/>
        <v>0</v>
      </c>
      <c r="DC129" s="52">
        <f t="shared" si="113"/>
        <v>0</v>
      </c>
      <c r="DD129" s="52">
        <f t="shared" si="113"/>
        <v>0</v>
      </c>
      <c r="DE129" s="52">
        <f t="shared" si="113"/>
        <v>0</v>
      </c>
      <c r="DF129" s="52">
        <f t="shared" si="113"/>
        <v>0</v>
      </c>
      <c r="DG129" s="52">
        <f t="shared" si="113"/>
        <v>0</v>
      </c>
      <c r="DH129" s="52">
        <f t="shared" si="113"/>
        <v>0</v>
      </c>
      <c r="DI129" s="52">
        <f t="shared" si="113"/>
        <v>0</v>
      </c>
      <c r="DJ129" s="52">
        <f t="shared" si="113"/>
        <v>0</v>
      </c>
    </row>
    <row r="130" ht="15.75" customHeight="1">
      <c r="B130" s="52" t="s">
        <v>1792</v>
      </c>
      <c r="C130" s="52">
        <v>14.0</v>
      </c>
      <c r="D130" s="52" t="s">
        <v>1787</v>
      </c>
      <c r="E130" s="58"/>
      <c r="F130" s="58"/>
      <c r="G130" s="58"/>
      <c r="H130" s="58"/>
      <c r="I130" s="58"/>
      <c r="J130" s="65">
        <v>0.08</v>
      </c>
      <c r="K130" s="65">
        <v>0.08</v>
      </c>
      <c r="L130" s="65">
        <v>0.07</v>
      </c>
      <c r="M130" s="65">
        <v>0.07</v>
      </c>
      <c r="N130" s="65">
        <v>0.06</v>
      </c>
      <c r="O130" s="65">
        <v>0.06</v>
      </c>
      <c r="P130" s="65">
        <v>0.05</v>
      </c>
      <c r="Q130" s="65">
        <v>0.05</v>
      </c>
      <c r="R130" s="65">
        <v>0.05</v>
      </c>
      <c r="S130" s="65">
        <v>0.04</v>
      </c>
      <c r="T130" s="65">
        <v>0.04</v>
      </c>
      <c r="U130" s="65">
        <v>0.04</v>
      </c>
      <c r="V130" s="65">
        <v>0.04</v>
      </c>
      <c r="W130" s="65">
        <v>0.03</v>
      </c>
      <c r="X130" s="65">
        <v>0.03</v>
      </c>
      <c r="Y130" s="65">
        <v>0.03</v>
      </c>
      <c r="Z130" s="65">
        <v>0.03</v>
      </c>
      <c r="AA130" s="65">
        <v>0.03</v>
      </c>
      <c r="AB130" s="65">
        <v>0.02</v>
      </c>
      <c r="AC130" s="65">
        <v>0.02</v>
      </c>
      <c r="AD130" s="65">
        <v>0.03</v>
      </c>
      <c r="BL130" s="55"/>
      <c r="BX130" s="52">
        <f t="shared" ref="BX130:DJ130" si="114">ROUND($BX30*E130,0)</f>
        <v>0</v>
      </c>
      <c r="BY130" s="52">
        <f t="shared" si="114"/>
        <v>0</v>
      </c>
      <c r="BZ130" s="52">
        <f t="shared" si="114"/>
        <v>0</v>
      </c>
      <c r="CA130" s="52">
        <f t="shared" si="114"/>
        <v>0</v>
      </c>
      <c r="CB130" s="52">
        <f t="shared" si="114"/>
        <v>0</v>
      </c>
      <c r="CC130" s="52">
        <f t="shared" si="114"/>
        <v>1</v>
      </c>
      <c r="CD130" s="52">
        <f t="shared" si="114"/>
        <v>1</v>
      </c>
      <c r="CE130" s="52">
        <f t="shared" si="114"/>
        <v>1</v>
      </c>
      <c r="CF130" s="52">
        <f t="shared" si="114"/>
        <v>1</v>
      </c>
      <c r="CG130" s="52">
        <f t="shared" si="114"/>
        <v>1</v>
      </c>
      <c r="CH130" s="52">
        <f t="shared" si="114"/>
        <v>1</v>
      </c>
      <c r="CI130" s="52">
        <f t="shared" si="114"/>
        <v>1</v>
      </c>
      <c r="CJ130" s="52">
        <f t="shared" si="114"/>
        <v>1</v>
      </c>
      <c r="CK130" s="52">
        <f t="shared" si="114"/>
        <v>1</v>
      </c>
      <c r="CL130" s="52">
        <f t="shared" si="114"/>
        <v>1</v>
      </c>
      <c r="CM130" s="52">
        <f t="shared" si="114"/>
        <v>1</v>
      </c>
      <c r="CN130" s="52">
        <f t="shared" si="114"/>
        <v>1</v>
      </c>
      <c r="CO130" s="52">
        <f t="shared" si="114"/>
        <v>1</v>
      </c>
      <c r="CP130" s="52">
        <f t="shared" si="114"/>
        <v>0</v>
      </c>
      <c r="CQ130" s="52">
        <f t="shared" si="114"/>
        <v>0</v>
      </c>
      <c r="CR130" s="52">
        <f t="shared" si="114"/>
        <v>0</v>
      </c>
      <c r="CS130" s="52">
        <f t="shared" si="114"/>
        <v>0</v>
      </c>
      <c r="CT130" s="52">
        <f t="shared" si="114"/>
        <v>0</v>
      </c>
      <c r="CU130" s="52">
        <f t="shared" si="114"/>
        <v>0</v>
      </c>
      <c r="CV130" s="52">
        <f t="shared" si="114"/>
        <v>0</v>
      </c>
      <c r="CW130" s="52">
        <f t="shared" si="114"/>
        <v>0</v>
      </c>
      <c r="CX130" s="52">
        <f t="shared" si="114"/>
        <v>0</v>
      </c>
      <c r="CY130" s="52">
        <f t="shared" si="114"/>
        <v>0</v>
      </c>
      <c r="CZ130" s="52">
        <f t="shared" si="114"/>
        <v>0</v>
      </c>
      <c r="DA130" s="52">
        <f t="shared" si="114"/>
        <v>0</v>
      </c>
      <c r="DB130" s="52">
        <f t="shared" si="114"/>
        <v>0</v>
      </c>
      <c r="DC130" s="52">
        <f t="shared" si="114"/>
        <v>0</v>
      </c>
      <c r="DD130" s="52">
        <f t="shared" si="114"/>
        <v>0</v>
      </c>
      <c r="DE130" s="52">
        <f t="shared" si="114"/>
        <v>0</v>
      </c>
      <c r="DF130" s="52">
        <f t="shared" si="114"/>
        <v>0</v>
      </c>
      <c r="DG130" s="52">
        <f t="shared" si="114"/>
        <v>0</v>
      </c>
      <c r="DH130" s="52">
        <f t="shared" si="114"/>
        <v>0</v>
      </c>
      <c r="DI130" s="52">
        <f t="shared" si="114"/>
        <v>0</v>
      </c>
      <c r="DJ130" s="52">
        <f t="shared" si="114"/>
        <v>0</v>
      </c>
    </row>
    <row r="131" ht="15.75" customHeight="1">
      <c r="B131" s="52" t="s">
        <v>1792</v>
      </c>
      <c r="C131" s="52">
        <v>14.0</v>
      </c>
      <c r="D131" s="52" t="s">
        <v>1788</v>
      </c>
      <c r="E131" s="58"/>
      <c r="F131" s="58"/>
      <c r="G131" s="58"/>
      <c r="H131" s="58"/>
      <c r="I131" s="58"/>
      <c r="J131" s="58"/>
      <c r="K131" s="65">
        <v>0.08</v>
      </c>
      <c r="L131" s="65">
        <v>0.08</v>
      </c>
      <c r="M131" s="65">
        <v>0.07</v>
      </c>
      <c r="N131" s="65">
        <v>0.07</v>
      </c>
      <c r="O131" s="65">
        <v>0.06</v>
      </c>
      <c r="P131" s="65">
        <v>0.06</v>
      </c>
      <c r="Q131" s="65">
        <v>0.05</v>
      </c>
      <c r="R131" s="65">
        <v>0.05</v>
      </c>
      <c r="S131" s="65">
        <v>0.05</v>
      </c>
      <c r="T131" s="65">
        <v>0.04</v>
      </c>
      <c r="U131" s="65">
        <v>0.04</v>
      </c>
      <c r="V131" s="65">
        <v>0.04</v>
      </c>
      <c r="W131" s="65">
        <v>0.04</v>
      </c>
      <c r="X131" s="65">
        <v>0.03</v>
      </c>
      <c r="Y131" s="65">
        <v>0.03</v>
      </c>
      <c r="Z131" s="65">
        <v>0.03</v>
      </c>
      <c r="AA131" s="65">
        <v>0.03</v>
      </c>
      <c r="AB131" s="65">
        <v>0.03</v>
      </c>
      <c r="AC131" s="65">
        <v>0.02</v>
      </c>
      <c r="AD131" s="65">
        <v>0.02</v>
      </c>
      <c r="BL131" s="55"/>
      <c r="BX131" s="52">
        <f t="shared" ref="BX131:DJ131" si="115">ROUND($BX31*E131,0)</f>
        <v>0</v>
      </c>
      <c r="BY131" s="52">
        <f t="shared" si="115"/>
        <v>0</v>
      </c>
      <c r="BZ131" s="52">
        <f t="shared" si="115"/>
        <v>0</v>
      </c>
      <c r="CA131" s="52">
        <f t="shared" si="115"/>
        <v>0</v>
      </c>
      <c r="CB131" s="52">
        <f t="shared" si="115"/>
        <v>0</v>
      </c>
      <c r="CC131" s="52">
        <f t="shared" si="115"/>
        <v>0</v>
      </c>
      <c r="CD131" s="52">
        <f t="shared" si="115"/>
        <v>1</v>
      </c>
      <c r="CE131" s="52">
        <f t="shared" si="115"/>
        <v>1</v>
      </c>
      <c r="CF131" s="52">
        <f t="shared" si="115"/>
        <v>1</v>
      </c>
      <c r="CG131" s="52">
        <f t="shared" si="115"/>
        <v>1</v>
      </c>
      <c r="CH131" s="52">
        <f t="shared" si="115"/>
        <v>1</v>
      </c>
      <c r="CI131" s="52">
        <f t="shared" si="115"/>
        <v>1</v>
      </c>
      <c r="CJ131" s="52">
        <f t="shared" si="115"/>
        <v>1</v>
      </c>
      <c r="CK131" s="52">
        <f t="shared" si="115"/>
        <v>1</v>
      </c>
      <c r="CL131" s="52">
        <f t="shared" si="115"/>
        <v>1</v>
      </c>
      <c r="CM131" s="52">
        <f t="shared" si="115"/>
        <v>0</v>
      </c>
      <c r="CN131" s="52">
        <f t="shared" si="115"/>
        <v>0</v>
      </c>
      <c r="CO131" s="52">
        <f t="shared" si="115"/>
        <v>0</v>
      </c>
      <c r="CP131" s="52">
        <f t="shared" si="115"/>
        <v>0</v>
      </c>
      <c r="CQ131" s="52">
        <f t="shared" si="115"/>
        <v>0</v>
      </c>
      <c r="CR131" s="52">
        <f t="shared" si="115"/>
        <v>0</v>
      </c>
      <c r="CS131" s="52">
        <f t="shared" si="115"/>
        <v>0</v>
      </c>
      <c r="CT131" s="52">
        <f t="shared" si="115"/>
        <v>0</v>
      </c>
      <c r="CU131" s="52">
        <f t="shared" si="115"/>
        <v>0</v>
      </c>
      <c r="CV131" s="52">
        <f t="shared" si="115"/>
        <v>0</v>
      </c>
      <c r="CW131" s="52">
        <f t="shared" si="115"/>
        <v>0</v>
      </c>
      <c r="CX131" s="52">
        <f t="shared" si="115"/>
        <v>0</v>
      </c>
      <c r="CY131" s="52">
        <f t="shared" si="115"/>
        <v>0</v>
      </c>
      <c r="CZ131" s="52">
        <f t="shared" si="115"/>
        <v>0</v>
      </c>
      <c r="DA131" s="52">
        <f t="shared" si="115"/>
        <v>0</v>
      </c>
      <c r="DB131" s="52">
        <f t="shared" si="115"/>
        <v>0</v>
      </c>
      <c r="DC131" s="52">
        <f t="shared" si="115"/>
        <v>0</v>
      </c>
      <c r="DD131" s="52">
        <f t="shared" si="115"/>
        <v>0</v>
      </c>
      <c r="DE131" s="52">
        <f t="shared" si="115"/>
        <v>0</v>
      </c>
      <c r="DF131" s="52">
        <f t="shared" si="115"/>
        <v>0</v>
      </c>
      <c r="DG131" s="52">
        <f t="shared" si="115"/>
        <v>0</v>
      </c>
      <c r="DH131" s="52">
        <f t="shared" si="115"/>
        <v>0</v>
      </c>
      <c r="DI131" s="52">
        <f t="shared" si="115"/>
        <v>0</v>
      </c>
      <c r="DJ131" s="52">
        <f t="shared" si="115"/>
        <v>0</v>
      </c>
    </row>
    <row r="132" ht="15.75" customHeight="1">
      <c r="B132" s="52" t="s">
        <v>1792</v>
      </c>
      <c r="C132" s="52">
        <v>14.0</v>
      </c>
      <c r="D132" s="52" t="s">
        <v>1789</v>
      </c>
      <c r="E132" s="58"/>
      <c r="F132" s="58"/>
      <c r="G132" s="58"/>
      <c r="H132" s="58"/>
      <c r="I132" s="58"/>
      <c r="J132" s="58"/>
      <c r="K132" s="58"/>
      <c r="L132" s="65">
        <v>0.08</v>
      </c>
      <c r="M132" s="65">
        <v>0.08</v>
      </c>
      <c r="N132" s="65">
        <v>0.07</v>
      </c>
      <c r="O132" s="65">
        <v>0.07</v>
      </c>
      <c r="P132" s="65">
        <v>0.06</v>
      </c>
      <c r="Q132" s="65">
        <v>0.06</v>
      </c>
      <c r="R132" s="65">
        <v>0.05</v>
      </c>
      <c r="S132" s="65">
        <v>0.05</v>
      </c>
      <c r="T132" s="65">
        <v>0.05</v>
      </c>
      <c r="U132" s="65">
        <v>0.04</v>
      </c>
      <c r="V132" s="65">
        <v>0.04</v>
      </c>
      <c r="W132" s="65">
        <v>0.04</v>
      </c>
      <c r="X132" s="65">
        <v>0.04</v>
      </c>
      <c r="Y132" s="65">
        <v>0.03</v>
      </c>
      <c r="Z132" s="65">
        <v>0.03</v>
      </c>
      <c r="AA132" s="65">
        <v>0.03</v>
      </c>
      <c r="AB132" s="65">
        <v>0.03</v>
      </c>
      <c r="AC132" s="65">
        <v>0.03</v>
      </c>
      <c r="AD132" s="65">
        <v>0.02</v>
      </c>
      <c r="BL132" s="55"/>
      <c r="BX132" s="52">
        <f t="shared" ref="BX132:DJ132" si="116">ROUND($BX32*E132,0)</f>
        <v>0</v>
      </c>
      <c r="BY132" s="52">
        <f t="shared" si="116"/>
        <v>0</v>
      </c>
      <c r="BZ132" s="52">
        <f t="shared" si="116"/>
        <v>0</v>
      </c>
      <c r="CA132" s="52">
        <f t="shared" si="116"/>
        <v>0</v>
      </c>
      <c r="CB132" s="52">
        <f t="shared" si="116"/>
        <v>0</v>
      </c>
      <c r="CC132" s="52">
        <f t="shared" si="116"/>
        <v>0</v>
      </c>
      <c r="CD132" s="52">
        <f t="shared" si="116"/>
        <v>0</v>
      </c>
      <c r="CE132" s="52">
        <f t="shared" si="116"/>
        <v>2</v>
      </c>
      <c r="CF132" s="52">
        <f t="shared" si="116"/>
        <v>2</v>
      </c>
      <c r="CG132" s="52">
        <f t="shared" si="116"/>
        <v>2</v>
      </c>
      <c r="CH132" s="52">
        <f t="shared" si="116"/>
        <v>2</v>
      </c>
      <c r="CI132" s="52">
        <f t="shared" si="116"/>
        <v>1</v>
      </c>
      <c r="CJ132" s="52">
        <f t="shared" si="116"/>
        <v>1</v>
      </c>
      <c r="CK132" s="52">
        <f t="shared" si="116"/>
        <v>1</v>
      </c>
      <c r="CL132" s="52">
        <f t="shared" si="116"/>
        <v>1</v>
      </c>
      <c r="CM132" s="52">
        <f t="shared" si="116"/>
        <v>1</v>
      </c>
      <c r="CN132" s="52">
        <f t="shared" si="116"/>
        <v>1</v>
      </c>
      <c r="CO132" s="52">
        <f t="shared" si="116"/>
        <v>1</v>
      </c>
      <c r="CP132" s="52">
        <f t="shared" si="116"/>
        <v>1</v>
      </c>
      <c r="CQ132" s="52">
        <f t="shared" si="116"/>
        <v>1</v>
      </c>
      <c r="CR132" s="52">
        <f t="shared" si="116"/>
        <v>1</v>
      </c>
      <c r="CS132" s="52">
        <f t="shared" si="116"/>
        <v>1</v>
      </c>
      <c r="CT132" s="52">
        <f t="shared" si="116"/>
        <v>1</v>
      </c>
      <c r="CU132" s="52">
        <f t="shared" si="116"/>
        <v>1</v>
      </c>
      <c r="CV132" s="52">
        <f t="shared" si="116"/>
        <v>1</v>
      </c>
      <c r="CW132" s="52">
        <f t="shared" si="116"/>
        <v>0</v>
      </c>
      <c r="CX132" s="52">
        <f t="shared" si="116"/>
        <v>0</v>
      </c>
      <c r="CY132" s="52">
        <f t="shared" si="116"/>
        <v>0</v>
      </c>
      <c r="CZ132" s="52">
        <f t="shared" si="116"/>
        <v>0</v>
      </c>
      <c r="DA132" s="52">
        <f t="shared" si="116"/>
        <v>0</v>
      </c>
      <c r="DB132" s="52">
        <f t="shared" si="116"/>
        <v>0</v>
      </c>
      <c r="DC132" s="52">
        <f t="shared" si="116"/>
        <v>0</v>
      </c>
      <c r="DD132" s="52">
        <f t="shared" si="116"/>
        <v>0</v>
      </c>
      <c r="DE132" s="52">
        <f t="shared" si="116"/>
        <v>0</v>
      </c>
      <c r="DF132" s="52">
        <f t="shared" si="116"/>
        <v>0</v>
      </c>
      <c r="DG132" s="52">
        <f t="shared" si="116"/>
        <v>0</v>
      </c>
      <c r="DH132" s="52">
        <f t="shared" si="116"/>
        <v>0</v>
      </c>
      <c r="DI132" s="52">
        <f t="shared" si="116"/>
        <v>0</v>
      </c>
      <c r="DJ132" s="52">
        <f t="shared" si="116"/>
        <v>0</v>
      </c>
    </row>
    <row r="133" ht="15.75" customHeight="1">
      <c r="B133" s="52" t="s">
        <v>1792</v>
      </c>
      <c r="C133" s="52">
        <v>14.0</v>
      </c>
      <c r="D133" s="52" t="s">
        <v>1790</v>
      </c>
      <c r="E133" s="58"/>
      <c r="F133" s="58"/>
      <c r="G133" s="58"/>
      <c r="H133" s="58"/>
      <c r="I133" s="58"/>
      <c r="J133" s="58"/>
      <c r="K133" s="58"/>
      <c r="L133" s="58"/>
      <c r="M133" s="58"/>
      <c r="N133" s="65">
        <v>0.08</v>
      </c>
      <c r="O133" s="65">
        <v>0.08</v>
      </c>
      <c r="P133" s="65">
        <v>0.07</v>
      </c>
      <c r="Q133" s="65">
        <v>0.07</v>
      </c>
      <c r="R133" s="65">
        <v>0.06</v>
      </c>
      <c r="S133" s="65">
        <v>0.06</v>
      </c>
      <c r="T133" s="65">
        <v>0.05</v>
      </c>
      <c r="U133" s="65">
        <v>0.05</v>
      </c>
      <c r="V133" s="65">
        <v>0.05</v>
      </c>
      <c r="W133" s="65">
        <v>0.04</v>
      </c>
      <c r="X133" s="65">
        <v>0.04</v>
      </c>
      <c r="Y133" s="65">
        <v>0.04</v>
      </c>
      <c r="Z133" s="65">
        <v>0.04</v>
      </c>
      <c r="AA133" s="65">
        <v>0.03</v>
      </c>
      <c r="AB133" s="65">
        <v>0.03</v>
      </c>
      <c r="AC133" s="65">
        <v>0.03</v>
      </c>
      <c r="AD133" s="65">
        <v>0.03</v>
      </c>
      <c r="BL133" s="55"/>
      <c r="BX133" s="52">
        <f t="shared" ref="BX133:DJ133" si="117">ROUND($BX33*E133,0)</f>
        <v>0</v>
      </c>
      <c r="BY133" s="52">
        <f t="shared" si="117"/>
        <v>0</v>
      </c>
      <c r="BZ133" s="52">
        <f t="shared" si="117"/>
        <v>0</v>
      </c>
      <c r="CA133" s="52">
        <f t="shared" si="117"/>
        <v>0</v>
      </c>
      <c r="CB133" s="52">
        <f t="shared" si="117"/>
        <v>0</v>
      </c>
      <c r="CC133" s="52">
        <f t="shared" si="117"/>
        <v>0</v>
      </c>
      <c r="CD133" s="52">
        <f t="shared" si="117"/>
        <v>0</v>
      </c>
      <c r="CE133" s="52">
        <f t="shared" si="117"/>
        <v>0</v>
      </c>
      <c r="CF133" s="52">
        <f t="shared" si="117"/>
        <v>0</v>
      </c>
      <c r="CG133" s="52">
        <f t="shared" si="117"/>
        <v>3</v>
      </c>
      <c r="CH133" s="52">
        <f t="shared" si="117"/>
        <v>3</v>
      </c>
      <c r="CI133" s="52">
        <f t="shared" si="117"/>
        <v>2</v>
      </c>
      <c r="CJ133" s="52">
        <f t="shared" si="117"/>
        <v>2</v>
      </c>
      <c r="CK133" s="52">
        <f t="shared" si="117"/>
        <v>2</v>
      </c>
      <c r="CL133" s="52">
        <f t="shared" si="117"/>
        <v>2</v>
      </c>
      <c r="CM133" s="52">
        <f t="shared" si="117"/>
        <v>2</v>
      </c>
      <c r="CN133" s="52">
        <f t="shared" si="117"/>
        <v>2</v>
      </c>
      <c r="CO133" s="52">
        <f t="shared" si="117"/>
        <v>2</v>
      </c>
      <c r="CP133" s="52">
        <f t="shared" si="117"/>
        <v>1</v>
      </c>
      <c r="CQ133" s="52">
        <f t="shared" si="117"/>
        <v>1</v>
      </c>
      <c r="CR133" s="52">
        <f t="shared" si="117"/>
        <v>1</v>
      </c>
      <c r="CS133" s="52">
        <f t="shared" si="117"/>
        <v>1</v>
      </c>
      <c r="CT133" s="52">
        <f t="shared" si="117"/>
        <v>1</v>
      </c>
      <c r="CU133" s="52">
        <f t="shared" si="117"/>
        <v>1</v>
      </c>
      <c r="CV133" s="52">
        <f t="shared" si="117"/>
        <v>1</v>
      </c>
      <c r="CW133" s="52">
        <f t="shared" si="117"/>
        <v>1</v>
      </c>
      <c r="CX133" s="52">
        <f t="shared" si="117"/>
        <v>0</v>
      </c>
      <c r="CY133" s="52">
        <f t="shared" si="117"/>
        <v>0</v>
      </c>
      <c r="CZ133" s="52">
        <f t="shared" si="117"/>
        <v>0</v>
      </c>
      <c r="DA133" s="52">
        <f t="shared" si="117"/>
        <v>0</v>
      </c>
      <c r="DB133" s="52">
        <f t="shared" si="117"/>
        <v>0</v>
      </c>
      <c r="DC133" s="52">
        <f t="shared" si="117"/>
        <v>0</v>
      </c>
      <c r="DD133" s="52">
        <f t="shared" si="117"/>
        <v>0</v>
      </c>
      <c r="DE133" s="52">
        <f t="shared" si="117"/>
        <v>0</v>
      </c>
      <c r="DF133" s="52">
        <f t="shared" si="117"/>
        <v>0</v>
      </c>
      <c r="DG133" s="52">
        <f t="shared" si="117"/>
        <v>0</v>
      </c>
      <c r="DH133" s="52">
        <f t="shared" si="117"/>
        <v>0</v>
      </c>
      <c r="DI133" s="52">
        <f t="shared" si="117"/>
        <v>0</v>
      </c>
      <c r="DJ133" s="52">
        <f t="shared" si="117"/>
        <v>0</v>
      </c>
    </row>
    <row r="134" ht="15.75" customHeight="1">
      <c r="B134" s="52" t="s">
        <v>1792</v>
      </c>
      <c r="C134" s="52">
        <v>15.0</v>
      </c>
      <c r="D134" s="52">
        <v>0.0</v>
      </c>
      <c r="E134" s="65">
        <v>0.07</v>
      </c>
      <c r="F134" s="65">
        <v>0.07</v>
      </c>
      <c r="G134" s="65">
        <v>0.07</v>
      </c>
      <c r="H134" s="65">
        <v>0.07</v>
      </c>
      <c r="I134" s="65">
        <v>0.07</v>
      </c>
      <c r="J134" s="65">
        <v>0.07</v>
      </c>
      <c r="K134" s="65">
        <v>0.07</v>
      </c>
      <c r="L134" s="65">
        <v>0.07</v>
      </c>
      <c r="M134" s="65">
        <v>0.07</v>
      </c>
      <c r="N134" s="65">
        <v>0.03</v>
      </c>
      <c r="O134" s="65">
        <v>0.03</v>
      </c>
      <c r="P134" s="65">
        <v>0.03</v>
      </c>
      <c r="Q134" s="65">
        <v>0.03</v>
      </c>
      <c r="R134" s="65">
        <v>0.03</v>
      </c>
      <c r="S134" s="65">
        <v>0.03</v>
      </c>
      <c r="T134" s="65">
        <v>0.03</v>
      </c>
      <c r="U134" s="65">
        <v>0.02</v>
      </c>
      <c r="V134" s="65">
        <v>0.02</v>
      </c>
      <c r="W134" s="65">
        <v>0.02</v>
      </c>
      <c r="X134" s="65">
        <v>0.02</v>
      </c>
      <c r="Y134" s="65">
        <v>0.02</v>
      </c>
      <c r="Z134" s="65">
        <v>0.02</v>
      </c>
      <c r="AA134" s="65">
        <v>0.02</v>
      </c>
      <c r="AB134" s="65">
        <v>0.02</v>
      </c>
      <c r="AC134" s="58"/>
      <c r="AD134" s="58"/>
      <c r="BL134" s="55"/>
      <c r="BY134" s="52">
        <f t="shared" ref="BY134:DJ134" si="118">ROUND($BY27*E134,0)</f>
        <v>14</v>
      </c>
      <c r="BZ134" s="52">
        <f t="shared" si="118"/>
        <v>14</v>
      </c>
      <c r="CA134" s="52">
        <f t="shared" si="118"/>
        <v>14</v>
      </c>
      <c r="CB134" s="52">
        <f t="shared" si="118"/>
        <v>14</v>
      </c>
      <c r="CC134" s="52">
        <f t="shared" si="118"/>
        <v>14</v>
      </c>
      <c r="CD134" s="52">
        <f t="shared" si="118"/>
        <v>14</v>
      </c>
      <c r="CE134" s="52">
        <f t="shared" si="118"/>
        <v>14</v>
      </c>
      <c r="CF134" s="52">
        <f t="shared" si="118"/>
        <v>14</v>
      </c>
      <c r="CG134" s="52">
        <f t="shared" si="118"/>
        <v>14</v>
      </c>
      <c r="CH134" s="52">
        <f t="shared" si="118"/>
        <v>6</v>
      </c>
      <c r="CI134" s="52">
        <f t="shared" si="118"/>
        <v>6</v>
      </c>
      <c r="CJ134" s="52">
        <f t="shared" si="118"/>
        <v>6</v>
      </c>
      <c r="CK134" s="52">
        <f t="shared" si="118"/>
        <v>6</v>
      </c>
      <c r="CL134" s="52">
        <f t="shared" si="118"/>
        <v>6</v>
      </c>
      <c r="CM134" s="52">
        <f t="shared" si="118"/>
        <v>6</v>
      </c>
      <c r="CN134" s="52">
        <f t="shared" si="118"/>
        <v>6</v>
      </c>
      <c r="CO134" s="52">
        <f t="shared" si="118"/>
        <v>4</v>
      </c>
      <c r="CP134" s="52">
        <f t="shared" si="118"/>
        <v>4</v>
      </c>
      <c r="CQ134" s="52">
        <f t="shared" si="118"/>
        <v>4</v>
      </c>
      <c r="CR134" s="52">
        <f t="shared" si="118"/>
        <v>4</v>
      </c>
      <c r="CS134" s="52">
        <f t="shared" si="118"/>
        <v>4</v>
      </c>
      <c r="CT134" s="52">
        <f t="shared" si="118"/>
        <v>4</v>
      </c>
      <c r="CU134" s="52">
        <f t="shared" si="118"/>
        <v>4</v>
      </c>
      <c r="CV134" s="52">
        <f t="shared" si="118"/>
        <v>4</v>
      </c>
      <c r="CW134" s="52">
        <f t="shared" si="118"/>
        <v>0</v>
      </c>
      <c r="CX134" s="52">
        <f t="shared" si="118"/>
        <v>0</v>
      </c>
      <c r="CY134" s="52">
        <f t="shared" si="118"/>
        <v>0</v>
      </c>
      <c r="CZ134" s="52">
        <f t="shared" si="118"/>
        <v>0</v>
      </c>
      <c r="DA134" s="52">
        <f t="shared" si="118"/>
        <v>0</v>
      </c>
      <c r="DB134" s="52">
        <f t="shared" si="118"/>
        <v>0</v>
      </c>
      <c r="DC134" s="52">
        <f t="shared" si="118"/>
        <v>0</v>
      </c>
      <c r="DD134" s="52">
        <f t="shared" si="118"/>
        <v>0</v>
      </c>
      <c r="DE134" s="52">
        <f t="shared" si="118"/>
        <v>0</v>
      </c>
      <c r="DF134" s="52">
        <f t="shared" si="118"/>
        <v>0</v>
      </c>
      <c r="DG134" s="52">
        <f t="shared" si="118"/>
        <v>0</v>
      </c>
      <c r="DH134" s="52">
        <f t="shared" si="118"/>
        <v>0</v>
      </c>
      <c r="DI134" s="52">
        <f t="shared" si="118"/>
        <v>0</v>
      </c>
      <c r="DJ134" s="52">
        <f t="shared" si="118"/>
        <v>0</v>
      </c>
    </row>
    <row r="135" ht="15.75" customHeight="1">
      <c r="B135" s="52" t="s">
        <v>1792</v>
      </c>
      <c r="C135" s="52">
        <v>15.0</v>
      </c>
      <c r="D135" s="52" t="s">
        <v>1785</v>
      </c>
      <c r="E135" s="65">
        <v>0.02</v>
      </c>
      <c r="F135" s="65">
        <v>0.02</v>
      </c>
      <c r="G135" s="65">
        <v>0.02</v>
      </c>
      <c r="H135" s="65">
        <v>0.02</v>
      </c>
      <c r="I135" s="65">
        <v>0.08</v>
      </c>
      <c r="J135" s="65">
        <v>0.08</v>
      </c>
      <c r="K135" s="65">
        <v>0.07</v>
      </c>
      <c r="L135" s="65">
        <v>0.07</v>
      </c>
      <c r="M135" s="65">
        <v>0.06</v>
      </c>
      <c r="N135" s="65">
        <v>0.06</v>
      </c>
      <c r="O135" s="65">
        <v>0.05</v>
      </c>
      <c r="P135" s="65">
        <v>0.05</v>
      </c>
      <c r="Q135" s="65">
        <v>0.05</v>
      </c>
      <c r="R135" s="65">
        <v>0.04</v>
      </c>
      <c r="S135" s="65">
        <v>0.04</v>
      </c>
      <c r="T135" s="65">
        <v>0.04</v>
      </c>
      <c r="U135" s="65">
        <v>0.04</v>
      </c>
      <c r="V135" s="65">
        <v>0.03</v>
      </c>
      <c r="W135" s="65">
        <v>0.03</v>
      </c>
      <c r="X135" s="65">
        <v>0.03</v>
      </c>
      <c r="Y135" s="65">
        <v>0.03</v>
      </c>
      <c r="Z135" s="65">
        <v>0.03</v>
      </c>
      <c r="AA135" s="65">
        <v>0.02</v>
      </c>
      <c r="AB135" s="65">
        <v>0.02</v>
      </c>
      <c r="AC135" s="58"/>
      <c r="AD135" s="58"/>
      <c r="BL135" s="55"/>
      <c r="BY135" s="52">
        <f t="shared" ref="BY135:DJ135" si="119">ROUND($BY28*E135,0)</f>
        <v>0</v>
      </c>
      <c r="BZ135" s="52">
        <f t="shared" si="119"/>
        <v>0</v>
      </c>
      <c r="CA135" s="52">
        <f t="shared" si="119"/>
        <v>0</v>
      </c>
      <c r="CB135" s="52">
        <f t="shared" si="119"/>
        <v>0</v>
      </c>
      <c r="CC135" s="52">
        <f t="shared" si="119"/>
        <v>2</v>
      </c>
      <c r="CD135" s="52">
        <f t="shared" si="119"/>
        <v>2</v>
      </c>
      <c r="CE135" s="52">
        <f t="shared" si="119"/>
        <v>1</v>
      </c>
      <c r="CF135" s="52">
        <f t="shared" si="119"/>
        <v>1</v>
      </c>
      <c r="CG135" s="52">
        <f t="shared" si="119"/>
        <v>1</v>
      </c>
      <c r="CH135" s="52">
        <f t="shared" si="119"/>
        <v>1</v>
      </c>
      <c r="CI135" s="52">
        <f t="shared" si="119"/>
        <v>1</v>
      </c>
      <c r="CJ135" s="52">
        <f t="shared" si="119"/>
        <v>1</v>
      </c>
      <c r="CK135" s="52">
        <f t="shared" si="119"/>
        <v>1</v>
      </c>
      <c r="CL135" s="52">
        <f t="shared" si="119"/>
        <v>1</v>
      </c>
      <c r="CM135" s="52">
        <f t="shared" si="119"/>
        <v>1</v>
      </c>
      <c r="CN135" s="52">
        <f t="shared" si="119"/>
        <v>1</v>
      </c>
      <c r="CO135" s="52">
        <f t="shared" si="119"/>
        <v>1</v>
      </c>
      <c r="CP135" s="52">
        <f t="shared" si="119"/>
        <v>1</v>
      </c>
      <c r="CQ135" s="52">
        <f t="shared" si="119"/>
        <v>1</v>
      </c>
      <c r="CR135" s="52">
        <f t="shared" si="119"/>
        <v>1</v>
      </c>
      <c r="CS135" s="52">
        <f t="shared" si="119"/>
        <v>1</v>
      </c>
      <c r="CT135" s="52">
        <f t="shared" si="119"/>
        <v>1</v>
      </c>
      <c r="CU135" s="52">
        <f t="shared" si="119"/>
        <v>0</v>
      </c>
      <c r="CV135" s="52">
        <f t="shared" si="119"/>
        <v>0</v>
      </c>
      <c r="CW135" s="52">
        <f t="shared" si="119"/>
        <v>0</v>
      </c>
      <c r="CX135" s="52">
        <f t="shared" si="119"/>
        <v>0</v>
      </c>
      <c r="CY135" s="52">
        <f t="shared" si="119"/>
        <v>0</v>
      </c>
      <c r="CZ135" s="52">
        <f t="shared" si="119"/>
        <v>0</v>
      </c>
      <c r="DA135" s="52">
        <f t="shared" si="119"/>
        <v>0</v>
      </c>
      <c r="DB135" s="52">
        <f t="shared" si="119"/>
        <v>0</v>
      </c>
      <c r="DC135" s="52">
        <f t="shared" si="119"/>
        <v>0</v>
      </c>
      <c r="DD135" s="52">
        <f t="shared" si="119"/>
        <v>0</v>
      </c>
      <c r="DE135" s="52">
        <f t="shared" si="119"/>
        <v>0</v>
      </c>
      <c r="DF135" s="52">
        <f t="shared" si="119"/>
        <v>0</v>
      </c>
      <c r="DG135" s="52">
        <f t="shared" si="119"/>
        <v>0</v>
      </c>
      <c r="DH135" s="52">
        <f t="shared" si="119"/>
        <v>0</v>
      </c>
      <c r="DI135" s="52">
        <f t="shared" si="119"/>
        <v>0</v>
      </c>
      <c r="DJ135" s="52">
        <f t="shared" si="119"/>
        <v>0</v>
      </c>
    </row>
    <row r="136" ht="15.75" customHeight="1">
      <c r="B136" s="52" t="s">
        <v>1792</v>
      </c>
      <c r="C136" s="52">
        <v>15.0</v>
      </c>
      <c r="D136" s="52" t="s">
        <v>1786</v>
      </c>
      <c r="E136" s="58"/>
      <c r="F136" s="58"/>
      <c r="G136" s="58"/>
      <c r="H136" s="65">
        <v>0.08</v>
      </c>
      <c r="I136" s="65">
        <v>0.08</v>
      </c>
      <c r="J136" s="65">
        <v>0.07</v>
      </c>
      <c r="K136" s="65">
        <v>0.07</v>
      </c>
      <c r="L136" s="65">
        <v>0.06</v>
      </c>
      <c r="M136" s="65">
        <v>0.06</v>
      </c>
      <c r="N136" s="65">
        <v>0.05</v>
      </c>
      <c r="O136" s="65">
        <v>0.05</v>
      </c>
      <c r="P136" s="65">
        <v>0.05</v>
      </c>
      <c r="Q136" s="65">
        <v>0.04</v>
      </c>
      <c r="R136" s="65">
        <v>0.04</v>
      </c>
      <c r="S136" s="65">
        <v>0.04</v>
      </c>
      <c r="T136" s="65">
        <v>0.04</v>
      </c>
      <c r="U136" s="65">
        <v>0.03</v>
      </c>
      <c r="V136" s="65">
        <v>0.03</v>
      </c>
      <c r="W136" s="65">
        <v>0.03</v>
      </c>
      <c r="X136" s="65">
        <v>0.03</v>
      </c>
      <c r="Y136" s="65">
        <v>0.03</v>
      </c>
      <c r="Z136" s="65">
        <v>0.02</v>
      </c>
      <c r="AA136" s="65">
        <v>0.02</v>
      </c>
      <c r="AB136" s="65">
        <v>0.03</v>
      </c>
      <c r="AC136" s="65">
        <v>0.03</v>
      </c>
      <c r="AD136" s="65">
        <v>0.02</v>
      </c>
      <c r="BL136" s="55"/>
      <c r="BY136" s="52">
        <f t="shared" ref="BY136:DJ136" si="120">ROUND($BY29*E136,0)</f>
        <v>0</v>
      </c>
      <c r="BZ136" s="52">
        <f t="shared" si="120"/>
        <v>0</v>
      </c>
      <c r="CA136" s="52">
        <f t="shared" si="120"/>
        <v>0</v>
      </c>
      <c r="CB136" s="52">
        <f t="shared" si="120"/>
        <v>3</v>
      </c>
      <c r="CC136" s="52">
        <f t="shared" si="120"/>
        <v>3</v>
      </c>
      <c r="CD136" s="52">
        <f t="shared" si="120"/>
        <v>3</v>
      </c>
      <c r="CE136" s="52">
        <f t="shared" si="120"/>
        <v>3</v>
      </c>
      <c r="CF136" s="52">
        <f t="shared" si="120"/>
        <v>2</v>
      </c>
      <c r="CG136" s="52">
        <f t="shared" si="120"/>
        <v>2</v>
      </c>
      <c r="CH136" s="52">
        <f t="shared" si="120"/>
        <v>2</v>
      </c>
      <c r="CI136" s="52">
        <f t="shared" si="120"/>
        <v>2</v>
      </c>
      <c r="CJ136" s="52">
        <f t="shared" si="120"/>
        <v>2</v>
      </c>
      <c r="CK136" s="52">
        <f t="shared" si="120"/>
        <v>1</v>
      </c>
      <c r="CL136" s="52">
        <f t="shared" si="120"/>
        <v>1</v>
      </c>
      <c r="CM136" s="52">
        <f t="shared" si="120"/>
        <v>1</v>
      </c>
      <c r="CN136" s="52">
        <f t="shared" si="120"/>
        <v>1</v>
      </c>
      <c r="CO136" s="52">
        <f t="shared" si="120"/>
        <v>1</v>
      </c>
      <c r="CP136" s="52">
        <f t="shared" si="120"/>
        <v>1</v>
      </c>
      <c r="CQ136" s="52">
        <f t="shared" si="120"/>
        <v>1</v>
      </c>
      <c r="CR136" s="52">
        <f t="shared" si="120"/>
        <v>1</v>
      </c>
      <c r="CS136" s="52">
        <f t="shared" si="120"/>
        <v>1</v>
      </c>
      <c r="CT136" s="52">
        <f t="shared" si="120"/>
        <v>1</v>
      </c>
      <c r="CU136" s="52">
        <f t="shared" si="120"/>
        <v>1</v>
      </c>
      <c r="CV136" s="52">
        <f t="shared" si="120"/>
        <v>1</v>
      </c>
      <c r="CW136" s="52">
        <f t="shared" si="120"/>
        <v>1</v>
      </c>
      <c r="CX136" s="52">
        <f t="shared" si="120"/>
        <v>1</v>
      </c>
      <c r="CY136" s="52">
        <f t="shared" si="120"/>
        <v>0</v>
      </c>
      <c r="CZ136" s="52">
        <f t="shared" si="120"/>
        <v>0</v>
      </c>
      <c r="DA136" s="52">
        <f t="shared" si="120"/>
        <v>0</v>
      </c>
      <c r="DB136" s="52">
        <f t="shared" si="120"/>
        <v>0</v>
      </c>
      <c r="DC136" s="52">
        <f t="shared" si="120"/>
        <v>0</v>
      </c>
      <c r="DD136" s="52">
        <f t="shared" si="120"/>
        <v>0</v>
      </c>
      <c r="DE136" s="52">
        <f t="shared" si="120"/>
        <v>0</v>
      </c>
      <c r="DF136" s="52">
        <f t="shared" si="120"/>
        <v>0</v>
      </c>
      <c r="DG136" s="52">
        <f t="shared" si="120"/>
        <v>0</v>
      </c>
      <c r="DH136" s="52">
        <f t="shared" si="120"/>
        <v>0</v>
      </c>
      <c r="DI136" s="52">
        <f t="shared" si="120"/>
        <v>0</v>
      </c>
      <c r="DJ136" s="52">
        <f t="shared" si="120"/>
        <v>0</v>
      </c>
    </row>
    <row r="137" ht="15.75" customHeight="1">
      <c r="B137" s="52" t="s">
        <v>1792</v>
      </c>
      <c r="C137" s="52">
        <v>15.0</v>
      </c>
      <c r="D137" s="52" t="s">
        <v>1787</v>
      </c>
      <c r="E137" s="58"/>
      <c r="F137" s="58"/>
      <c r="G137" s="58"/>
      <c r="H137" s="58"/>
      <c r="I137" s="58"/>
      <c r="J137" s="65">
        <v>0.08</v>
      </c>
      <c r="K137" s="65">
        <v>0.08</v>
      </c>
      <c r="L137" s="65">
        <v>0.07</v>
      </c>
      <c r="M137" s="65">
        <v>0.07</v>
      </c>
      <c r="N137" s="65">
        <v>0.06</v>
      </c>
      <c r="O137" s="65">
        <v>0.06</v>
      </c>
      <c r="P137" s="65">
        <v>0.05</v>
      </c>
      <c r="Q137" s="65">
        <v>0.05</v>
      </c>
      <c r="R137" s="65">
        <v>0.05</v>
      </c>
      <c r="S137" s="65">
        <v>0.04</v>
      </c>
      <c r="T137" s="65">
        <v>0.04</v>
      </c>
      <c r="U137" s="65">
        <v>0.04</v>
      </c>
      <c r="V137" s="65">
        <v>0.04</v>
      </c>
      <c r="W137" s="65">
        <v>0.03</v>
      </c>
      <c r="X137" s="65">
        <v>0.03</v>
      </c>
      <c r="Y137" s="65">
        <v>0.03</v>
      </c>
      <c r="Z137" s="65">
        <v>0.03</v>
      </c>
      <c r="AA137" s="65">
        <v>0.03</v>
      </c>
      <c r="AB137" s="65">
        <v>0.02</v>
      </c>
      <c r="AC137" s="65">
        <v>0.02</v>
      </c>
      <c r="AD137" s="65">
        <v>0.03</v>
      </c>
      <c r="BY137" s="52">
        <f t="shared" ref="BY137:DJ137" si="121">ROUND($BY30*E137,0)</f>
        <v>0</v>
      </c>
      <c r="BZ137" s="52">
        <f t="shared" si="121"/>
        <v>0</v>
      </c>
      <c r="CA137" s="52">
        <f t="shared" si="121"/>
        <v>0</v>
      </c>
      <c r="CB137" s="52">
        <f t="shared" si="121"/>
        <v>0</v>
      </c>
      <c r="CC137" s="52">
        <f t="shared" si="121"/>
        <v>0</v>
      </c>
      <c r="CD137" s="52">
        <f t="shared" si="121"/>
        <v>1</v>
      </c>
      <c r="CE137" s="52">
        <f t="shared" si="121"/>
        <v>1</v>
      </c>
      <c r="CF137" s="52">
        <f t="shared" si="121"/>
        <v>0</v>
      </c>
      <c r="CG137" s="52">
        <f t="shared" si="121"/>
        <v>0</v>
      </c>
      <c r="CH137" s="52">
        <f t="shared" si="121"/>
        <v>0</v>
      </c>
      <c r="CI137" s="52">
        <f t="shared" si="121"/>
        <v>0</v>
      </c>
      <c r="CJ137" s="52">
        <f t="shared" si="121"/>
        <v>0</v>
      </c>
      <c r="CK137" s="52">
        <f t="shared" si="121"/>
        <v>0</v>
      </c>
      <c r="CL137" s="52">
        <f t="shared" si="121"/>
        <v>0</v>
      </c>
      <c r="CM137" s="52">
        <f t="shared" si="121"/>
        <v>0</v>
      </c>
      <c r="CN137" s="52">
        <f t="shared" si="121"/>
        <v>0</v>
      </c>
      <c r="CO137" s="52">
        <f t="shared" si="121"/>
        <v>0</v>
      </c>
      <c r="CP137" s="52">
        <f t="shared" si="121"/>
        <v>0</v>
      </c>
      <c r="CQ137" s="52">
        <f t="shared" si="121"/>
        <v>0</v>
      </c>
      <c r="CR137" s="52">
        <f t="shared" si="121"/>
        <v>0</v>
      </c>
      <c r="CS137" s="52">
        <f t="shared" si="121"/>
        <v>0</v>
      </c>
      <c r="CT137" s="52">
        <f t="shared" si="121"/>
        <v>0</v>
      </c>
      <c r="CU137" s="52">
        <f t="shared" si="121"/>
        <v>0</v>
      </c>
      <c r="CV137" s="52">
        <f t="shared" si="121"/>
        <v>0</v>
      </c>
      <c r="CW137" s="52">
        <f t="shared" si="121"/>
        <v>0</v>
      </c>
      <c r="CX137" s="52">
        <f t="shared" si="121"/>
        <v>0</v>
      </c>
      <c r="CY137" s="52">
        <f t="shared" si="121"/>
        <v>0</v>
      </c>
      <c r="CZ137" s="52">
        <f t="shared" si="121"/>
        <v>0</v>
      </c>
      <c r="DA137" s="52">
        <f t="shared" si="121"/>
        <v>0</v>
      </c>
      <c r="DB137" s="52">
        <f t="shared" si="121"/>
        <v>0</v>
      </c>
      <c r="DC137" s="52">
        <f t="shared" si="121"/>
        <v>0</v>
      </c>
      <c r="DD137" s="52">
        <f t="shared" si="121"/>
        <v>0</v>
      </c>
      <c r="DE137" s="52">
        <f t="shared" si="121"/>
        <v>0</v>
      </c>
      <c r="DF137" s="52">
        <f t="shared" si="121"/>
        <v>0</v>
      </c>
      <c r="DG137" s="52">
        <f t="shared" si="121"/>
        <v>0</v>
      </c>
      <c r="DH137" s="52">
        <f t="shared" si="121"/>
        <v>0</v>
      </c>
      <c r="DI137" s="52">
        <f t="shared" si="121"/>
        <v>0</v>
      </c>
      <c r="DJ137" s="52">
        <f t="shared" si="121"/>
        <v>0</v>
      </c>
    </row>
    <row r="138" ht="15.75" customHeight="1">
      <c r="B138" s="52" t="s">
        <v>1792</v>
      </c>
      <c r="C138" s="52">
        <v>15.0</v>
      </c>
      <c r="D138" s="52" t="s">
        <v>1788</v>
      </c>
      <c r="E138" s="58"/>
      <c r="F138" s="58"/>
      <c r="G138" s="58"/>
      <c r="H138" s="58"/>
      <c r="I138" s="58"/>
      <c r="J138" s="58"/>
      <c r="K138" s="65">
        <v>0.08</v>
      </c>
      <c r="L138" s="65">
        <v>0.08</v>
      </c>
      <c r="M138" s="65">
        <v>0.07</v>
      </c>
      <c r="N138" s="65">
        <v>0.07</v>
      </c>
      <c r="O138" s="65">
        <v>0.06</v>
      </c>
      <c r="P138" s="65">
        <v>0.06</v>
      </c>
      <c r="Q138" s="65">
        <v>0.05</v>
      </c>
      <c r="R138" s="65">
        <v>0.05</v>
      </c>
      <c r="S138" s="65">
        <v>0.05</v>
      </c>
      <c r="T138" s="65">
        <v>0.04</v>
      </c>
      <c r="U138" s="65">
        <v>0.04</v>
      </c>
      <c r="V138" s="65">
        <v>0.04</v>
      </c>
      <c r="W138" s="65">
        <v>0.04</v>
      </c>
      <c r="X138" s="65">
        <v>0.03</v>
      </c>
      <c r="Y138" s="65">
        <v>0.03</v>
      </c>
      <c r="Z138" s="65">
        <v>0.03</v>
      </c>
      <c r="AA138" s="65">
        <v>0.03</v>
      </c>
      <c r="AB138" s="65">
        <v>0.03</v>
      </c>
      <c r="AC138" s="65">
        <v>0.02</v>
      </c>
      <c r="AD138" s="65">
        <v>0.02</v>
      </c>
      <c r="BY138" s="52">
        <f t="shared" ref="BY138:DJ138" si="122">ROUND($BY31*E138,0)</f>
        <v>0</v>
      </c>
      <c r="BZ138" s="52">
        <f t="shared" si="122"/>
        <v>0</v>
      </c>
      <c r="CA138" s="52">
        <f t="shared" si="122"/>
        <v>0</v>
      </c>
      <c r="CB138" s="52">
        <f t="shared" si="122"/>
        <v>0</v>
      </c>
      <c r="CC138" s="52">
        <f t="shared" si="122"/>
        <v>0</v>
      </c>
      <c r="CD138" s="52">
        <f t="shared" si="122"/>
        <v>0</v>
      </c>
      <c r="CE138" s="52">
        <f t="shared" si="122"/>
        <v>0</v>
      </c>
      <c r="CF138" s="52">
        <f t="shared" si="122"/>
        <v>0</v>
      </c>
      <c r="CG138" s="52">
        <f t="shared" si="122"/>
        <v>0</v>
      </c>
      <c r="CH138" s="52">
        <f t="shared" si="122"/>
        <v>0</v>
      </c>
      <c r="CI138" s="52">
        <f t="shared" si="122"/>
        <v>0</v>
      </c>
      <c r="CJ138" s="52">
        <f t="shared" si="122"/>
        <v>0</v>
      </c>
      <c r="CK138" s="52">
        <f t="shared" si="122"/>
        <v>0</v>
      </c>
      <c r="CL138" s="52">
        <f t="shared" si="122"/>
        <v>0</v>
      </c>
      <c r="CM138" s="52">
        <f t="shared" si="122"/>
        <v>0</v>
      </c>
      <c r="CN138" s="52">
        <f t="shared" si="122"/>
        <v>0</v>
      </c>
      <c r="CO138" s="52">
        <f t="shared" si="122"/>
        <v>0</v>
      </c>
      <c r="CP138" s="52">
        <f t="shared" si="122"/>
        <v>0</v>
      </c>
      <c r="CQ138" s="52">
        <f t="shared" si="122"/>
        <v>0</v>
      </c>
      <c r="CR138" s="52">
        <f t="shared" si="122"/>
        <v>0</v>
      </c>
      <c r="CS138" s="52">
        <f t="shared" si="122"/>
        <v>0</v>
      </c>
      <c r="CT138" s="52">
        <f t="shared" si="122"/>
        <v>0</v>
      </c>
      <c r="CU138" s="52">
        <f t="shared" si="122"/>
        <v>0</v>
      </c>
      <c r="CV138" s="52">
        <f t="shared" si="122"/>
        <v>0</v>
      </c>
      <c r="CW138" s="52">
        <f t="shared" si="122"/>
        <v>0</v>
      </c>
      <c r="CX138" s="52">
        <f t="shared" si="122"/>
        <v>0</v>
      </c>
      <c r="CY138" s="52">
        <f t="shared" si="122"/>
        <v>0</v>
      </c>
      <c r="CZ138" s="52">
        <f t="shared" si="122"/>
        <v>0</v>
      </c>
      <c r="DA138" s="52">
        <f t="shared" si="122"/>
        <v>0</v>
      </c>
      <c r="DB138" s="52">
        <f t="shared" si="122"/>
        <v>0</v>
      </c>
      <c r="DC138" s="52">
        <f t="shared" si="122"/>
        <v>0</v>
      </c>
      <c r="DD138" s="52">
        <f t="shared" si="122"/>
        <v>0</v>
      </c>
      <c r="DE138" s="52">
        <f t="shared" si="122"/>
        <v>0</v>
      </c>
      <c r="DF138" s="52">
        <f t="shared" si="122"/>
        <v>0</v>
      </c>
      <c r="DG138" s="52">
        <f t="shared" si="122"/>
        <v>0</v>
      </c>
      <c r="DH138" s="52">
        <f t="shared" si="122"/>
        <v>0</v>
      </c>
      <c r="DI138" s="52">
        <f t="shared" si="122"/>
        <v>0</v>
      </c>
      <c r="DJ138" s="52">
        <f t="shared" si="122"/>
        <v>0</v>
      </c>
    </row>
    <row r="139" ht="15.75" customHeight="1">
      <c r="B139" s="52" t="s">
        <v>1792</v>
      </c>
      <c r="C139" s="52">
        <v>15.0</v>
      </c>
      <c r="D139" s="52" t="s">
        <v>1789</v>
      </c>
      <c r="E139" s="58"/>
      <c r="F139" s="58"/>
      <c r="G139" s="58"/>
      <c r="H139" s="58"/>
      <c r="I139" s="58"/>
      <c r="J139" s="58"/>
      <c r="K139" s="58"/>
      <c r="L139" s="65">
        <v>0.08</v>
      </c>
      <c r="M139" s="65">
        <v>0.08</v>
      </c>
      <c r="N139" s="65">
        <v>0.07</v>
      </c>
      <c r="O139" s="65">
        <v>0.07</v>
      </c>
      <c r="P139" s="65">
        <v>0.06</v>
      </c>
      <c r="Q139" s="65">
        <v>0.06</v>
      </c>
      <c r="R139" s="65">
        <v>0.05</v>
      </c>
      <c r="S139" s="65">
        <v>0.05</v>
      </c>
      <c r="T139" s="65">
        <v>0.05</v>
      </c>
      <c r="U139" s="65">
        <v>0.04</v>
      </c>
      <c r="V139" s="65">
        <v>0.04</v>
      </c>
      <c r="W139" s="65">
        <v>0.04</v>
      </c>
      <c r="X139" s="65">
        <v>0.04</v>
      </c>
      <c r="Y139" s="65">
        <v>0.03</v>
      </c>
      <c r="Z139" s="65">
        <v>0.03</v>
      </c>
      <c r="AA139" s="65">
        <v>0.03</v>
      </c>
      <c r="AB139" s="65">
        <v>0.03</v>
      </c>
      <c r="AC139" s="65">
        <v>0.03</v>
      </c>
      <c r="AD139" s="65">
        <v>0.02</v>
      </c>
      <c r="BY139" s="52">
        <f t="shared" ref="BY139:DJ139" si="123">ROUND($BY32*E139,0)</f>
        <v>0</v>
      </c>
      <c r="BZ139" s="52">
        <f t="shared" si="123"/>
        <v>0</v>
      </c>
      <c r="CA139" s="52">
        <f t="shared" si="123"/>
        <v>0</v>
      </c>
      <c r="CB139" s="52">
        <f t="shared" si="123"/>
        <v>0</v>
      </c>
      <c r="CC139" s="52">
        <f t="shared" si="123"/>
        <v>0</v>
      </c>
      <c r="CD139" s="52">
        <f t="shared" si="123"/>
        <v>0</v>
      </c>
      <c r="CE139" s="52">
        <f t="shared" si="123"/>
        <v>0</v>
      </c>
      <c r="CF139" s="52">
        <f t="shared" si="123"/>
        <v>1</v>
      </c>
      <c r="CG139" s="52">
        <f t="shared" si="123"/>
        <v>1</v>
      </c>
      <c r="CH139" s="52">
        <f t="shared" si="123"/>
        <v>1</v>
      </c>
      <c r="CI139" s="52">
        <f t="shared" si="123"/>
        <v>1</v>
      </c>
      <c r="CJ139" s="52">
        <f t="shared" si="123"/>
        <v>1</v>
      </c>
      <c r="CK139" s="52">
        <f t="shared" si="123"/>
        <v>1</v>
      </c>
      <c r="CL139" s="52">
        <f t="shared" si="123"/>
        <v>1</v>
      </c>
      <c r="CM139" s="52">
        <f t="shared" si="123"/>
        <v>1</v>
      </c>
      <c r="CN139" s="52">
        <f t="shared" si="123"/>
        <v>1</v>
      </c>
      <c r="CO139" s="52">
        <f t="shared" si="123"/>
        <v>0</v>
      </c>
      <c r="CP139" s="52">
        <f t="shared" si="123"/>
        <v>0</v>
      </c>
      <c r="CQ139" s="52">
        <f t="shared" si="123"/>
        <v>0</v>
      </c>
      <c r="CR139" s="52">
        <f t="shared" si="123"/>
        <v>0</v>
      </c>
      <c r="CS139" s="52">
        <f t="shared" si="123"/>
        <v>0</v>
      </c>
      <c r="CT139" s="52">
        <f t="shared" si="123"/>
        <v>0</v>
      </c>
      <c r="CU139" s="52">
        <f t="shared" si="123"/>
        <v>0</v>
      </c>
      <c r="CV139" s="52">
        <f t="shared" si="123"/>
        <v>0</v>
      </c>
      <c r="CW139" s="52">
        <f t="shared" si="123"/>
        <v>0</v>
      </c>
      <c r="CX139" s="52">
        <f t="shared" si="123"/>
        <v>0</v>
      </c>
      <c r="CY139" s="52">
        <f t="shared" si="123"/>
        <v>0</v>
      </c>
      <c r="CZ139" s="52">
        <f t="shared" si="123"/>
        <v>0</v>
      </c>
      <c r="DA139" s="52">
        <f t="shared" si="123"/>
        <v>0</v>
      </c>
      <c r="DB139" s="52">
        <f t="shared" si="123"/>
        <v>0</v>
      </c>
      <c r="DC139" s="52">
        <f t="shared" si="123"/>
        <v>0</v>
      </c>
      <c r="DD139" s="52">
        <f t="shared" si="123"/>
        <v>0</v>
      </c>
      <c r="DE139" s="52">
        <f t="shared" si="123"/>
        <v>0</v>
      </c>
      <c r="DF139" s="52">
        <f t="shared" si="123"/>
        <v>0</v>
      </c>
      <c r="DG139" s="52">
        <f t="shared" si="123"/>
        <v>0</v>
      </c>
      <c r="DH139" s="52">
        <f t="shared" si="123"/>
        <v>0</v>
      </c>
      <c r="DI139" s="52">
        <f t="shared" si="123"/>
        <v>0</v>
      </c>
      <c r="DJ139" s="52">
        <f t="shared" si="123"/>
        <v>0</v>
      </c>
    </row>
    <row r="140" ht="15.75" customHeight="1">
      <c r="B140" s="52" t="s">
        <v>1792</v>
      </c>
      <c r="C140" s="52">
        <v>15.0</v>
      </c>
      <c r="D140" s="52" t="s">
        <v>1790</v>
      </c>
      <c r="E140" s="58"/>
      <c r="F140" s="58"/>
      <c r="G140" s="58"/>
      <c r="H140" s="58"/>
      <c r="I140" s="58"/>
      <c r="J140" s="58"/>
      <c r="K140" s="58"/>
      <c r="L140" s="58"/>
      <c r="M140" s="58"/>
      <c r="N140" s="65">
        <v>0.08</v>
      </c>
      <c r="O140" s="65">
        <v>0.08</v>
      </c>
      <c r="P140" s="65">
        <v>0.07</v>
      </c>
      <c r="Q140" s="65">
        <v>0.07</v>
      </c>
      <c r="R140" s="65">
        <v>0.06</v>
      </c>
      <c r="S140" s="65">
        <v>0.06</v>
      </c>
      <c r="T140" s="65">
        <v>0.05</v>
      </c>
      <c r="U140" s="65">
        <v>0.05</v>
      </c>
      <c r="V140" s="65">
        <v>0.05</v>
      </c>
      <c r="W140" s="65">
        <v>0.04</v>
      </c>
      <c r="X140" s="65">
        <v>0.04</v>
      </c>
      <c r="Y140" s="65">
        <v>0.04</v>
      </c>
      <c r="Z140" s="65">
        <v>0.04</v>
      </c>
      <c r="AA140" s="65">
        <v>0.03</v>
      </c>
      <c r="AB140" s="65">
        <v>0.03</v>
      </c>
      <c r="AC140" s="65">
        <v>0.03</v>
      </c>
      <c r="AD140" s="65">
        <v>0.03</v>
      </c>
      <c r="BY140" s="52">
        <f t="shared" ref="BY140:DJ140" si="124">ROUND($BY33*E140,0)</f>
        <v>0</v>
      </c>
      <c r="BZ140" s="52">
        <f t="shared" si="124"/>
        <v>0</v>
      </c>
      <c r="CA140" s="52">
        <f t="shared" si="124"/>
        <v>0</v>
      </c>
      <c r="CB140" s="52">
        <f t="shared" si="124"/>
        <v>0</v>
      </c>
      <c r="CC140" s="52">
        <f t="shared" si="124"/>
        <v>0</v>
      </c>
      <c r="CD140" s="52">
        <f t="shared" si="124"/>
        <v>0</v>
      </c>
      <c r="CE140" s="52">
        <f t="shared" si="124"/>
        <v>0</v>
      </c>
      <c r="CF140" s="52">
        <f t="shared" si="124"/>
        <v>0</v>
      </c>
      <c r="CG140" s="52">
        <f t="shared" si="124"/>
        <v>0</v>
      </c>
      <c r="CH140" s="52">
        <f t="shared" si="124"/>
        <v>1</v>
      </c>
      <c r="CI140" s="52">
        <f t="shared" si="124"/>
        <v>1</v>
      </c>
      <c r="CJ140" s="52">
        <f t="shared" si="124"/>
        <v>1</v>
      </c>
      <c r="CK140" s="52">
        <f t="shared" si="124"/>
        <v>1</v>
      </c>
      <c r="CL140" s="52">
        <f t="shared" si="124"/>
        <v>1</v>
      </c>
      <c r="CM140" s="52">
        <f t="shared" si="124"/>
        <v>1</v>
      </c>
      <c r="CN140" s="52">
        <f t="shared" si="124"/>
        <v>1</v>
      </c>
      <c r="CO140" s="52">
        <f t="shared" si="124"/>
        <v>1</v>
      </c>
      <c r="CP140" s="52">
        <f t="shared" si="124"/>
        <v>1</v>
      </c>
      <c r="CQ140" s="52">
        <f t="shared" si="124"/>
        <v>1</v>
      </c>
      <c r="CR140" s="52">
        <f t="shared" si="124"/>
        <v>1</v>
      </c>
      <c r="CS140" s="52">
        <f t="shared" si="124"/>
        <v>1</v>
      </c>
      <c r="CT140" s="52">
        <f t="shared" si="124"/>
        <v>1</v>
      </c>
      <c r="CU140" s="52">
        <f t="shared" si="124"/>
        <v>0</v>
      </c>
      <c r="CV140" s="52">
        <f t="shared" si="124"/>
        <v>0</v>
      </c>
      <c r="CW140" s="52">
        <f t="shared" si="124"/>
        <v>0</v>
      </c>
      <c r="CX140" s="52">
        <f t="shared" si="124"/>
        <v>0</v>
      </c>
      <c r="CY140" s="52">
        <f t="shared" si="124"/>
        <v>0</v>
      </c>
      <c r="CZ140" s="52">
        <f t="shared" si="124"/>
        <v>0</v>
      </c>
      <c r="DA140" s="52">
        <f t="shared" si="124"/>
        <v>0</v>
      </c>
      <c r="DB140" s="52">
        <f t="shared" si="124"/>
        <v>0</v>
      </c>
      <c r="DC140" s="52">
        <f t="shared" si="124"/>
        <v>0</v>
      </c>
      <c r="DD140" s="52">
        <f t="shared" si="124"/>
        <v>0</v>
      </c>
      <c r="DE140" s="52">
        <f t="shared" si="124"/>
        <v>0</v>
      </c>
      <c r="DF140" s="52">
        <f t="shared" si="124"/>
        <v>0</v>
      </c>
      <c r="DG140" s="52">
        <f t="shared" si="124"/>
        <v>0</v>
      </c>
      <c r="DH140" s="52">
        <f t="shared" si="124"/>
        <v>0</v>
      </c>
      <c r="DI140" s="52">
        <f t="shared" si="124"/>
        <v>0</v>
      </c>
      <c r="DJ140" s="52">
        <f t="shared" si="124"/>
        <v>0</v>
      </c>
    </row>
    <row r="141" ht="15.75" customHeight="1">
      <c r="B141" s="52" t="s">
        <v>1792</v>
      </c>
      <c r="C141" s="52">
        <v>16.0</v>
      </c>
      <c r="D141" s="52">
        <v>0.0</v>
      </c>
      <c r="E141" s="65">
        <v>0.07</v>
      </c>
      <c r="F141" s="65">
        <v>0.07</v>
      </c>
      <c r="G141" s="65">
        <v>0.07</v>
      </c>
      <c r="H141" s="65">
        <v>0.07</v>
      </c>
      <c r="I141" s="65">
        <v>0.07</v>
      </c>
      <c r="J141" s="65">
        <v>0.07</v>
      </c>
      <c r="K141" s="65">
        <v>0.07</v>
      </c>
      <c r="L141" s="65">
        <v>0.07</v>
      </c>
      <c r="M141" s="65">
        <v>0.07</v>
      </c>
      <c r="N141" s="65">
        <v>0.03</v>
      </c>
      <c r="O141" s="65">
        <v>0.03</v>
      </c>
      <c r="P141" s="65">
        <v>0.03</v>
      </c>
      <c r="Q141" s="65">
        <v>0.03</v>
      </c>
      <c r="R141" s="65">
        <v>0.03</v>
      </c>
      <c r="S141" s="65">
        <v>0.03</v>
      </c>
      <c r="T141" s="65">
        <v>0.03</v>
      </c>
      <c r="U141" s="65">
        <v>0.02</v>
      </c>
      <c r="V141" s="65">
        <v>0.02</v>
      </c>
      <c r="W141" s="65">
        <v>0.02</v>
      </c>
      <c r="X141" s="65">
        <v>0.02</v>
      </c>
      <c r="Y141" s="65">
        <v>0.02</v>
      </c>
      <c r="Z141" s="65">
        <v>0.02</v>
      </c>
      <c r="AA141" s="65">
        <v>0.02</v>
      </c>
      <c r="AB141" s="65">
        <v>0.02</v>
      </c>
      <c r="AC141" s="58"/>
      <c r="AD141" s="58"/>
      <c r="BZ141" s="52">
        <f t="shared" ref="BZ141:DJ141" si="125">ROUND($BZ27*E141,0)</f>
        <v>21</v>
      </c>
      <c r="CA141" s="52">
        <f t="shared" si="125"/>
        <v>21</v>
      </c>
      <c r="CB141" s="52">
        <f t="shared" si="125"/>
        <v>21</v>
      </c>
      <c r="CC141" s="52">
        <f t="shared" si="125"/>
        <v>21</v>
      </c>
      <c r="CD141" s="52">
        <f t="shared" si="125"/>
        <v>21</v>
      </c>
      <c r="CE141" s="52">
        <f t="shared" si="125"/>
        <v>21</v>
      </c>
      <c r="CF141" s="52">
        <f t="shared" si="125"/>
        <v>21</v>
      </c>
      <c r="CG141" s="52">
        <f t="shared" si="125"/>
        <v>21</v>
      </c>
      <c r="CH141" s="52">
        <f t="shared" si="125"/>
        <v>21</v>
      </c>
      <c r="CI141" s="52">
        <f t="shared" si="125"/>
        <v>9</v>
      </c>
      <c r="CJ141" s="52">
        <f t="shared" si="125"/>
        <v>9</v>
      </c>
      <c r="CK141" s="52">
        <f t="shared" si="125"/>
        <v>9</v>
      </c>
      <c r="CL141" s="52">
        <f t="shared" si="125"/>
        <v>9</v>
      </c>
      <c r="CM141" s="52">
        <f t="shared" si="125"/>
        <v>9</v>
      </c>
      <c r="CN141" s="52">
        <f t="shared" si="125"/>
        <v>9</v>
      </c>
      <c r="CO141" s="52">
        <f t="shared" si="125"/>
        <v>9</v>
      </c>
      <c r="CP141" s="52">
        <f t="shared" si="125"/>
        <v>6</v>
      </c>
      <c r="CQ141" s="52">
        <f t="shared" si="125"/>
        <v>6</v>
      </c>
      <c r="CR141" s="52">
        <f t="shared" si="125"/>
        <v>6</v>
      </c>
      <c r="CS141" s="52">
        <f t="shared" si="125"/>
        <v>6</v>
      </c>
      <c r="CT141" s="52">
        <f t="shared" si="125"/>
        <v>6</v>
      </c>
      <c r="CU141" s="52">
        <f t="shared" si="125"/>
        <v>6</v>
      </c>
      <c r="CV141" s="52">
        <f t="shared" si="125"/>
        <v>6</v>
      </c>
      <c r="CW141" s="52">
        <f t="shared" si="125"/>
        <v>6</v>
      </c>
      <c r="CX141" s="52">
        <f t="shared" si="125"/>
        <v>0</v>
      </c>
      <c r="CY141" s="52">
        <f t="shared" si="125"/>
        <v>0</v>
      </c>
      <c r="CZ141" s="52">
        <f t="shared" si="125"/>
        <v>0</v>
      </c>
      <c r="DA141" s="52">
        <f t="shared" si="125"/>
        <v>0</v>
      </c>
      <c r="DB141" s="52">
        <f t="shared" si="125"/>
        <v>0</v>
      </c>
      <c r="DC141" s="52">
        <f t="shared" si="125"/>
        <v>0</v>
      </c>
      <c r="DD141" s="52">
        <f t="shared" si="125"/>
        <v>0</v>
      </c>
      <c r="DE141" s="52">
        <f t="shared" si="125"/>
        <v>0</v>
      </c>
      <c r="DF141" s="52">
        <f t="shared" si="125"/>
        <v>0</v>
      </c>
      <c r="DG141" s="52">
        <f t="shared" si="125"/>
        <v>0</v>
      </c>
      <c r="DH141" s="52">
        <f t="shared" si="125"/>
        <v>0</v>
      </c>
      <c r="DI141" s="52">
        <f t="shared" si="125"/>
        <v>0</v>
      </c>
      <c r="DJ141" s="52">
        <f t="shared" si="125"/>
        <v>0</v>
      </c>
    </row>
    <row r="142" ht="15.75" customHeight="1">
      <c r="B142" s="52" t="s">
        <v>1792</v>
      </c>
      <c r="C142" s="52">
        <v>16.0</v>
      </c>
      <c r="D142" s="52" t="s">
        <v>1785</v>
      </c>
      <c r="E142" s="65">
        <v>0.02</v>
      </c>
      <c r="F142" s="65">
        <v>0.02</v>
      </c>
      <c r="G142" s="65">
        <v>0.02</v>
      </c>
      <c r="H142" s="65">
        <v>0.02</v>
      </c>
      <c r="I142" s="65">
        <v>0.08</v>
      </c>
      <c r="J142" s="65">
        <v>0.08</v>
      </c>
      <c r="K142" s="65">
        <v>0.07</v>
      </c>
      <c r="L142" s="65">
        <v>0.07</v>
      </c>
      <c r="M142" s="65">
        <v>0.06</v>
      </c>
      <c r="N142" s="65">
        <v>0.06</v>
      </c>
      <c r="O142" s="65">
        <v>0.05</v>
      </c>
      <c r="P142" s="65">
        <v>0.05</v>
      </c>
      <c r="Q142" s="65">
        <v>0.05</v>
      </c>
      <c r="R142" s="65">
        <v>0.04</v>
      </c>
      <c r="S142" s="65">
        <v>0.04</v>
      </c>
      <c r="T142" s="65">
        <v>0.04</v>
      </c>
      <c r="U142" s="65">
        <v>0.04</v>
      </c>
      <c r="V142" s="65">
        <v>0.03</v>
      </c>
      <c r="W142" s="65">
        <v>0.03</v>
      </c>
      <c r="X142" s="65">
        <v>0.03</v>
      </c>
      <c r="Y142" s="65">
        <v>0.03</v>
      </c>
      <c r="Z142" s="65">
        <v>0.03</v>
      </c>
      <c r="AA142" s="65">
        <v>0.02</v>
      </c>
      <c r="AB142" s="65">
        <v>0.02</v>
      </c>
      <c r="AC142" s="58"/>
      <c r="AD142" s="58"/>
      <c r="BZ142" s="52">
        <f t="shared" ref="BZ142:DJ142" si="126">ROUND($BZ28*E142,0)</f>
        <v>1</v>
      </c>
      <c r="CA142" s="52">
        <f t="shared" si="126"/>
        <v>1</v>
      </c>
      <c r="CB142" s="52">
        <f t="shared" si="126"/>
        <v>1</v>
      </c>
      <c r="CC142" s="52">
        <f t="shared" si="126"/>
        <v>1</v>
      </c>
      <c r="CD142" s="52">
        <f t="shared" si="126"/>
        <v>2</v>
      </c>
      <c r="CE142" s="52">
        <f t="shared" si="126"/>
        <v>2</v>
      </c>
      <c r="CF142" s="52">
        <f t="shared" si="126"/>
        <v>2</v>
      </c>
      <c r="CG142" s="52">
        <f t="shared" si="126"/>
        <v>2</v>
      </c>
      <c r="CH142" s="52">
        <f t="shared" si="126"/>
        <v>2</v>
      </c>
      <c r="CI142" s="52">
        <f t="shared" si="126"/>
        <v>2</v>
      </c>
      <c r="CJ142" s="52">
        <f t="shared" si="126"/>
        <v>2</v>
      </c>
      <c r="CK142" s="52">
        <f t="shared" si="126"/>
        <v>2</v>
      </c>
      <c r="CL142" s="52">
        <f t="shared" si="126"/>
        <v>2</v>
      </c>
      <c r="CM142" s="52">
        <f t="shared" si="126"/>
        <v>1</v>
      </c>
      <c r="CN142" s="52">
        <f t="shared" si="126"/>
        <v>1</v>
      </c>
      <c r="CO142" s="52">
        <f t="shared" si="126"/>
        <v>1</v>
      </c>
      <c r="CP142" s="52">
        <f t="shared" si="126"/>
        <v>1</v>
      </c>
      <c r="CQ142" s="52">
        <f t="shared" si="126"/>
        <v>1</v>
      </c>
      <c r="CR142" s="52">
        <f t="shared" si="126"/>
        <v>1</v>
      </c>
      <c r="CS142" s="52">
        <f t="shared" si="126"/>
        <v>1</v>
      </c>
      <c r="CT142" s="52">
        <f t="shared" si="126"/>
        <v>1</v>
      </c>
      <c r="CU142" s="52">
        <f t="shared" si="126"/>
        <v>1</v>
      </c>
      <c r="CV142" s="52">
        <f t="shared" si="126"/>
        <v>1</v>
      </c>
      <c r="CW142" s="52">
        <f t="shared" si="126"/>
        <v>1</v>
      </c>
      <c r="CX142" s="52">
        <f t="shared" si="126"/>
        <v>0</v>
      </c>
      <c r="CY142" s="52">
        <f t="shared" si="126"/>
        <v>0</v>
      </c>
      <c r="CZ142" s="52">
        <f t="shared" si="126"/>
        <v>0</v>
      </c>
      <c r="DA142" s="52">
        <f t="shared" si="126"/>
        <v>0</v>
      </c>
      <c r="DB142" s="52">
        <f t="shared" si="126"/>
        <v>0</v>
      </c>
      <c r="DC142" s="52">
        <f t="shared" si="126"/>
        <v>0</v>
      </c>
      <c r="DD142" s="52">
        <f t="shared" si="126"/>
        <v>0</v>
      </c>
      <c r="DE142" s="52">
        <f t="shared" si="126"/>
        <v>0</v>
      </c>
      <c r="DF142" s="52">
        <f t="shared" si="126"/>
        <v>0</v>
      </c>
      <c r="DG142" s="52">
        <f t="shared" si="126"/>
        <v>0</v>
      </c>
      <c r="DH142" s="52">
        <f t="shared" si="126"/>
        <v>0</v>
      </c>
      <c r="DI142" s="52">
        <f t="shared" si="126"/>
        <v>0</v>
      </c>
      <c r="DJ142" s="52">
        <f t="shared" si="126"/>
        <v>0</v>
      </c>
    </row>
    <row r="143" ht="15.75" customHeight="1">
      <c r="B143" s="52" t="s">
        <v>1792</v>
      </c>
      <c r="C143" s="52">
        <v>16.0</v>
      </c>
      <c r="D143" s="52" t="s">
        <v>1786</v>
      </c>
      <c r="E143" s="58"/>
      <c r="F143" s="58"/>
      <c r="G143" s="58"/>
      <c r="H143" s="65">
        <v>0.08</v>
      </c>
      <c r="I143" s="65">
        <v>0.08</v>
      </c>
      <c r="J143" s="65">
        <v>0.07</v>
      </c>
      <c r="K143" s="65">
        <v>0.07</v>
      </c>
      <c r="L143" s="65">
        <v>0.06</v>
      </c>
      <c r="M143" s="65">
        <v>0.06</v>
      </c>
      <c r="N143" s="65">
        <v>0.05</v>
      </c>
      <c r="O143" s="65">
        <v>0.05</v>
      </c>
      <c r="P143" s="65">
        <v>0.05</v>
      </c>
      <c r="Q143" s="65">
        <v>0.04</v>
      </c>
      <c r="R143" s="65">
        <v>0.04</v>
      </c>
      <c r="S143" s="65">
        <v>0.04</v>
      </c>
      <c r="T143" s="65">
        <v>0.04</v>
      </c>
      <c r="U143" s="65">
        <v>0.03</v>
      </c>
      <c r="V143" s="65">
        <v>0.03</v>
      </c>
      <c r="W143" s="65">
        <v>0.03</v>
      </c>
      <c r="X143" s="65">
        <v>0.03</v>
      </c>
      <c r="Y143" s="65">
        <v>0.03</v>
      </c>
      <c r="Z143" s="65">
        <v>0.02</v>
      </c>
      <c r="AA143" s="65">
        <v>0.02</v>
      </c>
      <c r="AB143" s="65">
        <v>0.03</v>
      </c>
      <c r="AC143" s="65">
        <v>0.03</v>
      </c>
      <c r="AD143" s="65">
        <v>0.02</v>
      </c>
      <c r="BZ143" s="52">
        <f t="shared" ref="BZ143:DJ143" si="127">ROUND($BZ29*E143,0)</f>
        <v>0</v>
      </c>
      <c r="CA143" s="52">
        <f t="shared" si="127"/>
        <v>0</v>
      </c>
      <c r="CB143" s="52">
        <f t="shared" si="127"/>
        <v>0</v>
      </c>
      <c r="CC143" s="52">
        <f t="shared" si="127"/>
        <v>4</v>
      </c>
      <c r="CD143" s="52">
        <f t="shared" si="127"/>
        <v>4</v>
      </c>
      <c r="CE143" s="52">
        <f t="shared" si="127"/>
        <v>4</v>
      </c>
      <c r="CF143" s="52">
        <f t="shared" si="127"/>
        <v>4</v>
      </c>
      <c r="CG143" s="52">
        <f t="shared" si="127"/>
        <v>3</v>
      </c>
      <c r="CH143" s="52">
        <f t="shared" si="127"/>
        <v>3</v>
      </c>
      <c r="CI143" s="52">
        <f t="shared" si="127"/>
        <v>3</v>
      </c>
      <c r="CJ143" s="52">
        <f t="shared" si="127"/>
        <v>3</v>
      </c>
      <c r="CK143" s="52">
        <f t="shared" si="127"/>
        <v>3</v>
      </c>
      <c r="CL143" s="52">
        <f t="shared" si="127"/>
        <v>2</v>
      </c>
      <c r="CM143" s="52">
        <f t="shared" si="127"/>
        <v>2</v>
      </c>
      <c r="CN143" s="52">
        <f t="shared" si="127"/>
        <v>2</v>
      </c>
      <c r="CO143" s="52">
        <f t="shared" si="127"/>
        <v>2</v>
      </c>
      <c r="CP143" s="52">
        <f t="shared" si="127"/>
        <v>2</v>
      </c>
      <c r="CQ143" s="52">
        <f t="shared" si="127"/>
        <v>2</v>
      </c>
      <c r="CR143" s="52">
        <f t="shared" si="127"/>
        <v>2</v>
      </c>
      <c r="CS143" s="52">
        <f t="shared" si="127"/>
        <v>2</v>
      </c>
      <c r="CT143" s="52">
        <f t="shared" si="127"/>
        <v>2</v>
      </c>
      <c r="CU143" s="52">
        <f t="shared" si="127"/>
        <v>1</v>
      </c>
      <c r="CV143" s="52">
        <f t="shared" si="127"/>
        <v>1</v>
      </c>
      <c r="CW143" s="52">
        <f t="shared" si="127"/>
        <v>2</v>
      </c>
      <c r="CX143" s="52">
        <f t="shared" si="127"/>
        <v>2</v>
      </c>
      <c r="CY143" s="52">
        <f t="shared" si="127"/>
        <v>1</v>
      </c>
      <c r="CZ143" s="52">
        <f t="shared" si="127"/>
        <v>0</v>
      </c>
      <c r="DA143" s="52">
        <f t="shared" si="127"/>
        <v>0</v>
      </c>
      <c r="DB143" s="52">
        <f t="shared" si="127"/>
        <v>0</v>
      </c>
      <c r="DC143" s="52">
        <f t="shared" si="127"/>
        <v>0</v>
      </c>
      <c r="DD143" s="52">
        <f t="shared" si="127"/>
        <v>0</v>
      </c>
      <c r="DE143" s="52">
        <f t="shared" si="127"/>
        <v>0</v>
      </c>
      <c r="DF143" s="52">
        <f t="shared" si="127"/>
        <v>0</v>
      </c>
      <c r="DG143" s="52">
        <f t="shared" si="127"/>
        <v>0</v>
      </c>
      <c r="DH143" s="52">
        <f t="shared" si="127"/>
        <v>0</v>
      </c>
      <c r="DI143" s="52">
        <f t="shared" si="127"/>
        <v>0</v>
      </c>
      <c r="DJ143" s="52">
        <f t="shared" si="127"/>
        <v>0</v>
      </c>
    </row>
    <row r="144" ht="15.75" customHeight="1">
      <c r="B144" s="52" t="s">
        <v>1792</v>
      </c>
      <c r="C144" s="52">
        <v>16.0</v>
      </c>
      <c r="D144" s="52" t="s">
        <v>1787</v>
      </c>
      <c r="E144" s="58"/>
      <c r="F144" s="58"/>
      <c r="G144" s="58"/>
      <c r="H144" s="58"/>
      <c r="I144" s="58"/>
      <c r="J144" s="65">
        <v>0.08</v>
      </c>
      <c r="K144" s="65">
        <v>0.08</v>
      </c>
      <c r="L144" s="65">
        <v>0.07</v>
      </c>
      <c r="M144" s="65">
        <v>0.07</v>
      </c>
      <c r="N144" s="65">
        <v>0.06</v>
      </c>
      <c r="O144" s="65">
        <v>0.06</v>
      </c>
      <c r="P144" s="65">
        <v>0.05</v>
      </c>
      <c r="Q144" s="65">
        <v>0.05</v>
      </c>
      <c r="R144" s="65">
        <v>0.05</v>
      </c>
      <c r="S144" s="65">
        <v>0.04</v>
      </c>
      <c r="T144" s="65">
        <v>0.04</v>
      </c>
      <c r="U144" s="65">
        <v>0.04</v>
      </c>
      <c r="V144" s="65">
        <v>0.04</v>
      </c>
      <c r="W144" s="65">
        <v>0.03</v>
      </c>
      <c r="X144" s="65">
        <v>0.03</v>
      </c>
      <c r="Y144" s="65">
        <v>0.03</v>
      </c>
      <c r="Z144" s="65">
        <v>0.03</v>
      </c>
      <c r="AA144" s="65">
        <v>0.03</v>
      </c>
      <c r="AB144" s="65">
        <v>0.02</v>
      </c>
      <c r="AC144" s="65">
        <v>0.02</v>
      </c>
      <c r="AD144" s="65">
        <v>0.03</v>
      </c>
      <c r="BZ144" s="52">
        <f t="shared" ref="BZ144:DJ144" si="128">ROUND($BZ30*E144,0)</f>
        <v>0</v>
      </c>
      <c r="CA144" s="52">
        <f t="shared" si="128"/>
        <v>0</v>
      </c>
      <c r="CB144" s="52">
        <f t="shared" si="128"/>
        <v>0</v>
      </c>
      <c r="CC144" s="52">
        <f t="shared" si="128"/>
        <v>0</v>
      </c>
      <c r="CD144" s="52">
        <f t="shared" si="128"/>
        <v>0</v>
      </c>
      <c r="CE144" s="52">
        <f t="shared" si="128"/>
        <v>1</v>
      </c>
      <c r="CF144" s="52">
        <f t="shared" si="128"/>
        <v>1</v>
      </c>
      <c r="CG144" s="52">
        <f t="shared" si="128"/>
        <v>1</v>
      </c>
      <c r="CH144" s="52">
        <f t="shared" si="128"/>
        <v>1</v>
      </c>
      <c r="CI144" s="52">
        <f t="shared" si="128"/>
        <v>1</v>
      </c>
      <c r="CJ144" s="52">
        <f t="shared" si="128"/>
        <v>1</v>
      </c>
      <c r="CK144" s="52">
        <f t="shared" si="128"/>
        <v>1</v>
      </c>
      <c r="CL144" s="52">
        <f t="shared" si="128"/>
        <v>1</v>
      </c>
      <c r="CM144" s="52">
        <f t="shared" si="128"/>
        <v>1</v>
      </c>
      <c r="CN144" s="52">
        <f t="shared" si="128"/>
        <v>0</v>
      </c>
      <c r="CO144" s="52">
        <f t="shared" si="128"/>
        <v>0</v>
      </c>
      <c r="CP144" s="52">
        <f t="shared" si="128"/>
        <v>0</v>
      </c>
      <c r="CQ144" s="52">
        <f t="shared" si="128"/>
        <v>0</v>
      </c>
      <c r="CR144" s="52">
        <f t="shared" si="128"/>
        <v>0</v>
      </c>
      <c r="CS144" s="52">
        <f t="shared" si="128"/>
        <v>0</v>
      </c>
      <c r="CT144" s="52">
        <f t="shared" si="128"/>
        <v>0</v>
      </c>
      <c r="CU144" s="52">
        <f t="shared" si="128"/>
        <v>0</v>
      </c>
      <c r="CV144" s="52">
        <f t="shared" si="128"/>
        <v>0</v>
      </c>
      <c r="CW144" s="52">
        <f t="shared" si="128"/>
        <v>0</v>
      </c>
      <c r="CX144" s="52">
        <f t="shared" si="128"/>
        <v>0</v>
      </c>
      <c r="CY144" s="52">
        <f t="shared" si="128"/>
        <v>0</v>
      </c>
      <c r="CZ144" s="52">
        <f t="shared" si="128"/>
        <v>0</v>
      </c>
      <c r="DA144" s="52">
        <f t="shared" si="128"/>
        <v>0</v>
      </c>
      <c r="DB144" s="52">
        <f t="shared" si="128"/>
        <v>0</v>
      </c>
      <c r="DC144" s="52">
        <f t="shared" si="128"/>
        <v>0</v>
      </c>
      <c r="DD144" s="52">
        <f t="shared" si="128"/>
        <v>0</v>
      </c>
      <c r="DE144" s="52">
        <f t="shared" si="128"/>
        <v>0</v>
      </c>
      <c r="DF144" s="52">
        <f t="shared" si="128"/>
        <v>0</v>
      </c>
      <c r="DG144" s="52">
        <f t="shared" si="128"/>
        <v>0</v>
      </c>
      <c r="DH144" s="52">
        <f t="shared" si="128"/>
        <v>0</v>
      </c>
      <c r="DI144" s="52">
        <f t="shared" si="128"/>
        <v>0</v>
      </c>
      <c r="DJ144" s="52">
        <f t="shared" si="128"/>
        <v>0</v>
      </c>
    </row>
    <row r="145" ht="15.75" customHeight="1">
      <c r="B145" s="52" t="s">
        <v>1792</v>
      </c>
      <c r="C145" s="52">
        <v>16.0</v>
      </c>
      <c r="D145" s="52" t="s">
        <v>1788</v>
      </c>
      <c r="E145" s="58"/>
      <c r="F145" s="58"/>
      <c r="G145" s="58"/>
      <c r="H145" s="58"/>
      <c r="I145" s="58"/>
      <c r="J145" s="58"/>
      <c r="K145" s="65">
        <v>0.08</v>
      </c>
      <c r="L145" s="65">
        <v>0.08</v>
      </c>
      <c r="M145" s="65">
        <v>0.07</v>
      </c>
      <c r="N145" s="65">
        <v>0.07</v>
      </c>
      <c r="O145" s="65">
        <v>0.06</v>
      </c>
      <c r="P145" s="65">
        <v>0.06</v>
      </c>
      <c r="Q145" s="65">
        <v>0.05</v>
      </c>
      <c r="R145" s="65">
        <v>0.05</v>
      </c>
      <c r="S145" s="65">
        <v>0.05</v>
      </c>
      <c r="T145" s="65">
        <v>0.04</v>
      </c>
      <c r="U145" s="65">
        <v>0.04</v>
      </c>
      <c r="V145" s="65">
        <v>0.04</v>
      </c>
      <c r="W145" s="65">
        <v>0.04</v>
      </c>
      <c r="X145" s="65">
        <v>0.03</v>
      </c>
      <c r="Y145" s="65">
        <v>0.03</v>
      </c>
      <c r="Z145" s="65">
        <v>0.03</v>
      </c>
      <c r="AA145" s="65">
        <v>0.03</v>
      </c>
      <c r="AB145" s="65">
        <v>0.03</v>
      </c>
      <c r="AC145" s="65">
        <v>0.02</v>
      </c>
      <c r="AD145" s="65">
        <v>0.02</v>
      </c>
      <c r="BZ145" s="52">
        <f t="shared" ref="BZ145:DJ145" si="129">ROUND($BZ31*E145,0)</f>
        <v>0</v>
      </c>
      <c r="CA145" s="52">
        <f t="shared" si="129"/>
        <v>0</v>
      </c>
      <c r="CB145" s="52">
        <f t="shared" si="129"/>
        <v>0</v>
      </c>
      <c r="CC145" s="52">
        <f t="shared" si="129"/>
        <v>0</v>
      </c>
      <c r="CD145" s="52">
        <f t="shared" si="129"/>
        <v>0</v>
      </c>
      <c r="CE145" s="52">
        <f t="shared" si="129"/>
        <v>0</v>
      </c>
      <c r="CF145" s="52">
        <f t="shared" si="129"/>
        <v>1</v>
      </c>
      <c r="CG145" s="52">
        <f t="shared" si="129"/>
        <v>1</v>
      </c>
      <c r="CH145" s="52">
        <f t="shared" si="129"/>
        <v>1</v>
      </c>
      <c r="CI145" s="52">
        <f t="shared" si="129"/>
        <v>1</v>
      </c>
      <c r="CJ145" s="52">
        <f t="shared" si="129"/>
        <v>0</v>
      </c>
      <c r="CK145" s="52">
        <f t="shared" si="129"/>
        <v>0</v>
      </c>
      <c r="CL145" s="52">
        <f t="shared" si="129"/>
        <v>0</v>
      </c>
      <c r="CM145" s="52">
        <f t="shared" si="129"/>
        <v>0</v>
      </c>
      <c r="CN145" s="52">
        <f t="shared" si="129"/>
        <v>0</v>
      </c>
      <c r="CO145" s="52">
        <f t="shared" si="129"/>
        <v>0</v>
      </c>
      <c r="CP145" s="52">
        <f t="shared" si="129"/>
        <v>0</v>
      </c>
      <c r="CQ145" s="52">
        <f t="shared" si="129"/>
        <v>0</v>
      </c>
      <c r="CR145" s="52">
        <f t="shared" si="129"/>
        <v>0</v>
      </c>
      <c r="CS145" s="52">
        <f t="shared" si="129"/>
        <v>0</v>
      </c>
      <c r="CT145" s="52">
        <f t="shared" si="129"/>
        <v>0</v>
      </c>
      <c r="CU145" s="52">
        <f t="shared" si="129"/>
        <v>0</v>
      </c>
      <c r="CV145" s="52">
        <f t="shared" si="129"/>
        <v>0</v>
      </c>
      <c r="CW145" s="52">
        <f t="shared" si="129"/>
        <v>0</v>
      </c>
      <c r="CX145" s="52">
        <f t="shared" si="129"/>
        <v>0</v>
      </c>
      <c r="CY145" s="52">
        <f t="shared" si="129"/>
        <v>0</v>
      </c>
      <c r="CZ145" s="52">
        <f t="shared" si="129"/>
        <v>0</v>
      </c>
      <c r="DA145" s="52">
        <f t="shared" si="129"/>
        <v>0</v>
      </c>
      <c r="DB145" s="52">
        <f t="shared" si="129"/>
        <v>0</v>
      </c>
      <c r="DC145" s="52">
        <f t="shared" si="129"/>
        <v>0</v>
      </c>
      <c r="DD145" s="52">
        <f t="shared" si="129"/>
        <v>0</v>
      </c>
      <c r="DE145" s="52">
        <f t="shared" si="129"/>
        <v>0</v>
      </c>
      <c r="DF145" s="52">
        <f t="shared" si="129"/>
        <v>0</v>
      </c>
      <c r="DG145" s="52">
        <f t="shared" si="129"/>
        <v>0</v>
      </c>
      <c r="DH145" s="52">
        <f t="shared" si="129"/>
        <v>0</v>
      </c>
      <c r="DI145" s="52">
        <f t="shared" si="129"/>
        <v>0</v>
      </c>
      <c r="DJ145" s="52">
        <f t="shared" si="129"/>
        <v>0</v>
      </c>
    </row>
    <row r="146" ht="15.75" customHeight="1">
      <c r="B146" s="52" t="s">
        <v>1792</v>
      </c>
      <c r="C146" s="52">
        <v>16.0</v>
      </c>
      <c r="D146" s="52" t="s">
        <v>1789</v>
      </c>
      <c r="E146" s="58"/>
      <c r="F146" s="58"/>
      <c r="G146" s="58"/>
      <c r="H146" s="58"/>
      <c r="I146" s="58"/>
      <c r="J146" s="58"/>
      <c r="K146" s="58"/>
      <c r="L146" s="65">
        <v>0.08</v>
      </c>
      <c r="M146" s="65">
        <v>0.08</v>
      </c>
      <c r="N146" s="65">
        <v>0.07</v>
      </c>
      <c r="O146" s="65">
        <v>0.07</v>
      </c>
      <c r="P146" s="65">
        <v>0.06</v>
      </c>
      <c r="Q146" s="65">
        <v>0.06</v>
      </c>
      <c r="R146" s="65">
        <v>0.05</v>
      </c>
      <c r="S146" s="65">
        <v>0.05</v>
      </c>
      <c r="T146" s="65">
        <v>0.05</v>
      </c>
      <c r="U146" s="65">
        <v>0.04</v>
      </c>
      <c r="V146" s="65">
        <v>0.04</v>
      </c>
      <c r="W146" s="65">
        <v>0.04</v>
      </c>
      <c r="X146" s="65">
        <v>0.04</v>
      </c>
      <c r="Y146" s="65">
        <v>0.03</v>
      </c>
      <c r="Z146" s="65">
        <v>0.03</v>
      </c>
      <c r="AA146" s="65">
        <v>0.03</v>
      </c>
      <c r="AB146" s="65">
        <v>0.03</v>
      </c>
      <c r="AC146" s="65">
        <v>0.03</v>
      </c>
      <c r="AD146" s="65">
        <v>0.02</v>
      </c>
      <c r="BZ146" s="52">
        <f t="shared" ref="BZ146:DJ146" si="130">ROUND($BZ32*E146,0)</f>
        <v>0</v>
      </c>
      <c r="CA146" s="52">
        <f t="shared" si="130"/>
        <v>0</v>
      </c>
      <c r="CB146" s="52">
        <f t="shared" si="130"/>
        <v>0</v>
      </c>
      <c r="CC146" s="52">
        <f t="shared" si="130"/>
        <v>0</v>
      </c>
      <c r="CD146" s="52">
        <f t="shared" si="130"/>
        <v>0</v>
      </c>
      <c r="CE146" s="52">
        <f t="shared" si="130"/>
        <v>0</v>
      </c>
      <c r="CF146" s="52">
        <f t="shared" si="130"/>
        <v>0</v>
      </c>
      <c r="CG146" s="52">
        <f t="shared" si="130"/>
        <v>1</v>
      </c>
      <c r="CH146" s="52">
        <f t="shared" si="130"/>
        <v>1</v>
      </c>
      <c r="CI146" s="52">
        <f t="shared" si="130"/>
        <v>1</v>
      </c>
      <c r="CJ146" s="52">
        <f t="shared" si="130"/>
        <v>1</v>
      </c>
      <c r="CK146" s="52">
        <f t="shared" si="130"/>
        <v>1</v>
      </c>
      <c r="CL146" s="52">
        <f t="shared" si="130"/>
        <v>1</v>
      </c>
      <c r="CM146" s="52">
        <f t="shared" si="130"/>
        <v>1</v>
      </c>
      <c r="CN146" s="52">
        <f t="shared" si="130"/>
        <v>1</v>
      </c>
      <c r="CO146" s="52">
        <f t="shared" si="130"/>
        <v>1</v>
      </c>
      <c r="CP146" s="52">
        <f t="shared" si="130"/>
        <v>1</v>
      </c>
      <c r="CQ146" s="52">
        <f t="shared" si="130"/>
        <v>1</v>
      </c>
      <c r="CR146" s="52">
        <f t="shared" si="130"/>
        <v>1</v>
      </c>
      <c r="CS146" s="52">
        <f t="shared" si="130"/>
        <v>1</v>
      </c>
      <c r="CT146" s="52">
        <f t="shared" si="130"/>
        <v>1</v>
      </c>
      <c r="CU146" s="52">
        <f t="shared" si="130"/>
        <v>1</v>
      </c>
      <c r="CV146" s="52">
        <f t="shared" si="130"/>
        <v>1</v>
      </c>
      <c r="CW146" s="52">
        <f t="shared" si="130"/>
        <v>1</v>
      </c>
      <c r="CX146" s="52">
        <f t="shared" si="130"/>
        <v>1</v>
      </c>
      <c r="CY146" s="52">
        <f t="shared" si="130"/>
        <v>0</v>
      </c>
      <c r="CZ146" s="52">
        <f t="shared" si="130"/>
        <v>0</v>
      </c>
      <c r="DA146" s="52">
        <f t="shared" si="130"/>
        <v>0</v>
      </c>
      <c r="DB146" s="52">
        <f t="shared" si="130"/>
        <v>0</v>
      </c>
      <c r="DC146" s="52">
        <f t="shared" si="130"/>
        <v>0</v>
      </c>
      <c r="DD146" s="52">
        <f t="shared" si="130"/>
        <v>0</v>
      </c>
      <c r="DE146" s="52">
        <f t="shared" si="130"/>
        <v>0</v>
      </c>
      <c r="DF146" s="52">
        <f t="shared" si="130"/>
        <v>0</v>
      </c>
      <c r="DG146" s="52">
        <f t="shared" si="130"/>
        <v>0</v>
      </c>
      <c r="DH146" s="52">
        <f t="shared" si="130"/>
        <v>0</v>
      </c>
      <c r="DI146" s="52">
        <f t="shared" si="130"/>
        <v>0</v>
      </c>
      <c r="DJ146" s="52">
        <f t="shared" si="130"/>
        <v>0</v>
      </c>
    </row>
    <row r="147" ht="15.75" customHeight="1">
      <c r="B147" s="52" t="s">
        <v>1792</v>
      </c>
      <c r="C147" s="52">
        <v>16.0</v>
      </c>
      <c r="D147" s="52" t="s">
        <v>1790</v>
      </c>
      <c r="E147" s="58"/>
      <c r="F147" s="58"/>
      <c r="G147" s="58"/>
      <c r="H147" s="58"/>
      <c r="I147" s="58"/>
      <c r="J147" s="58"/>
      <c r="K147" s="58"/>
      <c r="L147" s="58"/>
      <c r="M147" s="58"/>
      <c r="N147" s="65">
        <v>0.08</v>
      </c>
      <c r="O147" s="65">
        <v>0.08</v>
      </c>
      <c r="P147" s="65">
        <v>0.07</v>
      </c>
      <c r="Q147" s="65">
        <v>0.07</v>
      </c>
      <c r="R147" s="65">
        <v>0.06</v>
      </c>
      <c r="S147" s="65">
        <v>0.06</v>
      </c>
      <c r="T147" s="65">
        <v>0.05</v>
      </c>
      <c r="U147" s="65">
        <v>0.05</v>
      </c>
      <c r="V147" s="65">
        <v>0.05</v>
      </c>
      <c r="W147" s="65">
        <v>0.04</v>
      </c>
      <c r="X147" s="65">
        <v>0.04</v>
      </c>
      <c r="Y147" s="65">
        <v>0.04</v>
      </c>
      <c r="Z147" s="65">
        <v>0.04</v>
      </c>
      <c r="AA147" s="65">
        <v>0.03</v>
      </c>
      <c r="AB147" s="65">
        <v>0.03</v>
      </c>
      <c r="AC147" s="65">
        <v>0.03</v>
      </c>
      <c r="AD147" s="65">
        <v>0.03</v>
      </c>
      <c r="BZ147" s="52">
        <f t="shared" ref="BZ147:DJ147" si="131">ROUND($BZ33*E147,0)</f>
        <v>0</v>
      </c>
      <c r="CA147" s="52">
        <f t="shared" si="131"/>
        <v>0</v>
      </c>
      <c r="CB147" s="52">
        <f t="shared" si="131"/>
        <v>0</v>
      </c>
      <c r="CC147" s="52">
        <f t="shared" si="131"/>
        <v>0</v>
      </c>
      <c r="CD147" s="52">
        <f t="shared" si="131"/>
        <v>0</v>
      </c>
      <c r="CE147" s="52">
        <f t="shared" si="131"/>
        <v>0</v>
      </c>
      <c r="CF147" s="52">
        <f t="shared" si="131"/>
        <v>0</v>
      </c>
      <c r="CG147" s="52">
        <f t="shared" si="131"/>
        <v>0</v>
      </c>
      <c r="CH147" s="52">
        <f t="shared" si="131"/>
        <v>0</v>
      </c>
      <c r="CI147" s="52">
        <f t="shared" si="131"/>
        <v>2</v>
      </c>
      <c r="CJ147" s="52">
        <f t="shared" si="131"/>
        <v>2</v>
      </c>
      <c r="CK147" s="52">
        <f t="shared" si="131"/>
        <v>2</v>
      </c>
      <c r="CL147" s="52">
        <f t="shared" si="131"/>
        <v>2</v>
      </c>
      <c r="CM147" s="52">
        <f t="shared" si="131"/>
        <v>1</v>
      </c>
      <c r="CN147" s="52">
        <f t="shared" si="131"/>
        <v>1</v>
      </c>
      <c r="CO147" s="52">
        <f t="shared" si="131"/>
        <v>1</v>
      </c>
      <c r="CP147" s="52">
        <f t="shared" si="131"/>
        <v>1</v>
      </c>
      <c r="CQ147" s="52">
        <f t="shared" si="131"/>
        <v>1</v>
      </c>
      <c r="CR147" s="52">
        <f t="shared" si="131"/>
        <v>1</v>
      </c>
      <c r="CS147" s="52">
        <f t="shared" si="131"/>
        <v>1</v>
      </c>
      <c r="CT147" s="52">
        <f t="shared" si="131"/>
        <v>1</v>
      </c>
      <c r="CU147" s="52">
        <f t="shared" si="131"/>
        <v>1</v>
      </c>
      <c r="CV147" s="52">
        <f t="shared" si="131"/>
        <v>1</v>
      </c>
      <c r="CW147" s="52">
        <f t="shared" si="131"/>
        <v>1</v>
      </c>
      <c r="CX147" s="52">
        <f t="shared" si="131"/>
        <v>1</v>
      </c>
      <c r="CY147" s="52">
        <f t="shared" si="131"/>
        <v>1</v>
      </c>
      <c r="CZ147" s="52">
        <f t="shared" si="131"/>
        <v>0</v>
      </c>
      <c r="DA147" s="52">
        <f t="shared" si="131"/>
        <v>0</v>
      </c>
      <c r="DB147" s="52">
        <f t="shared" si="131"/>
        <v>0</v>
      </c>
      <c r="DC147" s="52">
        <f t="shared" si="131"/>
        <v>0</v>
      </c>
      <c r="DD147" s="52">
        <f t="shared" si="131"/>
        <v>0</v>
      </c>
      <c r="DE147" s="52">
        <f t="shared" si="131"/>
        <v>0</v>
      </c>
      <c r="DF147" s="52">
        <f t="shared" si="131"/>
        <v>0</v>
      </c>
      <c r="DG147" s="52">
        <f t="shared" si="131"/>
        <v>0</v>
      </c>
      <c r="DH147" s="52">
        <f t="shared" si="131"/>
        <v>0</v>
      </c>
      <c r="DI147" s="52">
        <f t="shared" si="131"/>
        <v>0</v>
      </c>
      <c r="DJ147" s="52">
        <f t="shared" si="131"/>
        <v>0</v>
      </c>
    </row>
    <row r="148" ht="15.75" customHeight="1">
      <c r="B148" s="52" t="s">
        <v>1792</v>
      </c>
      <c r="C148" s="52">
        <v>17.0</v>
      </c>
      <c r="D148" s="52">
        <v>0.0</v>
      </c>
      <c r="E148" s="65">
        <v>0.07</v>
      </c>
      <c r="F148" s="65">
        <v>0.07</v>
      </c>
      <c r="G148" s="65">
        <v>0.07</v>
      </c>
      <c r="H148" s="65">
        <v>0.07</v>
      </c>
      <c r="I148" s="65">
        <v>0.07</v>
      </c>
      <c r="J148" s="65">
        <v>0.07</v>
      </c>
      <c r="K148" s="65">
        <v>0.07</v>
      </c>
      <c r="L148" s="65">
        <v>0.07</v>
      </c>
      <c r="M148" s="65">
        <v>0.07</v>
      </c>
      <c r="N148" s="65">
        <v>0.03</v>
      </c>
      <c r="O148" s="65">
        <v>0.03</v>
      </c>
      <c r="P148" s="65">
        <v>0.03</v>
      </c>
      <c r="Q148" s="65">
        <v>0.03</v>
      </c>
      <c r="R148" s="65">
        <v>0.03</v>
      </c>
      <c r="S148" s="65">
        <v>0.03</v>
      </c>
      <c r="T148" s="65">
        <v>0.03</v>
      </c>
      <c r="U148" s="65">
        <v>0.02</v>
      </c>
      <c r="V148" s="65">
        <v>0.02</v>
      </c>
      <c r="W148" s="65">
        <v>0.02</v>
      </c>
      <c r="X148" s="65">
        <v>0.02</v>
      </c>
      <c r="Y148" s="65">
        <v>0.02</v>
      </c>
      <c r="Z148" s="65">
        <v>0.02</v>
      </c>
      <c r="AA148" s="65">
        <v>0.02</v>
      </c>
      <c r="AB148" s="65">
        <v>0.02</v>
      </c>
      <c r="AC148" s="58"/>
      <c r="AD148" s="58"/>
      <c r="CA148" s="52">
        <f t="shared" ref="CA148:DJ148" si="132">ROUND($CA27*E148,0)</f>
        <v>27</v>
      </c>
      <c r="CB148" s="52">
        <f t="shared" si="132"/>
        <v>27</v>
      </c>
      <c r="CC148" s="52">
        <f t="shared" si="132"/>
        <v>27</v>
      </c>
      <c r="CD148" s="52">
        <f t="shared" si="132"/>
        <v>27</v>
      </c>
      <c r="CE148" s="52">
        <f t="shared" si="132"/>
        <v>27</v>
      </c>
      <c r="CF148" s="52">
        <f t="shared" si="132"/>
        <v>27</v>
      </c>
      <c r="CG148" s="52">
        <f t="shared" si="132"/>
        <v>27</v>
      </c>
      <c r="CH148" s="52">
        <f t="shared" si="132"/>
        <v>27</v>
      </c>
      <c r="CI148" s="52">
        <f t="shared" si="132"/>
        <v>27</v>
      </c>
      <c r="CJ148" s="52">
        <f t="shared" si="132"/>
        <v>12</v>
      </c>
      <c r="CK148" s="52">
        <f t="shared" si="132"/>
        <v>12</v>
      </c>
      <c r="CL148" s="52">
        <f t="shared" si="132"/>
        <v>12</v>
      </c>
      <c r="CM148" s="52">
        <f t="shared" si="132"/>
        <v>12</v>
      </c>
      <c r="CN148" s="52">
        <f t="shared" si="132"/>
        <v>12</v>
      </c>
      <c r="CO148" s="52">
        <f t="shared" si="132"/>
        <v>12</v>
      </c>
      <c r="CP148" s="52">
        <f t="shared" si="132"/>
        <v>12</v>
      </c>
      <c r="CQ148" s="52">
        <f t="shared" si="132"/>
        <v>8</v>
      </c>
      <c r="CR148" s="52">
        <f t="shared" si="132"/>
        <v>8</v>
      </c>
      <c r="CS148" s="52">
        <f t="shared" si="132"/>
        <v>8</v>
      </c>
      <c r="CT148" s="52">
        <f t="shared" si="132"/>
        <v>8</v>
      </c>
      <c r="CU148" s="52">
        <f t="shared" si="132"/>
        <v>8</v>
      </c>
      <c r="CV148" s="52">
        <f t="shared" si="132"/>
        <v>8</v>
      </c>
      <c r="CW148" s="52">
        <f t="shared" si="132"/>
        <v>8</v>
      </c>
      <c r="CX148" s="52">
        <f t="shared" si="132"/>
        <v>8</v>
      </c>
      <c r="CY148" s="52">
        <f t="shared" si="132"/>
        <v>0</v>
      </c>
      <c r="CZ148" s="52">
        <f t="shared" si="132"/>
        <v>0</v>
      </c>
      <c r="DA148" s="52">
        <f t="shared" si="132"/>
        <v>0</v>
      </c>
      <c r="DB148" s="52">
        <f t="shared" si="132"/>
        <v>0</v>
      </c>
      <c r="DC148" s="52">
        <f t="shared" si="132"/>
        <v>0</v>
      </c>
      <c r="DD148" s="52">
        <f t="shared" si="132"/>
        <v>0</v>
      </c>
      <c r="DE148" s="52">
        <f t="shared" si="132"/>
        <v>0</v>
      </c>
      <c r="DF148" s="52">
        <f t="shared" si="132"/>
        <v>0</v>
      </c>
      <c r="DG148" s="52">
        <f t="shared" si="132"/>
        <v>0</v>
      </c>
      <c r="DH148" s="52">
        <f t="shared" si="132"/>
        <v>0</v>
      </c>
      <c r="DI148" s="52">
        <f t="shared" si="132"/>
        <v>0</v>
      </c>
      <c r="DJ148" s="52">
        <f t="shared" si="132"/>
        <v>0</v>
      </c>
    </row>
    <row r="149" ht="15.75" customHeight="1">
      <c r="B149" s="52" t="s">
        <v>1792</v>
      </c>
      <c r="C149" s="52">
        <v>17.0</v>
      </c>
      <c r="D149" s="52" t="s">
        <v>1785</v>
      </c>
      <c r="E149" s="65">
        <v>0.02</v>
      </c>
      <c r="F149" s="65">
        <v>0.02</v>
      </c>
      <c r="G149" s="65">
        <v>0.02</v>
      </c>
      <c r="H149" s="65">
        <v>0.02</v>
      </c>
      <c r="I149" s="65">
        <v>0.08</v>
      </c>
      <c r="J149" s="65">
        <v>0.08</v>
      </c>
      <c r="K149" s="65">
        <v>0.07</v>
      </c>
      <c r="L149" s="65">
        <v>0.07</v>
      </c>
      <c r="M149" s="65">
        <v>0.06</v>
      </c>
      <c r="N149" s="65">
        <v>0.06</v>
      </c>
      <c r="O149" s="65">
        <v>0.05</v>
      </c>
      <c r="P149" s="65">
        <v>0.05</v>
      </c>
      <c r="Q149" s="65">
        <v>0.05</v>
      </c>
      <c r="R149" s="65">
        <v>0.04</v>
      </c>
      <c r="S149" s="65">
        <v>0.04</v>
      </c>
      <c r="T149" s="65">
        <v>0.04</v>
      </c>
      <c r="U149" s="65">
        <v>0.04</v>
      </c>
      <c r="V149" s="65">
        <v>0.03</v>
      </c>
      <c r="W149" s="65">
        <v>0.03</v>
      </c>
      <c r="X149" s="65">
        <v>0.03</v>
      </c>
      <c r="Y149" s="65">
        <v>0.03</v>
      </c>
      <c r="Z149" s="65">
        <v>0.03</v>
      </c>
      <c r="AA149" s="65">
        <v>0.02</v>
      </c>
      <c r="AB149" s="65">
        <v>0.02</v>
      </c>
      <c r="AC149" s="58"/>
      <c r="AD149" s="58"/>
      <c r="CA149" s="52">
        <f t="shared" ref="CA149:DJ149" si="133">ROUND($CA28*E149,0)</f>
        <v>1</v>
      </c>
      <c r="CB149" s="52">
        <f t="shared" si="133"/>
        <v>1</v>
      </c>
      <c r="CC149" s="52">
        <f t="shared" si="133"/>
        <v>1</v>
      </c>
      <c r="CD149" s="52">
        <f t="shared" si="133"/>
        <v>1</v>
      </c>
      <c r="CE149" s="52">
        <f t="shared" si="133"/>
        <v>3</v>
      </c>
      <c r="CF149" s="52">
        <f t="shared" si="133"/>
        <v>3</v>
      </c>
      <c r="CG149" s="52">
        <f t="shared" si="133"/>
        <v>3</v>
      </c>
      <c r="CH149" s="52">
        <f t="shared" si="133"/>
        <v>3</v>
      </c>
      <c r="CI149" s="52">
        <f t="shared" si="133"/>
        <v>2</v>
      </c>
      <c r="CJ149" s="52">
        <f t="shared" si="133"/>
        <v>2</v>
      </c>
      <c r="CK149" s="52">
        <f t="shared" si="133"/>
        <v>2</v>
      </c>
      <c r="CL149" s="52">
        <f t="shared" si="133"/>
        <v>2</v>
      </c>
      <c r="CM149" s="52">
        <f t="shared" si="133"/>
        <v>2</v>
      </c>
      <c r="CN149" s="52">
        <f t="shared" si="133"/>
        <v>2</v>
      </c>
      <c r="CO149" s="52">
        <f t="shared" si="133"/>
        <v>2</v>
      </c>
      <c r="CP149" s="52">
        <f t="shared" si="133"/>
        <v>2</v>
      </c>
      <c r="CQ149" s="52">
        <f t="shared" si="133"/>
        <v>2</v>
      </c>
      <c r="CR149" s="52">
        <f t="shared" si="133"/>
        <v>1</v>
      </c>
      <c r="CS149" s="52">
        <f t="shared" si="133"/>
        <v>1</v>
      </c>
      <c r="CT149" s="52">
        <f t="shared" si="133"/>
        <v>1</v>
      </c>
      <c r="CU149" s="52">
        <f t="shared" si="133"/>
        <v>1</v>
      </c>
      <c r="CV149" s="52">
        <f t="shared" si="133"/>
        <v>1</v>
      </c>
      <c r="CW149" s="52">
        <f t="shared" si="133"/>
        <v>1</v>
      </c>
      <c r="CX149" s="52">
        <f t="shared" si="133"/>
        <v>1</v>
      </c>
      <c r="CY149" s="52">
        <f t="shared" si="133"/>
        <v>0</v>
      </c>
      <c r="CZ149" s="52">
        <f t="shared" si="133"/>
        <v>0</v>
      </c>
      <c r="DA149" s="52">
        <f t="shared" si="133"/>
        <v>0</v>
      </c>
      <c r="DB149" s="52">
        <f t="shared" si="133"/>
        <v>0</v>
      </c>
      <c r="DC149" s="52">
        <f t="shared" si="133"/>
        <v>0</v>
      </c>
      <c r="DD149" s="52">
        <f t="shared" si="133"/>
        <v>0</v>
      </c>
      <c r="DE149" s="52">
        <f t="shared" si="133"/>
        <v>0</v>
      </c>
      <c r="DF149" s="52">
        <f t="shared" si="133"/>
        <v>0</v>
      </c>
      <c r="DG149" s="52">
        <f t="shared" si="133"/>
        <v>0</v>
      </c>
      <c r="DH149" s="52">
        <f t="shared" si="133"/>
        <v>0</v>
      </c>
      <c r="DI149" s="52">
        <f t="shared" si="133"/>
        <v>0</v>
      </c>
      <c r="DJ149" s="52">
        <f t="shared" si="133"/>
        <v>0</v>
      </c>
    </row>
    <row r="150" ht="15.75" customHeight="1">
      <c r="B150" s="52" t="s">
        <v>1792</v>
      </c>
      <c r="C150" s="52">
        <v>17.0</v>
      </c>
      <c r="D150" s="52" t="s">
        <v>1786</v>
      </c>
      <c r="E150" s="58"/>
      <c r="F150" s="58"/>
      <c r="G150" s="58"/>
      <c r="H150" s="65">
        <v>0.08</v>
      </c>
      <c r="I150" s="65">
        <v>0.08</v>
      </c>
      <c r="J150" s="65">
        <v>0.07</v>
      </c>
      <c r="K150" s="65">
        <v>0.07</v>
      </c>
      <c r="L150" s="65">
        <v>0.06</v>
      </c>
      <c r="M150" s="65">
        <v>0.06</v>
      </c>
      <c r="N150" s="65">
        <v>0.05</v>
      </c>
      <c r="O150" s="65">
        <v>0.05</v>
      </c>
      <c r="P150" s="65">
        <v>0.05</v>
      </c>
      <c r="Q150" s="65">
        <v>0.04</v>
      </c>
      <c r="R150" s="65">
        <v>0.04</v>
      </c>
      <c r="S150" s="65">
        <v>0.04</v>
      </c>
      <c r="T150" s="65">
        <v>0.04</v>
      </c>
      <c r="U150" s="65">
        <v>0.03</v>
      </c>
      <c r="V150" s="65">
        <v>0.03</v>
      </c>
      <c r="W150" s="65">
        <v>0.03</v>
      </c>
      <c r="X150" s="65">
        <v>0.03</v>
      </c>
      <c r="Y150" s="65">
        <v>0.03</v>
      </c>
      <c r="Z150" s="65">
        <v>0.02</v>
      </c>
      <c r="AA150" s="65">
        <v>0.02</v>
      </c>
      <c r="AB150" s="65">
        <v>0.03</v>
      </c>
      <c r="AC150" s="65">
        <v>0.03</v>
      </c>
      <c r="AD150" s="65">
        <v>0.02</v>
      </c>
      <c r="CA150" s="52">
        <f t="shared" ref="CA150:DJ150" si="134">ROUND($CA29*E150,0)</f>
        <v>0</v>
      </c>
      <c r="CB150" s="52">
        <f t="shared" si="134"/>
        <v>0</v>
      </c>
      <c r="CC150" s="52">
        <f t="shared" si="134"/>
        <v>0</v>
      </c>
      <c r="CD150" s="52">
        <f t="shared" si="134"/>
        <v>6</v>
      </c>
      <c r="CE150" s="52">
        <f t="shared" si="134"/>
        <v>6</v>
      </c>
      <c r="CF150" s="52">
        <f t="shared" si="134"/>
        <v>5</v>
      </c>
      <c r="CG150" s="52">
        <f t="shared" si="134"/>
        <v>5</v>
      </c>
      <c r="CH150" s="52">
        <f t="shared" si="134"/>
        <v>4</v>
      </c>
      <c r="CI150" s="52">
        <f t="shared" si="134"/>
        <v>4</v>
      </c>
      <c r="CJ150" s="52">
        <f t="shared" si="134"/>
        <v>4</v>
      </c>
      <c r="CK150" s="52">
        <f t="shared" si="134"/>
        <v>4</v>
      </c>
      <c r="CL150" s="52">
        <f t="shared" si="134"/>
        <v>4</v>
      </c>
      <c r="CM150" s="52">
        <f t="shared" si="134"/>
        <v>3</v>
      </c>
      <c r="CN150" s="52">
        <f t="shared" si="134"/>
        <v>3</v>
      </c>
      <c r="CO150" s="52">
        <f t="shared" si="134"/>
        <v>3</v>
      </c>
      <c r="CP150" s="52">
        <f t="shared" si="134"/>
        <v>3</v>
      </c>
      <c r="CQ150" s="52">
        <f t="shared" si="134"/>
        <v>2</v>
      </c>
      <c r="CR150" s="52">
        <f t="shared" si="134"/>
        <v>2</v>
      </c>
      <c r="CS150" s="52">
        <f t="shared" si="134"/>
        <v>2</v>
      </c>
      <c r="CT150" s="52">
        <f t="shared" si="134"/>
        <v>2</v>
      </c>
      <c r="CU150" s="52">
        <f t="shared" si="134"/>
        <v>2</v>
      </c>
      <c r="CV150" s="52">
        <f t="shared" si="134"/>
        <v>1</v>
      </c>
      <c r="CW150" s="52">
        <f t="shared" si="134"/>
        <v>1</v>
      </c>
      <c r="CX150" s="52">
        <f t="shared" si="134"/>
        <v>2</v>
      </c>
      <c r="CY150" s="52">
        <f t="shared" si="134"/>
        <v>2</v>
      </c>
      <c r="CZ150" s="52">
        <f t="shared" si="134"/>
        <v>1</v>
      </c>
      <c r="DA150" s="52">
        <f t="shared" si="134"/>
        <v>0</v>
      </c>
      <c r="DB150" s="52">
        <f t="shared" si="134"/>
        <v>0</v>
      </c>
      <c r="DC150" s="52">
        <f t="shared" si="134"/>
        <v>0</v>
      </c>
      <c r="DD150" s="52">
        <f t="shared" si="134"/>
        <v>0</v>
      </c>
      <c r="DE150" s="52">
        <f t="shared" si="134"/>
        <v>0</v>
      </c>
      <c r="DF150" s="52">
        <f t="shared" si="134"/>
        <v>0</v>
      </c>
      <c r="DG150" s="52">
        <f t="shared" si="134"/>
        <v>0</v>
      </c>
      <c r="DH150" s="52">
        <f t="shared" si="134"/>
        <v>0</v>
      </c>
      <c r="DI150" s="52">
        <f t="shared" si="134"/>
        <v>0</v>
      </c>
      <c r="DJ150" s="52">
        <f t="shared" si="134"/>
        <v>0</v>
      </c>
    </row>
    <row r="151" ht="15.75" customHeight="1">
      <c r="B151" s="52" t="s">
        <v>1792</v>
      </c>
      <c r="C151" s="52">
        <v>17.0</v>
      </c>
      <c r="D151" s="52" t="s">
        <v>1787</v>
      </c>
      <c r="E151" s="58"/>
      <c r="F151" s="58"/>
      <c r="G151" s="58"/>
      <c r="H151" s="58"/>
      <c r="I151" s="58"/>
      <c r="J151" s="65">
        <v>0.08</v>
      </c>
      <c r="K151" s="65">
        <v>0.08</v>
      </c>
      <c r="L151" s="65">
        <v>0.07</v>
      </c>
      <c r="M151" s="65">
        <v>0.07</v>
      </c>
      <c r="N151" s="65">
        <v>0.06</v>
      </c>
      <c r="O151" s="65">
        <v>0.06</v>
      </c>
      <c r="P151" s="65">
        <v>0.05</v>
      </c>
      <c r="Q151" s="65">
        <v>0.05</v>
      </c>
      <c r="R151" s="65">
        <v>0.05</v>
      </c>
      <c r="S151" s="65">
        <v>0.04</v>
      </c>
      <c r="T151" s="65">
        <v>0.04</v>
      </c>
      <c r="U151" s="65">
        <v>0.04</v>
      </c>
      <c r="V151" s="65">
        <v>0.04</v>
      </c>
      <c r="W151" s="65">
        <v>0.03</v>
      </c>
      <c r="X151" s="65">
        <v>0.03</v>
      </c>
      <c r="Y151" s="65">
        <v>0.03</v>
      </c>
      <c r="Z151" s="65">
        <v>0.03</v>
      </c>
      <c r="AA151" s="65">
        <v>0.03</v>
      </c>
      <c r="AB151" s="65">
        <v>0.02</v>
      </c>
      <c r="AC151" s="65">
        <v>0.02</v>
      </c>
      <c r="AD151" s="65">
        <v>0.03</v>
      </c>
      <c r="CA151" s="52">
        <f t="shared" ref="CA151:DJ151" si="135">ROUND($CA30*E151,0)</f>
        <v>0</v>
      </c>
      <c r="CB151" s="52">
        <f t="shared" si="135"/>
        <v>0</v>
      </c>
      <c r="CC151" s="52">
        <f t="shared" si="135"/>
        <v>0</v>
      </c>
      <c r="CD151" s="52">
        <f t="shared" si="135"/>
        <v>0</v>
      </c>
      <c r="CE151" s="52">
        <f t="shared" si="135"/>
        <v>0</v>
      </c>
      <c r="CF151" s="52">
        <f t="shared" si="135"/>
        <v>1</v>
      </c>
      <c r="CG151" s="52">
        <f t="shared" si="135"/>
        <v>1</v>
      </c>
      <c r="CH151" s="52">
        <f t="shared" si="135"/>
        <v>1</v>
      </c>
      <c r="CI151" s="52">
        <f t="shared" si="135"/>
        <v>1</v>
      </c>
      <c r="CJ151" s="52">
        <f t="shared" si="135"/>
        <v>1</v>
      </c>
      <c r="CK151" s="52">
        <f t="shared" si="135"/>
        <v>1</v>
      </c>
      <c r="CL151" s="52">
        <f t="shared" si="135"/>
        <v>1</v>
      </c>
      <c r="CM151" s="52">
        <f t="shared" si="135"/>
        <v>1</v>
      </c>
      <c r="CN151" s="52">
        <f t="shared" si="135"/>
        <v>1</v>
      </c>
      <c r="CO151" s="52">
        <f t="shared" si="135"/>
        <v>1</v>
      </c>
      <c r="CP151" s="52">
        <f t="shared" si="135"/>
        <v>1</v>
      </c>
      <c r="CQ151" s="52">
        <f t="shared" si="135"/>
        <v>1</v>
      </c>
      <c r="CR151" s="52">
        <f t="shared" si="135"/>
        <v>1</v>
      </c>
      <c r="CS151" s="52">
        <f t="shared" si="135"/>
        <v>0</v>
      </c>
      <c r="CT151" s="52">
        <f t="shared" si="135"/>
        <v>0</v>
      </c>
      <c r="CU151" s="52">
        <f t="shared" si="135"/>
        <v>0</v>
      </c>
      <c r="CV151" s="52">
        <f t="shared" si="135"/>
        <v>0</v>
      </c>
      <c r="CW151" s="52">
        <f t="shared" si="135"/>
        <v>0</v>
      </c>
      <c r="CX151" s="52">
        <f t="shared" si="135"/>
        <v>0</v>
      </c>
      <c r="CY151" s="52">
        <f t="shared" si="135"/>
        <v>0</v>
      </c>
      <c r="CZ151" s="52">
        <f t="shared" si="135"/>
        <v>0</v>
      </c>
      <c r="DA151" s="52">
        <f t="shared" si="135"/>
        <v>0</v>
      </c>
      <c r="DB151" s="52">
        <f t="shared" si="135"/>
        <v>0</v>
      </c>
      <c r="DC151" s="52">
        <f t="shared" si="135"/>
        <v>0</v>
      </c>
      <c r="DD151" s="52">
        <f t="shared" si="135"/>
        <v>0</v>
      </c>
      <c r="DE151" s="52">
        <f t="shared" si="135"/>
        <v>0</v>
      </c>
      <c r="DF151" s="52">
        <f t="shared" si="135"/>
        <v>0</v>
      </c>
      <c r="DG151" s="52">
        <f t="shared" si="135"/>
        <v>0</v>
      </c>
      <c r="DH151" s="52">
        <f t="shared" si="135"/>
        <v>0</v>
      </c>
      <c r="DI151" s="52">
        <f t="shared" si="135"/>
        <v>0</v>
      </c>
      <c r="DJ151" s="52">
        <f t="shared" si="135"/>
        <v>0</v>
      </c>
    </row>
    <row r="152" ht="15.75" customHeight="1">
      <c r="B152" s="52" t="s">
        <v>1792</v>
      </c>
      <c r="C152" s="52">
        <v>17.0</v>
      </c>
      <c r="D152" s="52" t="s">
        <v>1788</v>
      </c>
      <c r="E152" s="58"/>
      <c r="F152" s="58"/>
      <c r="G152" s="58"/>
      <c r="H152" s="58"/>
      <c r="I152" s="58"/>
      <c r="J152" s="58"/>
      <c r="K152" s="65">
        <v>0.08</v>
      </c>
      <c r="L152" s="65">
        <v>0.08</v>
      </c>
      <c r="M152" s="65">
        <v>0.07</v>
      </c>
      <c r="N152" s="65">
        <v>0.07</v>
      </c>
      <c r="O152" s="65">
        <v>0.06</v>
      </c>
      <c r="P152" s="65">
        <v>0.06</v>
      </c>
      <c r="Q152" s="65">
        <v>0.05</v>
      </c>
      <c r="R152" s="65">
        <v>0.05</v>
      </c>
      <c r="S152" s="65">
        <v>0.05</v>
      </c>
      <c r="T152" s="65">
        <v>0.04</v>
      </c>
      <c r="U152" s="65">
        <v>0.04</v>
      </c>
      <c r="V152" s="65">
        <v>0.04</v>
      </c>
      <c r="W152" s="65">
        <v>0.04</v>
      </c>
      <c r="X152" s="65">
        <v>0.03</v>
      </c>
      <c r="Y152" s="65">
        <v>0.03</v>
      </c>
      <c r="Z152" s="65">
        <v>0.03</v>
      </c>
      <c r="AA152" s="65">
        <v>0.03</v>
      </c>
      <c r="AB152" s="65">
        <v>0.03</v>
      </c>
      <c r="AC152" s="65">
        <v>0.02</v>
      </c>
      <c r="AD152" s="65">
        <v>0.02</v>
      </c>
      <c r="CA152" s="52">
        <f t="shared" ref="CA152:DJ152" si="136">ROUND($CA31*E152,0)</f>
        <v>0</v>
      </c>
      <c r="CB152" s="52">
        <f t="shared" si="136"/>
        <v>0</v>
      </c>
      <c r="CC152" s="52">
        <f t="shared" si="136"/>
        <v>0</v>
      </c>
      <c r="CD152" s="52">
        <f t="shared" si="136"/>
        <v>0</v>
      </c>
      <c r="CE152" s="52">
        <f t="shared" si="136"/>
        <v>0</v>
      </c>
      <c r="CF152" s="52">
        <f t="shared" si="136"/>
        <v>0</v>
      </c>
      <c r="CG152" s="52">
        <f t="shared" si="136"/>
        <v>1</v>
      </c>
      <c r="CH152" s="52">
        <f t="shared" si="136"/>
        <v>1</v>
      </c>
      <c r="CI152" s="52">
        <f t="shared" si="136"/>
        <v>1</v>
      </c>
      <c r="CJ152" s="52">
        <f t="shared" si="136"/>
        <v>1</v>
      </c>
      <c r="CK152" s="52">
        <f t="shared" si="136"/>
        <v>1</v>
      </c>
      <c r="CL152" s="52">
        <f t="shared" si="136"/>
        <v>1</v>
      </c>
      <c r="CM152" s="52">
        <f t="shared" si="136"/>
        <v>1</v>
      </c>
      <c r="CN152" s="52">
        <f t="shared" si="136"/>
        <v>1</v>
      </c>
      <c r="CO152" s="52">
        <f t="shared" si="136"/>
        <v>1</v>
      </c>
      <c r="CP152" s="52">
        <f t="shared" si="136"/>
        <v>0</v>
      </c>
      <c r="CQ152" s="52">
        <f t="shared" si="136"/>
        <v>0</v>
      </c>
      <c r="CR152" s="52">
        <f t="shared" si="136"/>
        <v>0</v>
      </c>
      <c r="CS152" s="52">
        <f t="shared" si="136"/>
        <v>0</v>
      </c>
      <c r="CT152" s="52">
        <f t="shared" si="136"/>
        <v>0</v>
      </c>
      <c r="CU152" s="52">
        <f t="shared" si="136"/>
        <v>0</v>
      </c>
      <c r="CV152" s="52">
        <f t="shared" si="136"/>
        <v>0</v>
      </c>
      <c r="CW152" s="52">
        <f t="shared" si="136"/>
        <v>0</v>
      </c>
      <c r="CX152" s="52">
        <f t="shared" si="136"/>
        <v>0</v>
      </c>
      <c r="CY152" s="52">
        <f t="shared" si="136"/>
        <v>0</v>
      </c>
      <c r="CZ152" s="52">
        <f t="shared" si="136"/>
        <v>0</v>
      </c>
      <c r="DA152" s="52">
        <f t="shared" si="136"/>
        <v>0</v>
      </c>
      <c r="DB152" s="52">
        <f t="shared" si="136"/>
        <v>0</v>
      </c>
      <c r="DC152" s="52">
        <f t="shared" si="136"/>
        <v>0</v>
      </c>
      <c r="DD152" s="52">
        <f t="shared" si="136"/>
        <v>0</v>
      </c>
      <c r="DE152" s="52">
        <f t="shared" si="136"/>
        <v>0</v>
      </c>
      <c r="DF152" s="52">
        <f t="shared" si="136"/>
        <v>0</v>
      </c>
      <c r="DG152" s="52">
        <f t="shared" si="136"/>
        <v>0</v>
      </c>
      <c r="DH152" s="52">
        <f t="shared" si="136"/>
        <v>0</v>
      </c>
      <c r="DI152" s="52">
        <f t="shared" si="136"/>
        <v>0</v>
      </c>
      <c r="DJ152" s="52">
        <f t="shared" si="136"/>
        <v>0</v>
      </c>
    </row>
    <row r="153" ht="15.75" customHeight="1">
      <c r="B153" s="52" t="s">
        <v>1792</v>
      </c>
      <c r="C153" s="52">
        <v>17.0</v>
      </c>
      <c r="D153" s="52" t="s">
        <v>1789</v>
      </c>
      <c r="E153" s="58"/>
      <c r="F153" s="58"/>
      <c r="G153" s="58"/>
      <c r="H153" s="58"/>
      <c r="I153" s="58"/>
      <c r="J153" s="58"/>
      <c r="K153" s="58"/>
      <c r="L153" s="65">
        <v>0.08</v>
      </c>
      <c r="M153" s="65">
        <v>0.08</v>
      </c>
      <c r="N153" s="65">
        <v>0.07</v>
      </c>
      <c r="O153" s="65">
        <v>0.07</v>
      </c>
      <c r="P153" s="65">
        <v>0.06</v>
      </c>
      <c r="Q153" s="65">
        <v>0.06</v>
      </c>
      <c r="R153" s="65">
        <v>0.05</v>
      </c>
      <c r="S153" s="65">
        <v>0.05</v>
      </c>
      <c r="T153" s="65">
        <v>0.05</v>
      </c>
      <c r="U153" s="65">
        <v>0.04</v>
      </c>
      <c r="V153" s="65">
        <v>0.04</v>
      </c>
      <c r="W153" s="65">
        <v>0.04</v>
      </c>
      <c r="X153" s="65">
        <v>0.04</v>
      </c>
      <c r="Y153" s="65">
        <v>0.03</v>
      </c>
      <c r="Z153" s="65">
        <v>0.03</v>
      </c>
      <c r="AA153" s="65">
        <v>0.03</v>
      </c>
      <c r="AB153" s="65">
        <v>0.03</v>
      </c>
      <c r="AC153" s="65">
        <v>0.03</v>
      </c>
      <c r="AD153" s="65">
        <v>0.02</v>
      </c>
      <c r="CA153" s="52">
        <f t="shared" ref="CA153:DJ153" si="137">ROUND($CA32*E153,0)</f>
        <v>0</v>
      </c>
      <c r="CB153" s="52">
        <f t="shared" si="137"/>
        <v>0</v>
      </c>
      <c r="CC153" s="52">
        <f t="shared" si="137"/>
        <v>0</v>
      </c>
      <c r="CD153" s="52">
        <f t="shared" si="137"/>
        <v>0</v>
      </c>
      <c r="CE153" s="52">
        <f t="shared" si="137"/>
        <v>0</v>
      </c>
      <c r="CF153" s="52">
        <f t="shared" si="137"/>
        <v>0</v>
      </c>
      <c r="CG153" s="52">
        <f t="shared" si="137"/>
        <v>0</v>
      </c>
      <c r="CH153" s="52">
        <f t="shared" si="137"/>
        <v>2</v>
      </c>
      <c r="CI153" s="52">
        <f t="shared" si="137"/>
        <v>2</v>
      </c>
      <c r="CJ153" s="52">
        <f t="shared" si="137"/>
        <v>2</v>
      </c>
      <c r="CK153" s="52">
        <f t="shared" si="137"/>
        <v>2</v>
      </c>
      <c r="CL153" s="52">
        <f t="shared" si="137"/>
        <v>1</v>
      </c>
      <c r="CM153" s="52">
        <f t="shared" si="137"/>
        <v>1</v>
      </c>
      <c r="CN153" s="52">
        <f t="shared" si="137"/>
        <v>1</v>
      </c>
      <c r="CO153" s="52">
        <f t="shared" si="137"/>
        <v>1</v>
      </c>
      <c r="CP153" s="52">
        <f t="shared" si="137"/>
        <v>1</v>
      </c>
      <c r="CQ153" s="52">
        <f t="shared" si="137"/>
        <v>1</v>
      </c>
      <c r="CR153" s="52">
        <f t="shared" si="137"/>
        <v>1</v>
      </c>
      <c r="CS153" s="52">
        <f t="shared" si="137"/>
        <v>1</v>
      </c>
      <c r="CT153" s="52">
        <f t="shared" si="137"/>
        <v>1</v>
      </c>
      <c r="CU153" s="52">
        <f t="shared" si="137"/>
        <v>1</v>
      </c>
      <c r="CV153" s="52">
        <f t="shared" si="137"/>
        <v>1</v>
      </c>
      <c r="CW153" s="52">
        <f t="shared" si="137"/>
        <v>1</v>
      </c>
      <c r="CX153" s="52">
        <f t="shared" si="137"/>
        <v>1</v>
      </c>
      <c r="CY153" s="52">
        <f t="shared" si="137"/>
        <v>1</v>
      </c>
      <c r="CZ153" s="52">
        <f t="shared" si="137"/>
        <v>0</v>
      </c>
      <c r="DA153" s="52">
        <f t="shared" si="137"/>
        <v>0</v>
      </c>
      <c r="DB153" s="52">
        <f t="shared" si="137"/>
        <v>0</v>
      </c>
      <c r="DC153" s="52">
        <f t="shared" si="137"/>
        <v>0</v>
      </c>
      <c r="DD153" s="52">
        <f t="shared" si="137"/>
        <v>0</v>
      </c>
      <c r="DE153" s="52">
        <f t="shared" si="137"/>
        <v>0</v>
      </c>
      <c r="DF153" s="52">
        <f t="shared" si="137"/>
        <v>0</v>
      </c>
      <c r="DG153" s="52">
        <f t="shared" si="137"/>
        <v>0</v>
      </c>
      <c r="DH153" s="52">
        <f t="shared" si="137"/>
        <v>0</v>
      </c>
      <c r="DI153" s="52">
        <f t="shared" si="137"/>
        <v>0</v>
      </c>
      <c r="DJ153" s="52">
        <f t="shared" si="137"/>
        <v>0</v>
      </c>
    </row>
    <row r="154" ht="15.75" customHeight="1">
      <c r="B154" s="52" t="s">
        <v>1792</v>
      </c>
      <c r="C154" s="52">
        <v>17.0</v>
      </c>
      <c r="D154" s="52" t="s">
        <v>1790</v>
      </c>
      <c r="E154" s="58"/>
      <c r="F154" s="58"/>
      <c r="G154" s="58"/>
      <c r="H154" s="58"/>
      <c r="I154" s="58"/>
      <c r="J154" s="58"/>
      <c r="K154" s="58"/>
      <c r="L154" s="58"/>
      <c r="M154" s="58"/>
      <c r="N154" s="65">
        <v>0.08</v>
      </c>
      <c r="O154" s="65">
        <v>0.08</v>
      </c>
      <c r="P154" s="65">
        <v>0.07</v>
      </c>
      <c r="Q154" s="65">
        <v>0.07</v>
      </c>
      <c r="R154" s="65">
        <v>0.06</v>
      </c>
      <c r="S154" s="65">
        <v>0.06</v>
      </c>
      <c r="T154" s="65">
        <v>0.05</v>
      </c>
      <c r="U154" s="65">
        <v>0.05</v>
      </c>
      <c r="V154" s="65">
        <v>0.05</v>
      </c>
      <c r="W154" s="65">
        <v>0.04</v>
      </c>
      <c r="X154" s="65">
        <v>0.04</v>
      </c>
      <c r="Y154" s="65">
        <v>0.04</v>
      </c>
      <c r="Z154" s="65">
        <v>0.04</v>
      </c>
      <c r="AA154" s="65">
        <v>0.03</v>
      </c>
      <c r="AB154" s="65">
        <v>0.03</v>
      </c>
      <c r="AC154" s="65">
        <v>0.03</v>
      </c>
      <c r="AD154" s="65">
        <v>0.03</v>
      </c>
      <c r="CA154" s="52">
        <f t="shared" ref="CA154:DJ154" si="138">ROUND($CA33*E154,0)</f>
        <v>0</v>
      </c>
      <c r="CB154" s="52">
        <f t="shared" si="138"/>
        <v>0</v>
      </c>
      <c r="CC154" s="52">
        <f t="shared" si="138"/>
        <v>0</v>
      </c>
      <c r="CD154" s="52">
        <f t="shared" si="138"/>
        <v>0</v>
      </c>
      <c r="CE154" s="52">
        <f t="shared" si="138"/>
        <v>0</v>
      </c>
      <c r="CF154" s="52">
        <f t="shared" si="138"/>
        <v>0</v>
      </c>
      <c r="CG154" s="52">
        <f t="shared" si="138"/>
        <v>0</v>
      </c>
      <c r="CH154" s="52">
        <f t="shared" si="138"/>
        <v>0</v>
      </c>
      <c r="CI154" s="52">
        <f t="shared" si="138"/>
        <v>0</v>
      </c>
      <c r="CJ154" s="52">
        <f t="shared" si="138"/>
        <v>3</v>
      </c>
      <c r="CK154" s="52">
        <f t="shared" si="138"/>
        <v>3</v>
      </c>
      <c r="CL154" s="52">
        <f t="shared" si="138"/>
        <v>2</v>
      </c>
      <c r="CM154" s="52">
        <f t="shared" si="138"/>
        <v>2</v>
      </c>
      <c r="CN154" s="52">
        <f t="shared" si="138"/>
        <v>2</v>
      </c>
      <c r="CO154" s="52">
        <f t="shared" si="138"/>
        <v>2</v>
      </c>
      <c r="CP154" s="52">
        <f t="shared" si="138"/>
        <v>2</v>
      </c>
      <c r="CQ154" s="52">
        <f t="shared" si="138"/>
        <v>2</v>
      </c>
      <c r="CR154" s="52">
        <f t="shared" si="138"/>
        <v>2</v>
      </c>
      <c r="CS154" s="52">
        <f t="shared" si="138"/>
        <v>1</v>
      </c>
      <c r="CT154" s="52">
        <f t="shared" si="138"/>
        <v>1</v>
      </c>
      <c r="CU154" s="52">
        <f t="shared" si="138"/>
        <v>1</v>
      </c>
      <c r="CV154" s="52">
        <f t="shared" si="138"/>
        <v>1</v>
      </c>
      <c r="CW154" s="52">
        <f t="shared" si="138"/>
        <v>1</v>
      </c>
      <c r="CX154" s="52">
        <f t="shared" si="138"/>
        <v>1</v>
      </c>
      <c r="CY154" s="52">
        <f t="shared" si="138"/>
        <v>1</v>
      </c>
      <c r="CZ154" s="52">
        <f t="shared" si="138"/>
        <v>1</v>
      </c>
      <c r="DA154" s="52">
        <f t="shared" si="138"/>
        <v>0</v>
      </c>
      <c r="DB154" s="52">
        <f t="shared" si="138"/>
        <v>0</v>
      </c>
      <c r="DC154" s="52">
        <f t="shared" si="138"/>
        <v>0</v>
      </c>
      <c r="DD154" s="52">
        <f t="shared" si="138"/>
        <v>0</v>
      </c>
      <c r="DE154" s="52">
        <f t="shared" si="138"/>
        <v>0</v>
      </c>
      <c r="DF154" s="52">
        <f t="shared" si="138"/>
        <v>0</v>
      </c>
      <c r="DG154" s="52">
        <f t="shared" si="138"/>
        <v>0</v>
      </c>
      <c r="DH154" s="52">
        <f t="shared" si="138"/>
        <v>0</v>
      </c>
      <c r="DI154" s="52">
        <f t="shared" si="138"/>
        <v>0</v>
      </c>
      <c r="DJ154" s="52">
        <f t="shared" si="138"/>
        <v>0</v>
      </c>
    </row>
    <row r="155" ht="15.75" customHeight="1">
      <c r="B155" s="52" t="s">
        <v>1792</v>
      </c>
      <c r="C155" s="52">
        <v>18.0</v>
      </c>
      <c r="D155" s="52">
        <v>0.0</v>
      </c>
      <c r="E155" s="65">
        <v>0.07</v>
      </c>
      <c r="F155" s="65">
        <v>0.07</v>
      </c>
      <c r="G155" s="65">
        <v>0.07</v>
      </c>
      <c r="H155" s="65">
        <v>0.07</v>
      </c>
      <c r="I155" s="65">
        <v>0.07</v>
      </c>
      <c r="J155" s="65">
        <v>0.07</v>
      </c>
      <c r="K155" s="65">
        <v>0.07</v>
      </c>
      <c r="L155" s="65">
        <v>0.07</v>
      </c>
      <c r="M155" s="65">
        <v>0.07</v>
      </c>
      <c r="N155" s="65">
        <v>0.03</v>
      </c>
      <c r="O155" s="65">
        <v>0.03</v>
      </c>
      <c r="P155" s="65">
        <v>0.03</v>
      </c>
      <c r="Q155" s="65">
        <v>0.03</v>
      </c>
      <c r="R155" s="65">
        <v>0.03</v>
      </c>
      <c r="S155" s="65">
        <v>0.03</v>
      </c>
      <c r="T155" s="65">
        <v>0.03</v>
      </c>
      <c r="U155" s="65">
        <v>0.02</v>
      </c>
      <c r="V155" s="65">
        <v>0.02</v>
      </c>
      <c r="W155" s="65">
        <v>0.02</v>
      </c>
      <c r="X155" s="65">
        <v>0.02</v>
      </c>
      <c r="Y155" s="65">
        <v>0.02</v>
      </c>
      <c r="Z155" s="65">
        <v>0.02</v>
      </c>
      <c r="AA155" s="65">
        <v>0.02</v>
      </c>
      <c r="AB155" s="65">
        <v>0.02</v>
      </c>
      <c r="AC155" s="58"/>
      <c r="AD155" s="58"/>
      <c r="CB155" s="52">
        <f t="shared" ref="CB155:DJ155" si="139">ROUND($CB27*E155,0)</f>
        <v>27</v>
      </c>
      <c r="CC155" s="52">
        <f t="shared" si="139"/>
        <v>27</v>
      </c>
      <c r="CD155" s="52">
        <f t="shared" si="139"/>
        <v>27</v>
      </c>
      <c r="CE155" s="52">
        <f t="shared" si="139"/>
        <v>27</v>
      </c>
      <c r="CF155" s="52">
        <f t="shared" si="139"/>
        <v>27</v>
      </c>
      <c r="CG155" s="52">
        <f t="shared" si="139"/>
        <v>27</v>
      </c>
      <c r="CH155" s="52">
        <f t="shared" si="139"/>
        <v>27</v>
      </c>
      <c r="CI155" s="52">
        <f t="shared" si="139"/>
        <v>27</v>
      </c>
      <c r="CJ155" s="52">
        <f t="shared" si="139"/>
        <v>27</v>
      </c>
      <c r="CK155" s="52">
        <f t="shared" si="139"/>
        <v>12</v>
      </c>
      <c r="CL155" s="52">
        <f t="shared" si="139"/>
        <v>12</v>
      </c>
      <c r="CM155" s="52">
        <f t="shared" si="139"/>
        <v>12</v>
      </c>
      <c r="CN155" s="52">
        <f t="shared" si="139"/>
        <v>12</v>
      </c>
      <c r="CO155" s="52">
        <f t="shared" si="139"/>
        <v>12</v>
      </c>
      <c r="CP155" s="52">
        <f t="shared" si="139"/>
        <v>12</v>
      </c>
      <c r="CQ155" s="52">
        <f t="shared" si="139"/>
        <v>12</v>
      </c>
      <c r="CR155" s="52">
        <f t="shared" si="139"/>
        <v>8</v>
      </c>
      <c r="CS155" s="52">
        <f t="shared" si="139"/>
        <v>8</v>
      </c>
      <c r="CT155" s="52">
        <f t="shared" si="139"/>
        <v>8</v>
      </c>
      <c r="CU155" s="52">
        <f t="shared" si="139"/>
        <v>8</v>
      </c>
      <c r="CV155" s="52">
        <f t="shared" si="139"/>
        <v>8</v>
      </c>
      <c r="CW155" s="52">
        <f t="shared" si="139"/>
        <v>8</v>
      </c>
      <c r="CX155" s="52">
        <f t="shared" si="139"/>
        <v>8</v>
      </c>
      <c r="CY155" s="52">
        <f t="shared" si="139"/>
        <v>8</v>
      </c>
      <c r="CZ155" s="52">
        <f t="shared" si="139"/>
        <v>0</v>
      </c>
      <c r="DA155" s="52">
        <f t="shared" si="139"/>
        <v>0</v>
      </c>
      <c r="DB155" s="52">
        <f t="shared" si="139"/>
        <v>0</v>
      </c>
      <c r="DC155" s="52">
        <f t="shared" si="139"/>
        <v>0</v>
      </c>
      <c r="DD155" s="52">
        <f t="shared" si="139"/>
        <v>0</v>
      </c>
      <c r="DE155" s="52">
        <f t="shared" si="139"/>
        <v>0</v>
      </c>
      <c r="DF155" s="52">
        <f t="shared" si="139"/>
        <v>0</v>
      </c>
      <c r="DG155" s="52">
        <f t="shared" si="139"/>
        <v>0</v>
      </c>
      <c r="DH155" s="52">
        <f t="shared" si="139"/>
        <v>0</v>
      </c>
      <c r="DI155" s="52">
        <f t="shared" si="139"/>
        <v>0</v>
      </c>
      <c r="DJ155" s="52">
        <f t="shared" si="139"/>
        <v>0</v>
      </c>
    </row>
    <row r="156" ht="15.75" customHeight="1">
      <c r="B156" s="52" t="s">
        <v>1792</v>
      </c>
      <c r="C156" s="52">
        <v>18.0</v>
      </c>
      <c r="D156" s="52" t="s">
        <v>1785</v>
      </c>
      <c r="E156" s="65">
        <v>0.02</v>
      </c>
      <c r="F156" s="65">
        <v>0.02</v>
      </c>
      <c r="G156" s="65">
        <v>0.02</v>
      </c>
      <c r="H156" s="65">
        <v>0.02</v>
      </c>
      <c r="I156" s="65">
        <v>0.08</v>
      </c>
      <c r="J156" s="65">
        <v>0.08</v>
      </c>
      <c r="K156" s="65">
        <v>0.07</v>
      </c>
      <c r="L156" s="65">
        <v>0.07</v>
      </c>
      <c r="M156" s="65">
        <v>0.06</v>
      </c>
      <c r="N156" s="65">
        <v>0.06</v>
      </c>
      <c r="O156" s="65">
        <v>0.05</v>
      </c>
      <c r="P156" s="65">
        <v>0.05</v>
      </c>
      <c r="Q156" s="65">
        <v>0.05</v>
      </c>
      <c r="R156" s="65">
        <v>0.04</v>
      </c>
      <c r="S156" s="65">
        <v>0.04</v>
      </c>
      <c r="T156" s="65">
        <v>0.04</v>
      </c>
      <c r="U156" s="65">
        <v>0.04</v>
      </c>
      <c r="V156" s="65">
        <v>0.03</v>
      </c>
      <c r="W156" s="65">
        <v>0.03</v>
      </c>
      <c r="X156" s="65">
        <v>0.03</v>
      </c>
      <c r="Y156" s="65">
        <v>0.03</v>
      </c>
      <c r="Z156" s="65">
        <v>0.03</v>
      </c>
      <c r="AA156" s="65">
        <v>0.02</v>
      </c>
      <c r="AB156" s="65">
        <v>0.02</v>
      </c>
      <c r="AC156" s="58"/>
      <c r="AD156" s="58"/>
      <c r="CB156" s="52">
        <f t="shared" ref="CB156:DJ156" si="140">ROUND($CB28*E156,0)</f>
        <v>1</v>
      </c>
      <c r="CC156" s="52">
        <f t="shared" si="140"/>
        <v>1</v>
      </c>
      <c r="CD156" s="52">
        <f t="shared" si="140"/>
        <v>1</v>
      </c>
      <c r="CE156" s="52">
        <f t="shared" si="140"/>
        <v>1</v>
      </c>
      <c r="CF156" s="52">
        <f t="shared" si="140"/>
        <v>3</v>
      </c>
      <c r="CG156" s="52">
        <f t="shared" si="140"/>
        <v>3</v>
      </c>
      <c r="CH156" s="52">
        <f t="shared" si="140"/>
        <v>3</v>
      </c>
      <c r="CI156" s="52">
        <f t="shared" si="140"/>
        <v>3</v>
      </c>
      <c r="CJ156" s="52">
        <f t="shared" si="140"/>
        <v>2</v>
      </c>
      <c r="CK156" s="52">
        <f t="shared" si="140"/>
        <v>2</v>
      </c>
      <c r="CL156" s="52">
        <f t="shared" si="140"/>
        <v>2</v>
      </c>
      <c r="CM156" s="52">
        <f t="shared" si="140"/>
        <v>2</v>
      </c>
      <c r="CN156" s="52">
        <f t="shared" si="140"/>
        <v>2</v>
      </c>
      <c r="CO156" s="52">
        <f t="shared" si="140"/>
        <v>2</v>
      </c>
      <c r="CP156" s="52">
        <f t="shared" si="140"/>
        <v>2</v>
      </c>
      <c r="CQ156" s="52">
        <f t="shared" si="140"/>
        <v>2</v>
      </c>
      <c r="CR156" s="52">
        <f t="shared" si="140"/>
        <v>2</v>
      </c>
      <c r="CS156" s="52">
        <f t="shared" si="140"/>
        <v>1</v>
      </c>
      <c r="CT156" s="52">
        <f t="shared" si="140"/>
        <v>1</v>
      </c>
      <c r="CU156" s="52">
        <f t="shared" si="140"/>
        <v>1</v>
      </c>
      <c r="CV156" s="52">
        <f t="shared" si="140"/>
        <v>1</v>
      </c>
      <c r="CW156" s="52">
        <f t="shared" si="140"/>
        <v>1</v>
      </c>
      <c r="CX156" s="52">
        <f t="shared" si="140"/>
        <v>1</v>
      </c>
      <c r="CY156" s="52">
        <f t="shared" si="140"/>
        <v>1</v>
      </c>
      <c r="CZ156" s="52">
        <f t="shared" si="140"/>
        <v>0</v>
      </c>
      <c r="DA156" s="52">
        <f t="shared" si="140"/>
        <v>0</v>
      </c>
      <c r="DB156" s="52">
        <f t="shared" si="140"/>
        <v>0</v>
      </c>
      <c r="DC156" s="52">
        <f t="shared" si="140"/>
        <v>0</v>
      </c>
      <c r="DD156" s="52">
        <f t="shared" si="140"/>
        <v>0</v>
      </c>
      <c r="DE156" s="52">
        <f t="shared" si="140"/>
        <v>0</v>
      </c>
      <c r="DF156" s="52">
        <f t="shared" si="140"/>
        <v>0</v>
      </c>
      <c r="DG156" s="52">
        <f t="shared" si="140"/>
        <v>0</v>
      </c>
      <c r="DH156" s="52">
        <f t="shared" si="140"/>
        <v>0</v>
      </c>
      <c r="DI156" s="52">
        <f t="shared" si="140"/>
        <v>0</v>
      </c>
      <c r="DJ156" s="52">
        <f t="shared" si="140"/>
        <v>0</v>
      </c>
    </row>
    <row r="157" ht="15.75" customHeight="1">
      <c r="B157" s="52" t="s">
        <v>1792</v>
      </c>
      <c r="C157" s="52">
        <v>18.0</v>
      </c>
      <c r="D157" s="52" t="s">
        <v>1786</v>
      </c>
      <c r="E157" s="58"/>
      <c r="F157" s="58"/>
      <c r="G157" s="58"/>
      <c r="H157" s="65">
        <v>0.08</v>
      </c>
      <c r="I157" s="65">
        <v>0.08</v>
      </c>
      <c r="J157" s="65">
        <v>0.07</v>
      </c>
      <c r="K157" s="65">
        <v>0.07</v>
      </c>
      <c r="L157" s="65">
        <v>0.06</v>
      </c>
      <c r="M157" s="65">
        <v>0.06</v>
      </c>
      <c r="N157" s="65">
        <v>0.05</v>
      </c>
      <c r="O157" s="65">
        <v>0.05</v>
      </c>
      <c r="P157" s="65">
        <v>0.05</v>
      </c>
      <c r="Q157" s="65">
        <v>0.04</v>
      </c>
      <c r="R157" s="65">
        <v>0.04</v>
      </c>
      <c r="S157" s="65">
        <v>0.04</v>
      </c>
      <c r="T157" s="65">
        <v>0.04</v>
      </c>
      <c r="U157" s="65">
        <v>0.03</v>
      </c>
      <c r="V157" s="65">
        <v>0.03</v>
      </c>
      <c r="W157" s="65">
        <v>0.03</v>
      </c>
      <c r="X157" s="65">
        <v>0.03</v>
      </c>
      <c r="Y157" s="65">
        <v>0.03</v>
      </c>
      <c r="Z157" s="65">
        <v>0.02</v>
      </c>
      <c r="AA157" s="65">
        <v>0.02</v>
      </c>
      <c r="AB157" s="65">
        <v>0.03</v>
      </c>
      <c r="AC157" s="65">
        <v>0.03</v>
      </c>
      <c r="AD157" s="65">
        <v>0.02</v>
      </c>
      <c r="CB157" s="52">
        <f t="shared" ref="CB157:DJ157" si="141">ROUND($CB29*E157,0)</f>
        <v>0</v>
      </c>
      <c r="CC157" s="52">
        <f t="shared" si="141"/>
        <v>0</v>
      </c>
      <c r="CD157" s="52">
        <f t="shared" si="141"/>
        <v>0</v>
      </c>
      <c r="CE157" s="52">
        <f t="shared" si="141"/>
        <v>6</v>
      </c>
      <c r="CF157" s="52">
        <f t="shared" si="141"/>
        <v>6</v>
      </c>
      <c r="CG157" s="52">
        <f t="shared" si="141"/>
        <v>5</v>
      </c>
      <c r="CH157" s="52">
        <f t="shared" si="141"/>
        <v>5</v>
      </c>
      <c r="CI157" s="52">
        <f t="shared" si="141"/>
        <v>4</v>
      </c>
      <c r="CJ157" s="52">
        <f t="shared" si="141"/>
        <v>4</v>
      </c>
      <c r="CK157" s="52">
        <f t="shared" si="141"/>
        <v>4</v>
      </c>
      <c r="CL157" s="52">
        <f t="shared" si="141"/>
        <v>4</v>
      </c>
      <c r="CM157" s="52">
        <f t="shared" si="141"/>
        <v>4</v>
      </c>
      <c r="CN157" s="52">
        <f t="shared" si="141"/>
        <v>3</v>
      </c>
      <c r="CO157" s="52">
        <f t="shared" si="141"/>
        <v>3</v>
      </c>
      <c r="CP157" s="52">
        <f t="shared" si="141"/>
        <v>3</v>
      </c>
      <c r="CQ157" s="52">
        <f t="shared" si="141"/>
        <v>3</v>
      </c>
      <c r="CR157" s="52">
        <f t="shared" si="141"/>
        <v>2</v>
      </c>
      <c r="CS157" s="52">
        <f t="shared" si="141"/>
        <v>2</v>
      </c>
      <c r="CT157" s="52">
        <f t="shared" si="141"/>
        <v>2</v>
      </c>
      <c r="CU157" s="52">
        <f t="shared" si="141"/>
        <v>2</v>
      </c>
      <c r="CV157" s="52">
        <f t="shared" si="141"/>
        <v>2</v>
      </c>
      <c r="CW157" s="52">
        <f t="shared" si="141"/>
        <v>1</v>
      </c>
      <c r="CX157" s="52">
        <f t="shared" si="141"/>
        <v>1</v>
      </c>
      <c r="CY157" s="52">
        <f t="shared" si="141"/>
        <v>2</v>
      </c>
      <c r="CZ157" s="52">
        <f t="shared" si="141"/>
        <v>2</v>
      </c>
      <c r="DA157" s="52">
        <f t="shared" si="141"/>
        <v>1</v>
      </c>
      <c r="DB157" s="52">
        <f t="shared" si="141"/>
        <v>0</v>
      </c>
      <c r="DC157" s="52">
        <f t="shared" si="141"/>
        <v>0</v>
      </c>
      <c r="DD157" s="52">
        <f t="shared" si="141"/>
        <v>0</v>
      </c>
      <c r="DE157" s="52">
        <f t="shared" si="141"/>
        <v>0</v>
      </c>
      <c r="DF157" s="52">
        <f t="shared" si="141"/>
        <v>0</v>
      </c>
      <c r="DG157" s="52">
        <f t="shared" si="141"/>
        <v>0</v>
      </c>
      <c r="DH157" s="52">
        <f t="shared" si="141"/>
        <v>0</v>
      </c>
      <c r="DI157" s="52">
        <f t="shared" si="141"/>
        <v>0</v>
      </c>
      <c r="DJ157" s="52">
        <f t="shared" si="141"/>
        <v>0</v>
      </c>
    </row>
    <row r="158" ht="15.75" customHeight="1">
      <c r="B158" s="52" t="s">
        <v>1792</v>
      </c>
      <c r="C158" s="52">
        <v>18.0</v>
      </c>
      <c r="D158" s="52" t="s">
        <v>1787</v>
      </c>
      <c r="E158" s="58"/>
      <c r="F158" s="58"/>
      <c r="G158" s="58"/>
      <c r="H158" s="58"/>
      <c r="I158" s="58"/>
      <c r="J158" s="65">
        <v>0.08</v>
      </c>
      <c r="K158" s="65">
        <v>0.08</v>
      </c>
      <c r="L158" s="65">
        <v>0.07</v>
      </c>
      <c r="M158" s="65">
        <v>0.07</v>
      </c>
      <c r="N158" s="65">
        <v>0.06</v>
      </c>
      <c r="O158" s="65">
        <v>0.06</v>
      </c>
      <c r="P158" s="65">
        <v>0.05</v>
      </c>
      <c r="Q158" s="65">
        <v>0.05</v>
      </c>
      <c r="R158" s="65">
        <v>0.05</v>
      </c>
      <c r="S158" s="65">
        <v>0.04</v>
      </c>
      <c r="T158" s="65">
        <v>0.04</v>
      </c>
      <c r="U158" s="65">
        <v>0.04</v>
      </c>
      <c r="V158" s="65">
        <v>0.04</v>
      </c>
      <c r="W158" s="65">
        <v>0.03</v>
      </c>
      <c r="X158" s="65">
        <v>0.03</v>
      </c>
      <c r="Y158" s="65">
        <v>0.03</v>
      </c>
      <c r="Z158" s="65">
        <v>0.03</v>
      </c>
      <c r="AA158" s="65">
        <v>0.03</v>
      </c>
      <c r="AB158" s="65">
        <v>0.02</v>
      </c>
      <c r="AC158" s="65">
        <v>0.02</v>
      </c>
      <c r="AD158" s="65">
        <v>0.03</v>
      </c>
      <c r="CB158" s="52">
        <f t="shared" ref="CB158:DJ158" si="142">ROUND($CB30*E158,0)</f>
        <v>0</v>
      </c>
      <c r="CC158" s="52">
        <f t="shared" si="142"/>
        <v>0</v>
      </c>
      <c r="CD158" s="52">
        <f t="shared" si="142"/>
        <v>0</v>
      </c>
      <c r="CE158" s="52">
        <f t="shared" si="142"/>
        <v>0</v>
      </c>
      <c r="CF158" s="52">
        <f t="shared" si="142"/>
        <v>0</v>
      </c>
      <c r="CG158" s="52">
        <f t="shared" si="142"/>
        <v>1</v>
      </c>
      <c r="CH158" s="52">
        <f t="shared" si="142"/>
        <v>1</v>
      </c>
      <c r="CI158" s="52">
        <f t="shared" si="142"/>
        <v>1</v>
      </c>
      <c r="CJ158" s="52">
        <f t="shared" si="142"/>
        <v>1</v>
      </c>
      <c r="CK158" s="52">
        <f t="shared" si="142"/>
        <v>1</v>
      </c>
      <c r="CL158" s="52">
        <f t="shared" si="142"/>
        <v>1</v>
      </c>
      <c r="CM158" s="52">
        <f t="shared" si="142"/>
        <v>1</v>
      </c>
      <c r="CN158" s="52">
        <f t="shared" si="142"/>
        <v>1</v>
      </c>
      <c r="CO158" s="52">
        <f t="shared" si="142"/>
        <v>1</v>
      </c>
      <c r="CP158" s="52">
        <f t="shared" si="142"/>
        <v>1</v>
      </c>
      <c r="CQ158" s="52">
        <f t="shared" si="142"/>
        <v>1</v>
      </c>
      <c r="CR158" s="52">
        <f t="shared" si="142"/>
        <v>1</v>
      </c>
      <c r="CS158" s="52">
        <f t="shared" si="142"/>
        <v>1</v>
      </c>
      <c r="CT158" s="52">
        <f t="shared" si="142"/>
        <v>0</v>
      </c>
      <c r="CU158" s="52">
        <f t="shared" si="142"/>
        <v>0</v>
      </c>
      <c r="CV158" s="52">
        <f t="shared" si="142"/>
        <v>0</v>
      </c>
      <c r="CW158" s="52">
        <f t="shared" si="142"/>
        <v>0</v>
      </c>
      <c r="CX158" s="52">
        <f t="shared" si="142"/>
        <v>0</v>
      </c>
      <c r="CY158" s="52">
        <f t="shared" si="142"/>
        <v>0</v>
      </c>
      <c r="CZ158" s="52">
        <f t="shared" si="142"/>
        <v>0</v>
      </c>
      <c r="DA158" s="52">
        <f t="shared" si="142"/>
        <v>0</v>
      </c>
      <c r="DB158" s="52">
        <f t="shared" si="142"/>
        <v>0</v>
      </c>
      <c r="DC158" s="52">
        <f t="shared" si="142"/>
        <v>0</v>
      </c>
      <c r="DD158" s="52">
        <f t="shared" si="142"/>
        <v>0</v>
      </c>
      <c r="DE158" s="52">
        <f t="shared" si="142"/>
        <v>0</v>
      </c>
      <c r="DF158" s="52">
        <f t="shared" si="142"/>
        <v>0</v>
      </c>
      <c r="DG158" s="52">
        <f t="shared" si="142"/>
        <v>0</v>
      </c>
      <c r="DH158" s="52">
        <f t="shared" si="142"/>
        <v>0</v>
      </c>
      <c r="DI158" s="52">
        <f t="shared" si="142"/>
        <v>0</v>
      </c>
      <c r="DJ158" s="52">
        <f t="shared" si="142"/>
        <v>0</v>
      </c>
    </row>
    <row r="159" ht="15.75" customHeight="1">
      <c r="B159" s="52" t="s">
        <v>1792</v>
      </c>
      <c r="C159" s="52">
        <v>18.0</v>
      </c>
      <c r="D159" s="52" t="s">
        <v>1788</v>
      </c>
      <c r="E159" s="58"/>
      <c r="F159" s="58"/>
      <c r="G159" s="58"/>
      <c r="H159" s="58"/>
      <c r="I159" s="58"/>
      <c r="J159" s="58"/>
      <c r="K159" s="65">
        <v>0.08</v>
      </c>
      <c r="L159" s="65">
        <v>0.08</v>
      </c>
      <c r="M159" s="65">
        <v>0.07</v>
      </c>
      <c r="N159" s="65">
        <v>0.07</v>
      </c>
      <c r="O159" s="65">
        <v>0.06</v>
      </c>
      <c r="P159" s="65">
        <v>0.06</v>
      </c>
      <c r="Q159" s="65">
        <v>0.05</v>
      </c>
      <c r="R159" s="65">
        <v>0.05</v>
      </c>
      <c r="S159" s="65">
        <v>0.05</v>
      </c>
      <c r="T159" s="65">
        <v>0.04</v>
      </c>
      <c r="U159" s="65">
        <v>0.04</v>
      </c>
      <c r="V159" s="65">
        <v>0.04</v>
      </c>
      <c r="W159" s="65">
        <v>0.04</v>
      </c>
      <c r="X159" s="65">
        <v>0.03</v>
      </c>
      <c r="Y159" s="65">
        <v>0.03</v>
      </c>
      <c r="Z159" s="65">
        <v>0.03</v>
      </c>
      <c r="AA159" s="65">
        <v>0.03</v>
      </c>
      <c r="AB159" s="65">
        <v>0.03</v>
      </c>
      <c r="AC159" s="65">
        <v>0.02</v>
      </c>
      <c r="AD159" s="65">
        <v>0.02</v>
      </c>
      <c r="CB159" s="52">
        <f t="shared" ref="CB159:DJ159" si="143">ROUND($CB31*E159,0)</f>
        <v>0</v>
      </c>
      <c r="CC159" s="52">
        <f t="shared" si="143"/>
        <v>0</v>
      </c>
      <c r="CD159" s="52">
        <f t="shared" si="143"/>
        <v>0</v>
      </c>
      <c r="CE159" s="52">
        <f t="shared" si="143"/>
        <v>0</v>
      </c>
      <c r="CF159" s="52">
        <f t="shared" si="143"/>
        <v>0</v>
      </c>
      <c r="CG159" s="52">
        <f t="shared" si="143"/>
        <v>0</v>
      </c>
      <c r="CH159" s="52">
        <f t="shared" si="143"/>
        <v>1</v>
      </c>
      <c r="CI159" s="52">
        <f t="shared" si="143"/>
        <v>1</v>
      </c>
      <c r="CJ159" s="52">
        <f t="shared" si="143"/>
        <v>1</v>
      </c>
      <c r="CK159" s="52">
        <f t="shared" si="143"/>
        <v>1</v>
      </c>
      <c r="CL159" s="52">
        <f t="shared" si="143"/>
        <v>1</v>
      </c>
      <c r="CM159" s="52">
        <f t="shared" si="143"/>
        <v>1</v>
      </c>
      <c r="CN159" s="52">
        <f t="shared" si="143"/>
        <v>1</v>
      </c>
      <c r="CO159" s="52">
        <f t="shared" si="143"/>
        <v>1</v>
      </c>
      <c r="CP159" s="52">
        <f t="shared" si="143"/>
        <v>1</v>
      </c>
      <c r="CQ159" s="52">
        <f t="shared" si="143"/>
        <v>0</v>
      </c>
      <c r="CR159" s="52">
        <f t="shared" si="143"/>
        <v>0</v>
      </c>
      <c r="CS159" s="52">
        <f t="shared" si="143"/>
        <v>0</v>
      </c>
      <c r="CT159" s="52">
        <f t="shared" si="143"/>
        <v>0</v>
      </c>
      <c r="CU159" s="52">
        <f t="shared" si="143"/>
        <v>0</v>
      </c>
      <c r="CV159" s="52">
        <f t="shared" si="143"/>
        <v>0</v>
      </c>
      <c r="CW159" s="52">
        <f t="shared" si="143"/>
        <v>0</v>
      </c>
      <c r="CX159" s="52">
        <f t="shared" si="143"/>
        <v>0</v>
      </c>
      <c r="CY159" s="52">
        <f t="shared" si="143"/>
        <v>0</v>
      </c>
      <c r="CZ159" s="52">
        <f t="shared" si="143"/>
        <v>0</v>
      </c>
      <c r="DA159" s="52">
        <f t="shared" si="143"/>
        <v>0</v>
      </c>
      <c r="DB159" s="52">
        <f t="shared" si="143"/>
        <v>0</v>
      </c>
      <c r="DC159" s="52">
        <f t="shared" si="143"/>
        <v>0</v>
      </c>
      <c r="DD159" s="52">
        <f t="shared" si="143"/>
        <v>0</v>
      </c>
      <c r="DE159" s="52">
        <f t="shared" si="143"/>
        <v>0</v>
      </c>
      <c r="DF159" s="52">
        <f t="shared" si="143"/>
        <v>0</v>
      </c>
      <c r="DG159" s="52">
        <f t="shared" si="143"/>
        <v>0</v>
      </c>
      <c r="DH159" s="52">
        <f t="shared" si="143"/>
        <v>0</v>
      </c>
      <c r="DI159" s="52">
        <f t="shared" si="143"/>
        <v>0</v>
      </c>
      <c r="DJ159" s="52">
        <f t="shared" si="143"/>
        <v>0</v>
      </c>
    </row>
    <row r="160" ht="15.75" customHeight="1">
      <c r="B160" s="52" t="s">
        <v>1792</v>
      </c>
      <c r="C160" s="52">
        <v>18.0</v>
      </c>
      <c r="D160" s="52" t="s">
        <v>1789</v>
      </c>
      <c r="E160" s="58"/>
      <c r="F160" s="58"/>
      <c r="G160" s="58"/>
      <c r="H160" s="58"/>
      <c r="I160" s="58"/>
      <c r="J160" s="58"/>
      <c r="K160" s="58"/>
      <c r="L160" s="65">
        <v>0.08</v>
      </c>
      <c r="M160" s="65">
        <v>0.08</v>
      </c>
      <c r="N160" s="65">
        <v>0.07</v>
      </c>
      <c r="O160" s="65">
        <v>0.07</v>
      </c>
      <c r="P160" s="65">
        <v>0.06</v>
      </c>
      <c r="Q160" s="65">
        <v>0.06</v>
      </c>
      <c r="R160" s="65">
        <v>0.05</v>
      </c>
      <c r="S160" s="65">
        <v>0.05</v>
      </c>
      <c r="T160" s="65">
        <v>0.05</v>
      </c>
      <c r="U160" s="65">
        <v>0.04</v>
      </c>
      <c r="V160" s="65">
        <v>0.04</v>
      </c>
      <c r="W160" s="65">
        <v>0.04</v>
      </c>
      <c r="X160" s="65">
        <v>0.04</v>
      </c>
      <c r="Y160" s="65">
        <v>0.03</v>
      </c>
      <c r="Z160" s="65">
        <v>0.03</v>
      </c>
      <c r="AA160" s="65">
        <v>0.03</v>
      </c>
      <c r="AB160" s="65">
        <v>0.03</v>
      </c>
      <c r="AC160" s="65">
        <v>0.03</v>
      </c>
      <c r="AD160" s="65">
        <v>0.02</v>
      </c>
      <c r="CB160" s="52">
        <f t="shared" ref="CB160:DJ160" si="144">ROUND($CB32*E160,0)</f>
        <v>0</v>
      </c>
      <c r="CC160" s="52">
        <f t="shared" si="144"/>
        <v>0</v>
      </c>
      <c r="CD160" s="52">
        <f t="shared" si="144"/>
        <v>0</v>
      </c>
      <c r="CE160" s="52">
        <f t="shared" si="144"/>
        <v>0</v>
      </c>
      <c r="CF160" s="52">
        <f t="shared" si="144"/>
        <v>0</v>
      </c>
      <c r="CG160" s="52">
        <f t="shared" si="144"/>
        <v>0</v>
      </c>
      <c r="CH160" s="52">
        <f t="shared" si="144"/>
        <v>0</v>
      </c>
      <c r="CI160" s="52">
        <f t="shared" si="144"/>
        <v>2</v>
      </c>
      <c r="CJ160" s="52">
        <f t="shared" si="144"/>
        <v>2</v>
      </c>
      <c r="CK160" s="52">
        <f t="shared" si="144"/>
        <v>2</v>
      </c>
      <c r="CL160" s="52">
        <f t="shared" si="144"/>
        <v>2</v>
      </c>
      <c r="CM160" s="52">
        <f t="shared" si="144"/>
        <v>1</v>
      </c>
      <c r="CN160" s="52">
        <f t="shared" si="144"/>
        <v>1</v>
      </c>
      <c r="CO160" s="52">
        <f t="shared" si="144"/>
        <v>1</v>
      </c>
      <c r="CP160" s="52">
        <f t="shared" si="144"/>
        <v>1</v>
      </c>
      <c r="CQ160" s="52">
        <f t="shared" si="144"/>
        <v>1</v>
      </c>
      <c r="CR160" s="52">
        <f t="shared" si="144"/>
        <v>1</v>
      </c>
      <c r="CS160" s="52">
        <f t="shared" si="144"/>
        <v>1</v>
      </c>
      <c r="CT160" s="52">
        <f t="shared" si="144"/>
        <v>1</v>
      </c>
      <c r="CU160" s="52">
        <f t="shared" si="144"/>
        <v>1</v>
      </c>
      <c r="CV160" s="52">
        <f t="shared" si="144"/>
        <v>1</v>
      </c>
      <c r="CW160" s="52">
        <f t="shared" si="144"/>
        <v>1</v>
      </c>
      <c r="CX160" s="52">
        <f t="shared" si="144"/>
        <v>1</v>
      </c>
      <c r="CY160" s="52">
        <f t="shared" si="144"/>
        <v>1</v>
      </c>
      <c r="CZ160" s="52">
        <f t="shared" si="144"/>
        <v>1</v>
      </c>
      <c r="DA160" s="52">
        <f t="shared" si="144"/>
        <v>0</v>
      </c>
      <c r="DB160" s="52">
        <f t="shared" si="144"/>
        <v>0</v>
      </c>
      <c r="DC160" s="52">
        <f t="shared" si="144"/>
        <v>0</v>
      </c>
      <c r="DD160" s="52">
        <f t="shared" si="144"/>
        <v>0</v>
      </c>
      <c r="DE160" s="52">
        <f t="shared" si="144"/>
        <v>0</v>
      </c>
      <c r="DF160" s="52">
        <f t="shared" si="144"/>
        <v>0</v>
      </c>
      <c r="DG160" s="52">
        <f t="shared" si="144"/>
        <v>0</v>
      </c>
      <c r="DH160" s="52">
        <f t="shared" si="144"/>
        <v>0</v>
      </c>
      <c r="DI160" s="52">
        <f t="shared" si="144"/>
        <v>0</v>
      </c>
      <c r="DJ160" s="52">
        <f t="shared" si="144"/>
        <v>0</v>
      </c>
    </row>
    <row r="161" ht="15.75" customHeight="1">
      <c r="B161" s="52" t="s">
        <v>1792</v>
      </c>
      <c r="C161" s="52">
        <v>18.0</v>
      </c>
      <c r="D161" s="52" t="s">
        <v>1790</v>
      </c>
      <c r="E161" s="58"/>
      <c r="F161" s="58"/>
      <c r="G161" s="58"/>
      <c r="H161" s="58"/>
      <c r="I161" s="58"/>
      <c r="J161" s="58"/>
      <c r="K161" s="58"/>
      <c r="L161" s="58"/>
      <c r="M161" s="58"/>
      <c r="N161" s="65">
        <v>0.08</v>
      </c>
      <c r="O161" s="65">
        <v>0.08</v>
      </c>
      <c r="P161" s="65">
        <v>0.07</v>
      </c>
      <c r="Q161" s="65">
        <v>0.07</v>
      </c>
      <c r="R161" s="65">
        <v>0.06</v>
      </c>
      <c r="S161" s="65">
        <v>0.06</v>
      </c>
      <c r="T161" s="65">
        <v>0.05</v>
      </c>
      <c r="U161" s="65">
        <v>0.05</v>
      </c>
      <c r="V161" s="65">
        <v>0.05</v>
      </c>
      <c r="W161" s="65">
        <v>0.04</v>
      </c>
      <c r="X161" s="65">
        <v>0.04</v>
      </c>
      <c r="Y161" s="65">
        <v>0.04</v>
      </c>
      <c r="Z161" s="65">
        <v>0.04</v>
      </c>
      <c r="AA161" s="65">
        <v>0.03</v>
      </c>
      <c r="AB161" s="65">
        <v>0.03</v>
      </c>
      <c r="AC161" s="65">
        <v>0.03</v>
      </c>
      <c r="AD161" s="65">
        <v>0.03</v>
      </c>
      <c r="CB161" s="52">
        <f t="shared" ref="CB161:DJ161" si="145">ROUND($CB33*E161,0)</f>
        <v>0</v>
      </c>
      <c r="CC161" s="52">
        <f t="shared" si="145"/>
        <v>0</v>
      </c>
      <c r="CD161" s="52">
        <f t="shared" si="145"/>
        <v>0</v>
      </c>
      <c r="CE161" s="52">
        <f t="shared" si="145"/>
        <v>0</v>
      </c>
      <c r="CF161" s="52">
        <f t="shared" si="145"/>
        <v>0</v>
      </c>
      <c r="CG161" s="52">
        <f t="shared" si="145"/>
        <v>0</v>
      </c>
      <c r="CH161" s="52">
        <f t="shared" si="145"/>
        <v>0</v>
      </c>
      <c r="CI161" s="52">
        <f t="shared" si="145"/>
        <v>0</v>
      </c>
      <c r="CJ161" s="52">
        <f t="shared" si="145"/>
        <v>0</v>
      </c>
      <c r="CK161" s="52">
        <f t="shared" si="145"/>
        <v>3</v>
      </c>
      <c r="CL161" s="52">
        <f t="shared" si="145"/>
        <v>3</v>
      </c>
      <c r="CM161" s="52">
        <f t="shared" si="145"/>
        <v>2</v>
      </c>
      <c r="CN161" s="52">
        <f t="shared" si="145"/>
        <v>2</v>
      </c>
      <c r="CO161" s="52">
        <f t="shared" si="145"/>
        <v>2</v>
      </c>
      <c r="CP161" s="52">
        <f t="shared" si="145"/>
        <v>2</v>
      </c>
      <c r="CQ161" s="52">
        <f t="shared" si="145"/>
        <v>2</v>
      </c>
      <c r="CR161" s="52">
        <f t="shared" si="145"/>
        <v>2</v>
      </c>
      <c r="CS161" s="52">
        <f t="shared" si="145"/>
        <v>2</v>
      </c>
      <c r="CT161" s="52">
        <f t="shared" si="145"/>
        <v>1</v>
      </c>
      <c r="CU161" s="52">
        <f t="shared" si="145"/>
        <v>1</v>
      </c>
      <c r="CV161" s="52">
        <f t="shared" si="145"/>
        <v>1</v>
      </c>
      <c r="CW161" s="52">
        <f t="shared" si="145"/>
        <v>1</v>
      </c>
      <c r="CX161" s="52">
        <f t="shared" si="145"/>
        <v>1</v>
      </c>
      <c r="CY161" s="52">
        <f t="shared" si="145"/>
        <v>1</v>
      </c>
      <c r="CZ161" s="52">
        <f t="shared" si="145"/>
        <v>1</v>
      </c>
      <c r="DA161" s="52">
        <f t="shared" si="145"/>
        <v>1</v>
      </c>
      <c r="DB161" s="52">
        <f t="shared" si="145"/>
        <v>0</v>
      </c>
      <c r="DC161" s="52">
        <f t="shared" si="145"/>
        <v>0</v>
      </c>
      <c r="DD161" s="52">
        <f t="shared" si="145"/>
        <v>0</v>
      </c>
      <c r="DE161" s="52">
        <f t="shared" si="145"/>
        <v>0</v>
      </c>
      <c r="DF161" s="52">
        <f t="shared" si="145"/>
        <v>0</v>
      </c>
      <c r="DG161" s="52">
        <f t="shared" si="145"/>
        <v>0</v>
      </c>
      <c r="DH161" s="52">
        <f t="shared" si="145"/>
        <v>0</v>
      </c>
      <c r="DI161" s="52">
        <f t="shared" si="145"/>
        <v>0</v>
      </c>
      <c r="DJ161" s="52">
        <f t="shared" si="145"/>
        <v>0</v>
      </c>
    </row>
    <row r="162" ht="15.75" customHeight="1">
      <c r="B162" s="52" t="s">
        <v>1792</v>
      </c>
      <c r="C162" s="52">
        <v>19.0</v>
      </c>
      <c r="D162" s="52">
        <v>0.0</v>
      </c>
      <c r="E162" s="65">
        <v>0.07</v>
      </c>
      <c r="F162" s="65">
        <v>0.07</v>
      </c>
      <c r="G162" s="65">
        <v>0.07</v>
      </c>
      <c r="H162" s="65">
        <v>0.07</v>
      </c>
      <c r="I162" s="65">
        <v>0.07</v>
      </c>
      <c r="J162" s="65">
        <v>0.07</v>
      </c>
      <c r="K162" s="65">
        <v>0.07</v>
      </c>
      <c r="L162" s="65">
        <v>0.07</v>
      </c>
      <c r="M162" s="65">
        <v>0.07</v>
      </c>
      <c r="N162" s="65">
        <v>0.03</v>
      </c>
      <c r="O162" s="65">
        <v>0.03</v>
      </c>
      <c r="P162" s="65">
        <v>0.03</v>
      </c>
      <c r="Q162" s="65">
        <v>0.03</v>
      </c>
      <c r="R162" s="65">
        <v>0.03</v>
      </c>
      <c r="S162" s="65">
        <v>0.03</v>
      </c>
      <c r="T162" s="65">
        <v>0.03</v>
      </c>
      <c r="U162" s="65">
        <v>0.02</v>
      </c>
      <c r="V162" s="65">
        <v>0.02</v>
      </c>
      <c r="W162" s="65">
        <v>0.02</v>
      </c>
      <c r="X162" s="65">
        <v>0.02</v>
      </c>
      <c r="Y162" s="65">
        <v>0.02</v>
      </c>
      <c r="Z162" s="65">
        <v>0.02</v>
      </c>
      <c r="AA162" s="65">
        <v>0.02</v>
      </c>
      <c r="AB162" s="65">
        <v>0.02</v>
      </c>
      <c r="AC162" s="58"/>
      <c r="AD162" s="58"/>
      <c r="CC162" s="52">
        <f t="shared" ref="CC162:DJ162" si="146">ROUND($CC27*E162,0)</f>
        <v>7</v>
      </c>
      <c r="CD162" s="52">
        <f t="shared" si="146"/>
        <v>7</v>
      </c>
      <c r="CE162" s="52">
        <f t="shared" si="146"/>
        <v>7</v>
      </c>
      <c r="CF162" s="52">
        <f t="shared" si="146"/>
        <v>7</v>
      </c>
      <c r="CG162" s="52">
        <f t="shared" si="146"/>
        <v>7</v>
      </c>
      <c r="CH162" s="52">
        <f t="shared" si="146"/>
        <v>7</v>
      </c>
      <c r="CI162" s="52">
        <f t="shared" si="146"/>
        <v>7</v>
      </c>
      <c r="CJ162" s="52">
        <f t="shared" si="146"/>
        <v>7</v>
      </c>
      <c r="CK162" s="52">
        <f t="shared" si="146"/>
        <v>7</v>
      </c>
      <c r="CL162" s="52">
        <f t="shared" si="146"/>
        <v>3</v>
      </c>
      <c r="CM162" s="52">
        <f t="shared" si="146"/>
        <v>3</v>
      </c>
      <c r="CN162" s="52">
        <f t="shared" si="146"/>
        <v>3</v>
      </c>
      <c r="CO162" s="52">
        <f t="shared" si="146"/>
        <v>3</v>
      </c>
      <c r="CP162" s="52">
        <f t="shared" si="146"/>
        <v>3</v>
      </c>
      <c r="CQ162" s="52">
        <f t="shared" si="146"/>
        <v>3</v>
      </c>
      <c r="CR162" s="52">
        <f t="shared" si="146"/>
        <v>3</v>
      </c>
      <c r="CS162" s="52">
        <f t="shared" si="146"/>
        <v>2</v>
      </c>
      <c r="CT162" s="52">
        <f t="shared" si="146"/>
        <v>2</v>
      </c>
      <c r="CU162" s="52">
        <f t="shared" si="146"/>
        <v>2</v>
      </c>
      <c r="CV162" s="52">
        <f t="shared" si="146"/>
        <v>2</v>
      </c>
      <c r="CW162" s="52">
        <f t="shared" si="146"/>
        <v>2</v>
      </c>
      <c r="CX162" s="52">
        <f t="shared" si="146"/>
        <v>2</v>
      </c>
      <c r="CY162" s="52">
        <f t="shared" si="146"/>
        <v>2</v>
      </c>
      <c r="CZ162" s="52">
        <f t="shared" si="146"/>
        <v>2</v>
      </c>
      <c r="DA162" s="52">
        <f t="shared" si="146"/>
        <v>0</v>
      </c>
      <c r="DB162" s="52">
        <f t="shared" si="146"/>
        <v>0</v>
      </c>
      <c r="DC162" s="52">
        <f t="shared" si="146"/>
        <v>0</v>
      </c>
      <c r="DD162" s="52">
        <f t="shared" si="146"/>
        <v>0</v>
      </c>
      <c r="DE162" s="52">
        <f t="shared" si="146"/>
        <v>0</v>
      </c>
      <c r="DF162" s="52">
        <f t="shared" si="146"/>
        <v>0</v>
      </c>
      <c r="DG162" s="52">
        <f t="shared" si="146"/>
        <v>0</v>
      </c>
      <c r="DH162" s="52">
        <f t="shared" si="146"/>
        <v>0</v>
      </c>
      <c r="DI162" s="52">
        <f t="shared" si="146"/>
        <v>0</v>
      </c>
      <c r="DJ162" s="52">
        <f t="shared" si="146"/>
        <v>0</v>
      </c>
    </row>
    <row r="163" ht="15.75" customHeight="1">
      <c r="B163" s="52" t="s">
        <v>1792</v>
      </c>
      <c r="C163" s="52">
        <v>19.0</v>
      </c>
      <c r="D163" s="52" t="s">
        <v>1785</v>
      </c>
      <c r="E163" s="65">
        <v>0.02</v>
      </c>
      <c r="F163" s="65">
        <v>0.02</v>
      </c>
      <c r="G163" s="65">
        <v>0.02</v>
      </c>
      <c r="H163" s="65">
        <v>0.02</v>
      </c>
      <c r="I163" s="65">
        <v>0.08</v>
      </c>
      <c r="J163" s="65">
        <v>0.08</v>
      </c>
      <c r="K163" s="65">
        <v>0.07</v>
      </c>
      <c r="L163" s="65">
        <v>0.07</v>
      </c>
      <c r="M163" s="65">
        <v>0.06</v>
      </c>
      <c r="N163" s="65">
        <v>0.06</v>
      </c>
      <c r="O163" s="65">
        <v>0.05</v>
      </c>
      <c r="P163" s="65">
        <v>0.05</v>
      </c>
      <c r="Q163" s="65">
        <v>0.05</v>
      </c>
      <c r="R163" s="65">
        <v>0.04</v>
      </c>
      <c r="S163" s="65">
        <v>0.04</v>
      </c>
      <c r="T163" s="65">
        <v>0.04</v>
      </c>
      <c r="U163" s="65">
        <v>0.04</v>
      </c>
      <c r="V163" s="65">
        <v>0.03</v>
      </c>
      <c r="W163" s="65">
        <v>0.03</v>
      </c>
      <c r="X163" s="65">
        <v>0.03</v>
      </c>
      <c r="Y163" s="65">
        <v>0.03</v>
      </c>
      <c r="Z163" s="65">
        <v>0.03</v>
      </c>
      <c r="AA163" s="65">
        <v>0.02</v>
      </c>
      <c r="AB163" s="65">
        <v>0.02</v>
      </c>
      <c r="AC163" s="58"/>
      <c r="AD163" s="58"/>
      <c r="CC163" s="52">
        <f t="shared" ref="CC163:DJ163" si="147">ROUND($CC28*E163,0)</f>
        <v>0</v>
      </c>
      <c r="CD163" s="52">
        <f t="shared" si="147"/>
        <v>0</v>
      </c>
      <c r="CE163" s="52">
        <f t="shared" si="147"/>
        <v>0</v>
      </c>
      <c r="CF163" s="52">
        <f t="shared" si="147"/>
        <v>0</v>
      </c>
      <c r="CG163" s="52">
        <f t="shared" si="147"/>
        <v>1</v>
      </c>
      <c r="CH163" s="52">
        <f t="shared" si="147"/>
        <v>1</v>
      </c>
      <c r="CI163" s="52">
        <f t="shared" si="147"/>
        <v>1</v>
      </c>
      <c r="CJ163" s="52">
        <f t="shared" si="147"/>
        <v>1</v>
      </c>
      <c r="CK163" s="52">
        <f t="shared" si="147"/>
        <v>1</v>
      </c>
      <c r="CL163" s="52">
        <f t="shared" si="147"/>
        <v>1</v>
      </c>
      <c r="CM163" s="52">
        <f t="shared" si="147"/>
        <v>1</v>
      </c>
      <c r="CN163" s="52">
        <f t="shared" si="147"/>
        <v>1</v>
      </c>
      <c r="CO163" s="52">
        <f t="shared" si="147"/>
        <v>1</v>
      </c>
      <c r="CP163" s="52">
        <f t="shared" si="147"/>
        <v>0</v>
      </c>
      <c r="CQ163" s="52">
        <f t="shared" si="147"/>
        <v>0</v>
      </c>
      <c r="CR163" s="52">
        <f t="shared" si="147"/>
        <v>0</v>
      </c>
      <c r="CS163" s="52">
        <f t="shared" si="147"/>
        <v>0</v>
      </c>
      <c r="CT163" s="52">
        <f t="shared" si="147"/>
        <v>0</v>
      </c>
      <c r="CU163" s="52">
        <f t="shared" si="147"/>
        <v>0</v>
      </c>
      <c r="CV163" s="52">
        <f t="shared" si="147"/>
        <v>0</v>
      </c>
      <c r="CW163" s="52">
        <f t="shared" si="147"/>
        <v>0</v>
      </c>
      <c r="CX163" s="52">
        <f t="shared" si="147"/>
        <v>0</v>
      </c>
      <c r="CY163" s="52">
        <f t="shared" si="147"/>
        <v>0</v>
      </c>
      <c r="CZ163" s="52">
        <f t="shared" si="147"/>
        <v>0</v>
      </c>
      <c r="DA163" s="52">
        <f t="shared" si="147"/>
        <v>0</v>
      </c>
      <c r="DB163" s="52">
        <f t="shared" si="147"/>
        <v>0</v>
      </c>
      <c r="DC163" s="52">
        <f t="shared" si="147"/>
        <v>0</v>
      </c>
      <c r="DD163" s="52">
        <f t="shared" si="147"/>
        <v>0</v>
      </c>
      <c r="DE163" s="52">
        <f t="shared" si="147"/>
        <v>0</v>
      </c>
      <c r="DF163" s="52">
        <f t="shared" si="147"/>
        <v>0</v>
      </c>
      <c r="DG163" s="52">
        <f t="shared" si="147"/>
        <v>0</v>
      </c>
      <c r="DH163" s="52">
        <f t="shared" si="147"/>
        <v>0</v>
      </c>
      <c r="DI163" s="52">
        <f t="shared" si="147"/>
        <v>0</v>
      </c>
      <c r="DJ163" s="52">
        <f t="shared" si="147"/>
        <v>0</v>
      </c>
    </row>
    <row r="164" ht="15.75" customHeight="1">
      <c r="B164" s="52" t="s">
        <v>1792</v>
      </c>
      <c r="C164" s="52">
        <v>19.0</v>
      </c>
      <c r="D164" s="52" t="s">
        <v>1786</v>
      </c>
      <c r="E164" s="58"/>
      <c r="F164" s="58"/>
      <c r="G164" s="58"/>
      <c r="H164" s="65">
        <v>0.08</v>
      </c>
      <c r="I164" s="65">
        <v>0.08</v>
      </c>
      <c r="J164" s="65">
        <v>0.07</v>
      </c>
      <c r="K164" s="65">
        <v>0.07</v>
      </c>
      <c r="L164" s="65">
        <v>0.06</v>
      </c>
      <c r="M164" s="65">
        <v>0.06</v>
      </c>
      <c r="N164" s="65">
        <v>0.05</v>
      </c>
      <c r="O164" s="65">
        <v>0.05</v>
      </c>
      <c r="P164" s="65">
        <v>0.05</v>
      </c>
      <c r="Q164" s="65">
        <v>0.04</v>
      </c>
      <c r="R164" s="65">
        <v>0.04</v>
      </c>
      <c r="S164" s="65">
        <v>0.04</v>
      </c>
      <c r="T164" s="65">
        <v>0.04</v>
      </c>
      <c r="U164" s="65">
        <v>0.03</v>
      </c>
      <c r="V164" s="65">
        <v>0.03</v>
      </c>
      <c r="W164" s="65">
        <v>0.03</v>
      </c>
      <c r="X164" s="65">
        <v>0.03</v>
      </c>
      <c r="Y164" s="65">
        <v>0.03</v>
      </c>
      <c r="Z164" s="65">
        <v>0.02</v>
      </c>
      <c r="AA164" s="65">
        <v>0.02</v>
      </c>
      <c r="AB164" s="65">
        <v>0.03</v>
      </c>
      <c r="AC164" s="65">
        <v>0.03</v>
      </c>
      <c r="AD164" s="65">
        <v>0.02</v>
      </c>
      <c r="CC164" s="52">
        <f t="shared" ref="CC164:DJ164" si="148">ROUND($CC29*E164,0)</f>
        <v>0</v>
      </c>
      <c r="CD164" s="52">
        <f t="shared" si="148"/>
        <v>0</v>
      </c>
      <c r="CE164" s="52">
        <f t="shared" si="148"/>
        <v>0</v>
      </c>
      <c r="CF164" s="52">
        <f t="shared" si="148"/>
        <v>1</v>
      </c>
      <c r="CG164" s="52">
        <f t="shared" si="148"/>
        <v>1</v>
      </c>
      <c r="CH164" s="52">
        <f t="shared" si="148"/>
        <v>1</v>
      </c>
      <c r="CI164" s="52">
        <f t="shared" si="148"/>
        <v>1</v>
      </c>
      <c r="CJ164" s="52">
        <f t="shared" si="148"/>
        <v>1</v>
      </c>
      <c r="CK164" s="52">
        <f t="shared" si="148"/>
        <v>1</v>
      </c>
      <c r="CL164" s="52">
        <f t="shared" si="148"/>
        <v>1</v>
      </c>
      <c r="CM164" s="52">
        <f t="shared" si="148"/>
        <v>1</v>
      </c>
      <c r="CN164" s="52">
        <f t="shared" si="148"/>
        <v>1</v>
      </c>
      <c r="CO164" s="52">
        <f t="shared" si="148"/>
        <v>1</v>
      </c>
      <c r="CP164" s="52">
        <f t="shared" si="148"/>
        <v>1</v>
      </c>
      <c r="CQ164" s="52">
        <f t="shared" si="148"/>
        <v>1</v>
      </c>
      <c r="CR164" s="52">
        <f t="shared" si="148"/>
        <v>1</v>
      </c>
      <c r="CS164" s="52">
        <f t="shared" si="148"/>
        <v>1</v>
      </c>
      <c r="CT164" s="52">
        <f t="shared" si="148"/>
        <v>1</v>
      </c>
      <c r="CU164" s="52">
        <f t="shared" si="148"/>
        <v>1</v>
      </c>
      <c r="CV164" s="52">
        <f t="shared" si="148"/>
        <v>1</v>
      </c>
      <c r="CW164" s="52">
        <f t="shared" si="148"/>
        <v>1</v>
      </c>
      <c r="CX164" s="52">
        <f t="shared" si="148"/>
        <v>0</v>
      </c>
      <c r="CY164" s="52">
        <f t="shared" si="148"/>
        <v>0</v>
      </c>
      <c r="CZ164" s="52">
        <f t="shared" si="148"/>
        <v>1</v>
      </c>
      <c r="DA164" s="52">
        <f t="shared" si="148"/>
        <v>1</v>
      </c>
      <c r="DB164" s="52">
        <f t="shared" si="148"/>
        <v>0</v>
      </c>
      <c r="DC164" s="52">
        <f t="shared" si="148"/>
        <v>0</v>
      </c>
      <c r="DD164" s="52">
        <f t="shared" si="148"/>
        <v>0</v>
      </c>
      <c r="DE164" s="52">
        <f t="shared" si="148"/>
        <v>0</v>
      </c>
      <c r="DF164" s="52">
        <f t="shared" si="148"/>
        <v>0</v>
      </c>
      <c r="DG164" s="52">
        <f t="shared" si="148"/>
        <v>0</v>
      </c>
      <c r="DH164" s="52">
        <f t="shared" si="148"/>
        <v>0</v>
      </c>
      <c r="DI164" s="52">
        <f t="shared" si="148"/>
        <v>0</v>
      </c>
      <c r="DJ164" s="52">
        <f t="shared" si="148"/>
        <v>0</v>
      </c>
    </row>
    <row r="165" ht="15.75" customHeight="1">
      <c r="B165" s="52" t="s">
        <v>1792</v>
      </c>
      <c r="C165" s="52">
        <v>19.0</v>
      </c>
      <c r="D165" s="52" t="s">
        <v>1787</v>
      </c>
      <c r="E165" s="58"/>
      <c r="F165" s="58"/>
      <c r="G165" s="58"/>
      <c r="H165" s="58"/>
      <c r="I165" s="58"/>
      <c r="J165" s="65">
        <v>0.08</v>
      </c>
      <c r="K165" s="65">
        <v>0.08</v>
      </c>
      <c r="L165" s="65">
        <v>0.07</v>
      </c>
      <c r="M165" s="65">
        <v>0.07</v>
      </c>
      <c r="N165" s="65">
        <v>0.06</v>
      </c>
      <c r="O165" s="65">
        <v>0.06</v>
      </c>
      <c r="P165" s="65">
        <v>0.05</v>
      </c>
      <c r="Q165" s="65">
        <v>0.05</v>
      </c>
      <c r="R165" s="65">
        <v>0.05</v>
      </c>
      <c r="S165" s="65">
        <v>0.04</v>
      </c>
      <c r="T165" s="65">
        <v>0.04</v>
      </c>
      <c r="U165" s="65">
        <v>0.04</v>
      </c>
      <c r="V165" s="65">
        <v>0.04</v>
      </c>
      <c r="W165" s="65">
        <v>0.03</v>
      </c>
      <c r="X165" s="65">
        <v>0.03</v>
      </c>
      <c r="Y165" s="65">
        <v>0.03</v>
      </c>
      <c r="Z165" s="65">
        <v>0.03</v>
      </c>
      <c r="AA165" s="65">
        <v>0.03</v>
      </c>
      <c r="AB165" s="65">
        <v>0.02</v>
      </c>
      <c r="AC165" s="65">
        <v>0.02</v>
      </c>
      <c r="AD165" s="65">
        <v>0.03</v>
      </c>
      <c r="CC165" s="52">
        <f t="shared" ref="CC165:DJ165" si="149">ROUND($CC30*E165,0)</f>
        <v>0</v>
      </c>
      <c r="CD165" s="52">
        <f t="shared" si="149"/>
        <v>0</v>
      </c>
      <c r="CE165" s="52">
        <f t="shared" si="149"/>
        <v>0</v>
      </c>
      <c r="CF165" s="52">
        <f t="shared" si="149"/>
        <v>0</v>
      </c>
      <c r="CG165" s="52">
        <f t="shared" si="149"/>
        <v>0</v>
      </c>
      <c r="CH165" s="52">
        <f t="shared" si="149"/>
        <v>0</v>
      </c>
      <c r="CI165" s="52">
        <f t="shared" si="149"/>
        <v>0</v>
      </c>
      <c r="CJ165" s="52">
        <f t="shared" si="149"/>
        <v>0</v>
      </c>
      <c r="CK165" s="52">
        <f t="shared" si="149"/>
        <v>0</v>
      </c>
      <c r="CL165" s="52">
        <f t="shared" si="149"/>
        <v>0</v>
      </c>
      <c r="CM165" s="52">
        <f t="shared" si="149"/>
        <v>0</v>
      </c>
      <c r="CN165" s="52">
        <f t="shared" si="149"/>
        <v>0</v>
      </c>
      <c r="CO165" s="52">
        <f t="shared" si="149"/>
        <v>0</v>
      </c>
      <c r="CP165" s="52">
        <f t="shared" si="149"/>
        <v>0</v>
      </c>
      <c r="CQ165" s="52">
        <f t="shared" si="149"/>
        <v>0</v>
      </c>
      <c r="CR165" s="52">
        <f t="shared" si="149"/>
        <v>0</v>
      </c>
      <c r="CS165" s="52">
        <f t="shared" si="149"/>
        <v>0</v>
      </c>
      <c r="CT165" s="52">
        <f t="shared" si="149"/>
        <v>0</v>
      </c>
      <c r="CU165" s="52">
        <f t="shared" si="149"/>
        <v>0</v>
      </c>
      <c r="CV165" s="52">
        <f t="shared" si="149"/>
        <v>0</v>
      </c>
      <c r="CW165" s="52">
        <f t="shared" si="149"/>
        <v>0</v>
      </c>
      <c r="CX165" s="52">
        <f t="shared" si="149"/>
        <v>0</v>
      </c>
      <c r="CY165" s="52">
        <f t="shared" si="149"/>
        <v>0</v>
      </c>
      <c r="CZ165" s="52">
        <f t="shared" si="149"/>
        <v>0</v>
      </c>
      <c r="DA165" s="52">
        <f t="shared" si="149"/>
        <v>0</v>
      </c>
      <c r="DB165" s="52">
        <f t="shared" si="149"/>
        <v>0</v>
      </c>
      <c r="DC165" s="52">
        <f t="shared" si="149"/>
        <v>0</v>
      </c>
      <c r="DD165" s="52">
        <f t="shared" si="149"/>
        <v>0</v>
      </c>
      <c r="DE165" s="52">
        <f t="shared" si="149"/>
        <v>0</v>
      </c>
      <c r="DF165" s="52">
        <f t="shared" si="149"/>
        <v>0</v>
      </c>
      <c r="DG165" s="52">
        <f t="shared" si="149"/>
        <v>0</v>
      </c>
      <c r="DH165" s="52">
        <f t="shared" si="149"/>
        <v>0</v>
      </c>
      <c r="DI165" s="52">
        <f t="shared" si="149"/>
        <v>0</v>
      </c>
      <c r="DJ165" s="52">
        <f t="shared" si="149"/>
        <v>0</v>
      </c>
    </row>
    <row r="166" ht="15.75" customHeight="1">
      <c r="B166" s="52" t="s">
        <v>1792</v>
      </c>
      <c r="C166" s="52">
        <v>19.0</v>
      </c>
      <c r="D166" s="52" t="s">
        <v>1788</v>
      </c>
      <c r="E166" s="58"/>
      <c r="F166" s="58"/>
      <c r="G166" s="58"/>
      <c r="H166" s="58"/>
      <c r="I166" s="58"/>
      <c r="J166" s="58"/>
      <c r="K166" s="65">
        <v>0.08</v>
      </c>
      <c r="L166" s="65">
        <v>0.08</v>
      </c>
      <c r="M166" s="65">
        <v>0.07</v>
      </c>
      <c r="N166" s="65">
        <v>0.07</v>
      </c>
      <c r="O166" s="65">
        <v>0.06</v>
      </c>
      <c r="P166" s="65">
        <v>0.06</v>
      </c>
      <c r="Q166" s="65">
        <v>0.05</v>
      </c>
      <c r="R166" s="65">
        <v>0.05</v>
      </c>
      <c r="S166" s="65">
        <v>0.05</v>
      </c>
      <c r="T166" s="65">
        <v>0.04</v>
      </c>
      <c r="U166" s="65">
        <v>0.04</v>
      </c>
      <c r="V166" s="65">
        <v>0.04</v>
      </c>
      <c r="W166" s="65">
        <v>0.04</v>
      </c>
      <c r="X166" s="65">
        <v>0.03</v>
      </c>
      <c r="Y166" s="65">
        <v>0.03</v>
      </c>
      <c r="Z166" s="65">
        <v>0.03</v>
      </c>
      <c r="AA166" s="65">
        <v>0.03</v>
      </c>
      <c r="AB166" s="65">
        <v>0.03</v>
      </c>
      <c r="AC166" s="65">
        <v>0.02</v>
      </c>
      <c r="AD166" s="65">
        <v>0.02</v>
      </c>
      <c r="CC166" s="52">
        <f t="shared" ref="CC166:DJ166" si="150">ROUND($CC31*E166,0)</f>
        <v>0</v>
      </c>
      <c r="CD166" s="52">
        <f t="shared" si="150"/>
        <v>0</v>
      </c>
      <c r="CE166" s="52">
        <f t="shared" si="150"/>
        <v>0</v>
      </c>
      <c r="CF166" s="52">
        <f t="shared" si="150"/>
        <v>0</v>
      </c>
      <c r="CG166" s="52">
        <f t="shared" si="150"/>
        <v>0</v>
      </c>
      <c r="CH166" s="52">
        <f t="shared" si="150"/>
        <v>0</v>
      </c>
      <c r="CI166" s="52">
        <f t="shared" si="150"/>
        <v>0</v>
      </c>
      <c r="CJ166" s="52">
        <f t="shared" si="150"/>
        <v>0</v>
      </c>
      <c r="CK166" s="52">
        <f t="shared" si="150"/>
        <v>0</v>
      </c>
      <c r="CL166" s="52">
        <f t="shared" si="150"/>
        <v>0</v>
      </c>
      <c r="CM166" s="52">
        <f t="shared" si="150"/>
        <v>0</v>
      </c>
      <c r="CN166" s="52">
        <f t="shared" si="150"/>
        <v>0</v>
      </c>
      <c r="CO166" s="52">
        <f t="shared" si="150"/>
        <v>0</v>
      </c>
      <c r="CP166" s="52">
        <f t="shared" si="150"/>
        <v>0</v>
      </c>
      <c r="CQ166" s="52">
        <f t="shared" si="150"/>
        <v>0</v>
      </c>
      <c r="CR166" s="52">
        <f t="shared" si="150"/>
        <v>0</v>
      </c>
      <c r="CS166" s="52">
        <f t="shared" si="150"/>
        <v>0</v>
      </c>
      <c r="CT166" s="52">
        <f t="shared" si="150"/>
        <v>0</v>
      </c>
      <c r="CU166" s="52">
        <f t="shared" si="150"/>
        <v>0</v>
      </c>
      <c r="CV166" s="52">
        <f t="shared" si="150"/>
        <v>0</v>
      </c>
      <c r="CW166" s="52">
        <f t="shared" si="150"/>
        <v>0</v>
      </c>
      <c r="CX166" s="52">
        <f t="shared" si="150"/>
        <v>0</v>
      </c>
      <c r="CY166" s="52">
        <f t="shared" si="150"/>
        <v>0</v>
      </c>
      <c r="CZ166" s="52">
        <f t="shared" si="150"/>
        <v>0</v>
      </c>
      <c r="DA166" s="52">
        <f t="shared" si="150"/>
        <v>0</v>
      </c>
      <c r="DB166" s="52">
        <f t="shared" si="150"/>
        <v>0</v>
      </c>
      <c r="DC166" s="52">
        <f t="shared" si="150"/>
        <v>0</v>
      </c>
      <c r="DD166" s="52">
        <f t="shared" si="150"/>
        <v>0</v>
      </c>
      <c r="DE166" s="52">
        <f t="shared" si="150"/>
        <v>0</v>
      </c>
      <c r="DF166" s="52">
        <f t="shared" si="150"/>
        <v>0</v>
      </c>
      <c r="DG166" s="52">
        <f t="shared" si="150"/>
        <v>0</v>
      </c>
      <c r="DH166" s="52">
        <f t="shared" si="150"/>
        <v>0</v>
      </c>
      <c r="DI166" s="52">
        <f t="shared" si="150"/>
        <v>0</v>
      </c>
      <c r="DJ166" s="52">
        <f t="shared" si="150"/>
        <v>0</v>
      </c>
    </row>
    <row r="167" ht="15.75" customHeight="1">
      <c r="B167" s="52" t="s">
        <v>1792</v>
      </c>
      <c r="C167" s="52">
        <v>19.0</v>
      </c>
      <c r="D167" s="52" t="s">
        <v>1789</v>
      </c>
      <c r="E167" s="58"/>
      <c r="F167" s="58"/>
      <c r="G167" s="58"/>
      <c r="H167" s="58"/>
      <c r="I167" s="58"/>
      <c r="J167" s="58"/>
      <c r="K167" s="58"/>
      <c r="L167" s="65">
        <v>0.08</v>
      </c>
      <c r="M167" s="65">
        <v>0.08</v>
      </c>
      <c r="N167" s="65">
        <v>0.07</v>
      </c>
      <c r="O167" s="65">
        <v>0.07</v>
      </c>
      <c r="P167" s="65">
        <v>0.06</v>
      </c>
      <c r="Q167" s="65">
        <v>0.06</v>
      </c>
      <c r="R167" s="65">
        <v>0.05</v>
      </c>
      <c r="S167" s="65">
        <v>0.05</v>
      </c>
      <c r="T167" s="65">
        <v>0.05</v>
      </c>
      <c r="U167" s="65">
        <v>0.04</v>
      </c>
      <c r="V167" s="65">
        <v>0.04</v>
      </c>
      <c r="W167" s="65">
        <v>0.04</v>
      </c>
      <c r="X167" s="65">
        <v>0.04</v>
      </c>
      <c r="Y167" s="65">
        <v>0.03</v>
      </c>
      <c r="Z167" s="65">
        <v>0.03</v>
      </c>
      <c r="AA167" s="65">
        <v>0.03</v>
      </c>
      <c r="AB167" s="65">
        <v>0.03</v>
      </c>
      <c r="AC167" s="65">
        <v>0.03</v>
      </c>
      <c r="AD167" s="65">
        <v>0.02</v>
      </c>
      <c r="CC167" s="52">
        <f t="shared" ref="CC167:DJ167" si="151">ROUND($CC32*E167,0)</f>
        <v>0</v>
      </c>
      <c r="CD167" s="52">
        <f t="shared" si="151"/>
        <v>0</v>
      </c>
      <c r="CE167" s="52">
        <f t="shared" si="151"/>
        <v>0</v>
      </c>
      <c r="CF167" s="52">
        <f t="shared" si="151"/>
        <v>0</v>
      </c>
      <c r="CG167" s="52">
        <f t="shared" si="151"/>
        <v>0</v>
      </c>
      <c r="CH167" s="52">
        <f t="shared" si="151"/>
        <v>0</v>
      </c>
      <c r="CI167" s="52">
        <f t="shared" si="151"/>
        <v>0</v>
      </c>
      <c r="CJ167" s="52">
        <f t="shared" si="151"/>
        <v>0</v>
      </c>
      <c r="CK167" s="52">
        <f t="shared" si="151"/>
        <v>0</v>
      </c>
      <c r="CL167" s="52">
        <f t="shared" si="151"/>
        <v>0</v>
      </c>
      <c r="CM167" s="52">
        <f t="shared" si="151"/>
        <v>0</v>
      </c>
      <c r="CN167" s="52">
        <f t="shared" si="151"/>
        <v>0</v>
      </c>
      <c r="CO167" s="52">
        <f t="shared" si="151"/>
        <v>0</v>
      </c>
      <c r="CP167" s="52">
        <f t="shared" si="151"/>
        <v>0</v>
      </c>
      <c r="CQ167" s="52">
        <f t="shared" si="151"/>
        <v>0</v>
      </c>
      <c r="CR167" s="52">
        <f t="shared" si="151"/>
        <v>0</v>
      </c>
      <c r="CS167" s="52">
        <f t="shared" si="151"/>
        <v>0</v>
      </c>
      <c r="CT167" s="52">
        <f t="shared" si="151"/>
        <v>0</v>
      </c>
      <c r="CU167" s="52">
        <f t="shared" si="151"/>
        <v>0</v>
      </c>
      <c r="CV167" s="52">
        <f t="shared" si="151"/>
        <v>0</v>
      </c>
      <c r="CW167" s="52">
        <f t="shared" si="151"/>
        <v>0</v>
      </c>
      <c r="CX167" s="52">
        <f t="shared" si="151"/>
        <v>0</v>
      </c>
      <c r="CY167" s="52">
        <f t="shared" si="151"/>
        <v>0</v>
      </c>
      <c r="CZ167" s="52">
        <f t="shared" si="151"/>
        <v>0</v>
      </c>
      <c r="DA167" s="52">
        <f t="shared" si="151"/>
        <v>0</v>
      </c>
      <c r="DB167" s="52">
        <f t="shared" si="151"/>
        <v>0</v>
      </c>
      <c r="DC167" s="52">
        <f t="shared" si="151"/>
        <v>0</v>
      </c>
      <c r="DD167" s="52">
        <f t="shared" si="151"/>
        <v>0</v>
      </c>
      <c r="DE167" s="52">
        <f t="shared" si="151"/>
        <v>0</v>
      </c>
      <c r="DF167" s="52">
        <f t="shared" si="151"/>
        <v>0</v>
      </c>
      <c r="DG167" s="52">
        <f t="shared" si="151"/>
        <v>0</v>
      </c>
      <c r="DH167" s="52">
        <f t="shared" si="151"/>
        <v>0</v>
      </c>
      <c r="DI167" s="52">
        <f t="shared" si="151"/>
        <v>0</v>
      </c>
      <c r="DJ167" s="52">
        <f t="shared" si="151"/>
        <v>0</v>
      </c>
    </row>
    <row r="168" ht="15.75" customHeight="1">
      <c r="B168" s="52" t="s">
        <v>1792</v>
      </c>
      <c r="C168" s="52">
        <v>19.0</v>
      </c>
      <c r="D168" s="52" t="s">
        <v>1790</v>
      </c>
      <c r="E168" s="58"/>
      <c r="F168" s="58"/>
      <c r="G168" s="58"/>
      <c r="H168" s="58"/>
      <c r="I168" s="58"/>
      <c r="J168" s="58"/>
      <c r="K168" s="58"/>
      <c r="L168" s="58"/>
      <c r="M168" s="58"/>
      <c r="N168" s="65">
        <v>0.08</v>
      </c>
      <c r="O168" s="65">
        <v>0.08</v>
      </c>
      <c r="P168" s="65">
        <v>0.07</v>
      </c>
      <c r="Q168" s="65">
        <v>0.07</v>
      </c>
      <c r="R168" s="65">
        <v>0.06</v>
      </c>
      <c r="S168" s="65">
        <v>0.06</v>
      </c>
      <c r="T168" s="65">
        <v>0.05</v>
      </c>
      <c r="U168" s="65">
        <v>0.05</v>
      </c>
      <c r="V168" s="65">
        <v>0.05</v>
      </c>
      <c r="W168" s="65">
        <v>0.04</v>
      </c>
      <c r="X168" s="65">
        <v>0.04</v>
      </c>
      <c r="Y168" s="65">
        <v>0.04</v>
      </c>
      <c r="Z168" s="65">
        <v>0.04</v>
      </c>
      <c r="AA168" s="65">
        <v>0.03</v>
      </c>
      <c r="AB168" s="65">
        <v>0.03</v>
      </c>
      <c r="AC168" s="65">
        <v>0.03</v>
      </c>
      <c r="AD168" s="65">
        <v>0.03</v>
      </c>
      <c r="CC168" s="52">
        <f t="shared" ref="CC168:DJ168" si="152">ROUND($CC33*E168,0)</f>
        <v>0</v>
      </c>
      <c r="CD168" s="52">
        <f t="shared" si="152"/>
        <v>0</v>
      </c>
      <c r="CE168" s="52">
        <f t="shared" si="152"/>
        <v>0</v>
      </c>
      <c r="CF168" s="52">
        <f t="shared" si="152"/>
        <v>0</v>
      </c>
      <c r="CG168" s="52">
        <f t="shared" si="152"/>
        <v>0</v>
      </c>
      <c r="CH168" s="52">
        <f t="shared" si="152"/>
        <v>0</v>
      </c>
      <c r="CI168" s="52">
        <f t="shared" si="152"/>
        <v>0</v>
      </c>
      <c r="CJ168" s="52">
        <f t="shared" si="152"/>
        <v>0</v>
      </c>
      <c r="CK168" s="52">
        <f t="shared" si="152"/>
        <v>0</v>
      </c>
      <c r="CL168" s="52">
        <f t="shared" si="152"/>
        <v>1</v>
      </c>
      <c r="CM168" s="52">
        <f t="shared" si="152"/>
        <v>1</v>
      </c>
      <c r="CN168" s="52">
        <f t="shared" si="152"/>
        <v>1</v>
      </c>
      <c r="CO168" s="52">
        <f t="shared" si="152"/>
        <v>1</v>
      </c>
      <c r="CP168" s="52">
        <f t="shared" si="152"/>
        <v>0</v>
      </c>
      <c r="CQ168" s="52">
        <f t="shared" si="152"/>
        <v>0</v>
      </c>
      <c r="CR168" s="52">
        <f t="shared" si="152"/>
        <v>0</v>
      </c>
      <c r="CS168" s="52">
        <f t="shared" si="152"/>
        <v>0</v>
      </c>
      <c r="CT168" s="52">
        <f t="shared" si="152"/>
        <v>0</v>
      </c>
      <c r="CU168" s="52">
        <f t="shared" si="152"/>
        <v>0</v>
      </c>
      <c r="CV168" s="52">
        <f t="shared" si="152"/>
        <v>0</v>
      </c>
      <c r="CW168" s="52">
        <f t="shared" si="152"/>
        <v>0</v>
      </c>
      <c r="CX168" s="52">
        <f t="shared" si="152"/>
        <v>0</v>
      </c>
      <c r="CY168" s="52">
        <f t="shared" si="152"/>
        <v>0</v>
      </c>
      <c r="CZ168" s="52">
        <f t="shared" si="152"/>
        <v>0</v>
      </c>
      <c r="DA168" s="52">
        <f t="shared" si="152"/>
        <v>0</v>
      </c>
      <c r="DB168" s="52">
        <f t="shared" si="152"/>
        <v>0</v>
      </c>
      <c r="DC168" s="52">
        <f t="shared" si="152"/>
        <v>0</v>
      </c>
      <c r="DD168" s="52">
        <f t="shared" si="152"/>
        <v>0</v>
      </c>
      <c r="DE168" s="52">
        <f t="shared" si="152"/>
        <v>0</v>
      </c>
      <c r="DF168" s="52">
        <f t="shared" si="152"/>
        <v>0</v>
      </c>
      <c r="DG168" s="52">
        <f t="shared" si="152"/>
        <v>0</v>
      </c>
      <c r="DH168" s="52">
        <f t="shared" si="152"/>
        <v>0</v>
      </c>
      <c r="DI168" s="52">
        <f t="shared" si="152"/>
        <v>0</v>
      </c>
      <c r="DJ168" s="52">
        <f t="shared" si="152"/>
        <v>0</v>
      </c>
    </row>
    <row r="169" ht="15.75" customHeight="1">
      <c r="B169" s="52" t="s">
        <v>1792</v>
      </c>
      <c r="C169" s="52">
        <v>20.0</v>
      </c>
      <c r="D169" s="52">
        <v>0.0</v>
      </c>
      <c r="E169" s="65">
        <v>0.07</v>
      </c>
      <c r="F169" s="65">
        <v>0.07</v>
      </c>
      <c r="G169" s="65">
        <v>0.07</v>
      </c>
      <c r="H169" s="65">
        <v>0.07</v>
      </c>
      <c r="I169" s="65">
        <v>0.07</v>
      </c>
      <c r="J169" s="65">
        <v>0.07</v>
      </c>
      <c r="K169" s="65">
        <v>0.07</v>
      </c>
      <c r="L169" s="65">
        <v>0.07</v>
      </c>
      <c r="M169" s="65">
        <v>0.07</v>
      </c>
      <c r="N169" s="65">
        <v>0.03</v>
      </c>
      <c r="O169" s="65">
        <v>0.03</v>
      </c>
      <c r="P169" s="65">
        <v>0.03</v>
      </c>
      <c r="Q169" s="65">
        <v>0.03</v>
      </c>
      <c r="R169" s="65">
        <v>0.03</v>
      </c>
      <c r="S169" s="65">
        <v>0.03</v>
      </c>
      <c r="T169" s="65">
        <v>0.03</v>
      </c>
      <c r="U169" s="65">
        <v>0.02</v>
      </c>
      <c r="V169" s="65">
        <v>0.02</v>
      </c>
      <c r="W169" s="65">
        <v>0.02</v>
      </c>
      <c r="X169" s="65">
        <v>0.02</v>
      </c>
      <c r="Y169" s="65">
        <v>0.02</v>
      </c>
      <c r="Z169" s="65">
        <v>0.02</v>
      </c>
      <c r="AA169" s="65">
        <v>0.02</v>
      </c>
      <c r="AB169" s="65">
        <v>0.02</v>
      </c>
      <c r="AC169" s="58"/>
      <c r="AD169" s="58"/>
      <c r="CD169" s="52">
        <f t="shared" ref="CD169:DJ169" si="153">ROUND($CD27*E169,0)</f>
        <v>27</v>
      </c>
      <c r="CE169" s="52">
        <f t="shared" si="153"/>
        <v>27</v>
      </c>
      <c r="CF169" s="52">
        <f t="shared" si="153"/>
        <v>27</v>
      </c>
      <c r="CG169" s="52">
        <f t="shared" si="153"/>
        <v>27</v>
      </c>
      <c r="CH169" s="52">
        <f t="shared" si="153"/>
        <v>27</v>
      </c>
      <c r="CI169" s="52">
        <f t="shared" si="153"/>
        <v>27</v>
      </c>
      <c r="CJ169" s="52">
        <f t="shared" si="153"/>
        <v>27</v>
      </c>
      <c r="CK169" s="52">
        <f t="shared" si="153"/>
        <v>27</v>
      </c>
      <c r="CL169" s="52">
        <f t="shared" si="153"/>
        <v>27</v>
      </c>
      <c r="CM169" s="52">
        <f t="shared" si="153"/>
        <v>12</v>
      </c>
      <c r="CN169" s="52">
        <f t="shared" si="153"/>
        <v>12</v>
      </c>
      <c r="CO169" s="52">
        <f t="shared" si="153"/>
        <v>12</v>
      </c>
      <c r="CP169" s="52">
        <f t="shared" si="153"/>
        <v>12</v>
      </c>
      <c r="CQ169" s="52">
        <f t="shared" si="153"/>
        <v>12</v>
      </c>
      <c r="CR169" s="52">
        <f t="shared" si="153"/>
        <v>12</v>
      </c>
      <c r="CS169" s="52">
        <f t="shared" si="153"/>
        <v>12</v>
      </c>
      <c r="CT169" s="52">
        <f t="shared" si="153"/>
        <v>8</v>
      </c>
      <c r="CU169" s="52">
        <f t="shared" si="153"/>
        <v>8</v>
      </c>
      <c r="CV169" s="52">
        <f t="shared" si="153"/>
        <v>8</v>
      </c>
      <c r="CW169" s="52">
        <f t="shared" si="153"/>
        <v>8</v>
      </c>
      <c r="CX169" s="52">
        <f t="shared" si="153"/>
        <v>8</v>
      </c>
      <c r="CY169" s="52">
        <f t="shared" si="153"/>
        <v>8</v>
      </c>
      <c r="CZ169" s="52">
        <f t="shared" si="153"/>
        <v>8</v>
      </c>
      <c r="DA169" s="52">
        <f t="shared" si="153"/>
        <v>8</v>
      </c>
      <c r="DB169" s="52">
        <f t="shared" si="153"/>
        <v>0</v>
      </c>
      <c r="DC169" s="52">
        <f t="shared" si="153"/>
        <v>0</v>
      </c>
      <c r="DD169" s="52">
        <f t="shared" si="153"/>
        <v>0</v>
      </c>
      <c r="DE169" s="52">
        <f t="shared" si="153"/>
        <v>0</v>
      </c>
      <c r="DF169" s="52">
        <f t="shared" si="153"/>
        <v>0</v>
      </c>
      <c r="DG169" s="52">
        <f t="shared" si="153"/>
        <v>0</v>
      </c>
      <c r="DH169" s="52">
        <f t="shared" si="153"/>
        <v>0</v>
      </c>
      <c r="DI169" s="52">
        <f t="shared" si="153"/>
        <v>0</v>
      </c>
      <c r="DJ169" s="52">
        <f t="shared" si="153"/>
        <v>0</v>
      </c>
    </row>
    <row r="170" ht="15.75" customHeight="1">
      <c r="B170" s="52" t="s">
        <v>1792</v>
      </c>
      <c r="C170" s="52">
        <v>20.0</v>
      </c>
      <c r="D170" s="52" t="s">
        <v>1785</v>
      </c>
      <c r="E170" s="65">
        <v>0.02</v>
      </c>
      <c r="F170" s="65">
        <v>0.02</v>
      </c>
      <c r="G170" s="65">
        <v>0.02</v>
      </c>
      <c r="H170" s="65">
        <v>0.02</v>
      </c>
      <c r="I170" s="65">
        <v>0.08</v>
      </c>
      <c r="J170" s="65">
        <v>0.08</v>
      </c>
      <c r="K170" s="65">
        <v>0.07</v>
      </c>
      <c r="L170" s="65">
        <v>0.07</v>
      </c>
      <c r="M170" s="65">
        <v>0.06</v>
      </c>
      <c r="N170" s="65">
        <v>0.06</v>
      </c>
      <c r="O170" s="65">
        <v>0.05</v>
      </c>
      <c r="P170" s="65">
        <v>0.05</v>
      </c>
      <c r="Q170" s="65">
        <v>0.05</v>
      </c>
      <c r="R170" s="65">
        <v>0.04</v>
      </c>
      <c r="S170" s="65">
        <v>0.04</v>
      </c>
      <c r="T170" s="65">
        <v>0.04</v>
      </c>
      <c r="U170" s="65">
        <v>0.04</v>
      </c>
      <c r="V170" s="65">
        <v>0.03</v>
      </c>
      <c r="W170" s="65">
        <v>0.03</v>
      </c>
      <c r="X170" s="65">
        <v>0.03</v>
      </c>
      <c r="Y170" s="65">
        <v>0.03</v>
      </c>
      <c r="Z170" s="65">
        <v>0.03</v>
      </c>
      <c r="AA170" s="65">
        <v>0.02</v>
      </c>
      <c r="AB170" s="65">
        <v>0.02</v>
      </c>
      <c r="AC170" s="58"/>
      <c r="AD170" s="58"/>
      <c r="CD170" s="52">
        <f t="shared" ref="CD170:DJ170" si="154">ROUND($CD28*E170,0)</f>
        <v>1</v>
      </c>
      <c r="CE170" s="52">
        <f t="shared" si="154"/>
        <v>1</v>
      </c>
      <c r="CF170" s="52">
        <f t="shared" si="154"/>
        <v>1</v>
      </c>
      <c r="CG170" s="52">
        <f t="shared" si="154"/>
        <v>1</v>
      </c>
      <c r="CH170" s="52">
        <f t="shared" si="154"/>
        <v>3</v>
      </c>
      <c r="CI170" s="52">
        <f t="shared" si="154"/>
        <v>3</v>
      </c>
      <c r="CJ170" s="52">
        <f t="shared" si="154"/>
        <v>3</v>
      </c>
      <c r="CK170" s="52">
        <f t="shared" si="154"/>
        <v>3</v>
      </c>
      <c r="CL170" s="52">
        <f t="shared" si="154"/>
        <v>2</v>
      </c>
      <c r="CM170" s="52">
        <f t="shared" si="154"/>
        <v>2</v>
      </c>
      <c r="CN170" s="52">
        <f t="shared" si="154"/>
        <v>2</v>
      </c>
      <c r="CO170" s="52">
        <f t="shared" si="154"/>
        <v>2</v>
      </c>
      <c r="CP170" s="52">
        <f t="shared" si="154"/>
        <v>2</v>
      </c>
      <c r="CQ170" s="52">
        <f t="shared" si="154"/>
        <v>2</v>
      </c>
      <c r="CR170" s="52">
        <f t="shared" si="154"/>
        <v>2</v>
      </c>
      <c r="CS170" s="52">
        <f t="shared" si="154"/>
        <v>2</v>
      </c>
      <c r="CT170" s="52">
        <f t="shared" si="154"/>
        <v>2</v>
      </c>
      <c r="CU170" s="52">
        <f t="shared" si="154"/>
        <v>1</v>
      </c>
      <c r="CV170" s="52">
        <f t="shared" si="154"/>
        <v>1</v>
      </c>
      <c r="CW170" s="52">
        <f t="shared" si="154"/>
        <v>1</v>
      </c>
      <c r="CX170" s="52">
        <f t="shared" si="154"/>
        <v>1</v>
      </c>
      <c r="CY170" s="52">
        <f t="shared" si="154"/>
        <v>1</v>
      </c>
      <c r="CZ170" s="52">
        <f t="shared" si="154"/>
        <v>1</v>
      </c>
      <c r="DA170" s="52">
        <f t="shared" si="154"/>
        <v>1</v>
      </c>
      <c r="DB170" s="52">
        <f t="shared" si="154"/>
        <v>0</v>
      </c>
      <c r="DC170" s="52">
        <f t="shared" si="154"/>
        <v>0</v>
      </c>
      <c r="DD170" s="52">
        <f t="shared" si="154"/>
        <v>0</v>
      </c>
      <c r="DE170" s="52">
        <f t="shared" si="154"/>
        <v>0</v>
      </c>
      <c r="DF170" s="52">
        <f t="shared" si="154"/>
        <v>0</v>
      </c>
      <c r="DG170" s="52">
        <f t="shared" si="154"/>
        <v>0</v>
      </c>
      <c r="DH170" s="52">
        <f t="shared" si="154"/>
        <v>0</v>
      </c>
      <c r="DI170" s="52">
        <f t="shared" si="154"/>
        <v>0</v>
      </c>
      <c r="DJ170" s="52">
        <f t="shared" si="154"/>
        <v>0</v>
      </c>
    </row>
    <row r="171" ht="15.75" customHeight="1">
      <c r="B171" s="52" t="s">
        <v>1792</v>
      </c>
      <c r="C171" s="52">
        <v>20.0</v>
      </c>
      <c r="D171" s="52" t="s">
        <v>1786</v>
      </c>
      <c r="E171" s="58"/>
      <c r="F171" s="58"/>
      <c r="G171" s="58"/>
      <c r="H171" s="65">
        <v>0.08</v>
      </c>
      <c r="I171" s="65">
        <v>0.08</v>
      </c>
      <c r="J171" s="65">
        <v>0.07</v>
      </c>
      <c r="K171" s="65">
        <v>0.07</v>
      </c>
      <c r="L171" s="65">
        <v>0.06</v>
      </c>
      <c r="M171" s="65">
        <v>0.06</v>
      </c>
      <c r="N171" s="65">
        <v>0.05</v>
      </c>
      <c r="O171" s="65">
        <v>0.05</v>
      </c>
      <c r="P171" s="65">
        <v>0.05</v>
      </c>
      <c r="Q171" s="65">
        <v>0.04</v>
      </c>
      <c r="R171" s="65">
        <v>0.04</v>
      </c>
      <c r="S171" s="65">
        <v>0.04</v>
      </c>
      <c r="T171" s="65">
        <v>0.04</v>
      </c>
      <c r="U171" s="65">
        <v>0.03</v>
      </c>
      <c r="V171" s="65">
        <v>0.03</v>
      </c>
      <c r="W171" s="65">
        <v>0.03</v>
      </c>
      <c r="X171" s="65">
        <v>0.03</v>
      </c>
      <c r="Y171" s="65">
        <v>0.03</v>
      </c>
      <c r="Z171" s="65">
        <v>0.02</v>
      </c>
      <c r="AA171" s="65">
        <v>0.02</v>
      </c>
      <c r="AB171" s="65">
        <v>0.03</v>
      </c>
      <c r="AC171" s="65">
        <v>0.03</v>
      </c>
      <c r="AD171" s="65">
        <v>0.02</v>
      </c>
      <c r="CD171" s="52">
        <f t="shared" ref="CD171:DJ171" si="155">ROUND($CD29*E171,0)</f>
        <v>0</v>
      </c>
      <c r="CE171" s="52">
        <f t="shared" si="155"/>
        <v>0</v>
      </c>
      <c r="CF171" s="52">
        <f t="shared" si="155"/>
        <v>0</v>
      </c>
      <c r="CG171" s="52">
        <f t="shared" si="155"/>
        <v>6</v>
      </c>
      <c r="CH171" s="52">
        <f t="shared" si="155"/>
        <v>6</v>
      </c>
      <c r="CI171" s="52">
        <f t="shared" si="155"/>
        <v>5</v>
      </c>
      <c r="CJ171" s="52">
        <f t="shared" si="155"/>
        <v>5</v>
      </c>
      <c r="CK171" s="52">
        <f t="shared" si="155"/>
        <v>4</v>
      </c>
      <c r="CL171" s="52">
        <f t="shared" si="155"/>
        <v>4</v>
      </c>
      <c r="CM171" s="52">
        <f t="shared" si="155"/>
        <v>4</v>
      </c>
      <c r="CN171" s="52">
        <f t="shared" si="155"/>
        <v>4</v>
      </c>
      <c r="CO171" s="52">
        <f t="shared" si="155"/>
        <v>4</v>
      </c>
      <c r="CP171" s="52">
        <f t="shared" si="155"/>
        <v>3</v>
      </c>
      <c r="CQ171" s="52">
        <f t="shared" si="155"/>
        <v>3</v>
      </c>
      <c r="CR171" s="52">
        <f t="shared" si="155"/>
        <v>3</v>
      </c>
      <c r="CS171" s="52">
        <f t="shared" si="155"/>
        <v>3</v>
      </c>
      <c r="CT171" s="52">
        <f t="shared" si="155"/>
        <v>2</v>
      </c>
      <c r="CU171" s="52">
        <f t="shared" si="155"/>
        <v>2</v>
      </c>
      <c r="CV171" s="52">
        <f t="shared" si="155"/>
        <v>2</v>
      </c>
      <c r="CW171" s="52">
        <f t="shared" si="155"/>
        <v>2</v>
      </c>
      <c r="CX171" s="52">
        <f t="shared" si="155"/>
        <v>2</v>
      </c>
      <c r="CY171" s="52">
        <f t="shared" si="155"/>
        <v>1</v>
      </c>
      <c r="CZ171" s="52">
        <f t="shared" si="155"/>
        <v>1</v>
      </c>
      <c r="DA171" s="52">
        <f t="shared" si="155"/>
        <v>2</v>
      </c>
      <c r="DB171" s="52">
        <f t="shared" si="155"/>
        <v>2</v>
      </c>
      <c r="DC171" s="52">
        <f t="shared" si="155"/>
        <v>1</v>
      </c>
      <c r="DD171" s="52">
        <f t="shared" si="155"/>
        <v>0</v>
      </c>
      <c r="DE171" s="52">
        <f t="shared" si="155"/>
        <v>0</v>
      </c>
      <c r="DF171" s="52">
        <f t="shared" si="155"/>
        <v>0</v>
      </c>
      <c r="DG171" s="52">
        <f t="shared" si="155"/>
        <v>0</v>
      </c>
      <c r="DH171" s="52">
        <f t="shared" si="155"/>
        <v>0</v>
      </c>
      <c r="DI171" s="52">
        <f t="shared" si="155"/>
        <v>0</v>
      </c>
      <c r="DJ171" s="52">
        <f t="shared" si="155"/>
        <v>0</v>
      </c>
    </row>
    <row r="172" ht="15.75" customHeight="1">
      <c r="B172" s="52" t="s">
        <v>1792</v>
      </c>
      <c r="C172" s="52">
        <v>20.0</v>
      </c>
      <c r="D172" s="52" t="s">
        <v>1787</v>
      </c>
      <c r="E172" s="58"/>
      <c r="F172" s="58"/>
      <c r="G172" s="58"/>
      <c r="H172" s="58"/>
      <c r="I172" s="58"/>
      <c r="J172" s="65">
        <v>0.08</v>
      </c>
      <c r="K172" s="65">
        <v>0.08</v>
      </c>
      <c r="L172" s="65">
        <v>0.07</v>
      </c>
      <c r="M172" s="65">
        <v>0.07</v>
      </c>
      <c r="N172" s="65">
        <v>0.06</v>
      </c>
      <c r="O172" s="65">
        <v>0.06</v>
      </c>
      <c r="P172" s="65">
        <v>0.05</v>
      </c>
      <c r="Q172" s="65">
        <v>0.05</v>
      </c>
      <c r="R172" s="65">
        <v>0.05</v>
      </c>
      <c r="S172" s="65">
        <v>0.04</v>
      </c>
      <c r="T172" s="65">
        <v>0.04</v>
      </c>
      <c r="U172" s="65">
        <v>0.04</v>
      </c>
      <c r="V172" s="65">
        <v>0.04</v>
      </c>
      <c r="W172" s="65">
        <v>0.03</v>
      </c>
      <c r="X172" s="65">
        <v>0.03</v>
      </c>
      <c r="Y172" s="65">
        <v>0.03</v>
      </c>
      <c r="Z172" s="65">
        <v>0.03</v>
      </c>
      <c r="AA172" s="65">
        <v>0.03</v>
      </c>
      <c r="AB172" s="65">
        <v>0.02</v>
      </c>
      <c r="AC172" s="65">
        <v>0.02</v>
      </c>
      <c r="AD172" s="65">
        <v>0.03</v>
      </c>
      <c r="CD172" s="52">
        <f t="shared" ref="CD172:DJ172" si="156">ROUND($CD30*E172,0)</f>
        <v>0</v>
      </c>
      <c r="CE172" s="52">
        <f t="shared" si="156"/>
        <v>0</v>
      </c>
      <c r="CF172" s="52">
        <f t="shared" si="156"/>
        <v>0</v>
      </c>
      <c r="CG172" s="52">
        <f t="shared" si="156"/>
        <v>0</v>
      </c>
      <c r="CH172" s="52">
        <f t="shared" si="156"/>
        <v>0</v>
      </c>
      <c r="CI172" s="52">
        <f t="shared" si="156"/>
        <v>1</v>
      </c>
      <c r="CJ172" s="52">
        <f t="shared" si="156"/>
        <v>1</v>
      </c>
      <c r="CK172" s="52">
        <f t="shared" si="156"/>
        <v>1</v>
      </c>
      <c r="CL172" s="52">
        <f t="shared" si="156"/>
        <v>1</v>
      </c>
      <c r="CM172" s="52">
        <f t="shared" si="156"/>
        <v>1</v>
      </c>
      <c r="CN172" s="52">
        <f t="shared" si="156"/>
        <v>1</v>
      </c>
      <c r="CO172" s="52">
        <f t="shared" si="156"/>
        <v>1</v>
      </c>
      <c r="CP172" s="52">
        <f t="shared" si="156"/>
        <v>1</v>
      </c>
      <c r="CQ172" s="52">
        <f t="shared" si="156"/>
        <v>1</v>
      </c>
      <c r="CR172" s="52">
        <f t="shared" si="156"/>
        <v>1</v>
      </c>
      <c r="CS172" s="52">
        <f t="shared" si="156"/>
        <v>1</v>
      </c>
      <c r="CT172" s="52">
        <f t="shared" si="156"/>
        <v>1</v>
      </c>
      <c r="CU172" s="52">
        <f t="shared" si="156"/>
        <v>1</v>
      </c>
      <c r="CV172" s="52">
        <f t="shared" si="156"/>
        <v>0</v>
      </c>
      <c r="CW172" s="52">
        <f t="shared" si="156"/>
        <v>0</v>
      </c>
      <c r="CX172" s="52">
        <f t="shared" si="156"/>
        <v>0</v>
      </c>
      <c r="CY172" s="52">
        <f t="shared" si="156"/>
        <v>0</v>
      </c>
      <c r="CZ172" s="52">
        <f t="shared" si="156"/>
        <v>0</v>
      </c>
      <c r="DA172" s="52">
        <f t="shared" si="156"/>
        <v>0</v>
      </c>
      <c r="DB172" s="52">
        <f t="shared" si="156"/>
        <v>0</v>
      </c>
      <c r="DC172" s="52">
        <f t="shared" si="156"/>
        <v>0</v>
      </c>
      <c r="DD172" s="52">
        <f t="shared" si="156"/>
        <v>0</v>
      </c>
      <c r="DE172" s="52">
        <f t="shared" si="156"/>
        <v>0</v>
      </c>
      <c r="DF172" s="52">
        <f t="shared" si="156"/>
        <v>0</v>
      </c>
      <c r="DG172" s="52">
        <f t="shared" si="156"/>
        <v>0</v>
      </c>
      <c r="DH172" s="52">
        <f t="shared" si="156"/>
        <v>0</v>
      </c>
      <c r="DI172" s="52">
        <f t="shared" si="156"/>
        <v>0</v>
      </c>
      <c r="DJ172" s="52">
        <f t="shared" si="156"/>
        <v>0</v>
      </c>
    </row>
    <row r="173" ht="15.75" customHeight="1">
      <c r="B173" s="52" t="s">
        <v>1792</v>
      </c>
      <c r="C173" s="52">
        <v>20.0</v>
      </c>
      <c r="D173" s="52" t="s">
        <v>1788</v>
      </c>
      <c r="E173" s="58"/>
      <c r="F173" s="58"/>
      <c r="G173" s="58"/>
      <c r="H173" s="58"/>
      <c r="I173" s="58"/>
      <c r="J173" s="58"/>
      <c r="K173" s="65">
        <v>0.08</v>
      </c>
      <c r="L173" s="65">
        <v>0.08</v>
      </c>
      <c r="M173" s="65">
        <v>0.07</v>
      </c>
      <c r="N173" s="65">
        <v>0.07</v>
      </c>
      <c r="O173" s="65">
        <v>0.06</v>
      </c>
      <c r="P173" s="65">
        <v>0.06</v>
      </c>
      <c r="Q173" s="65">
        <v>0.05</v>
      </c>
      <c r="R173" s="65">
        <v>0.05</v>
      </c>
      <c r="S173" s="65">
        <v>0.05</v>
      </c>
      <c r="T173" s="65">
        <v>0.04</v>
      </c>
      <c r="U173" s="65">
        <v>0.04</v>
      </c>
      <c r="V173" s="65">
        <v>0.04</v>
      </c>
      <c r="W173" s="65">
        <v>0.04</v>
      </c>
      <c r="X173" s="65">
        <v>0.03</v>
      </c>
      <c r="Y173" s="65">
        <v>0.03</v>
      </c>
      <c r="Z173" s="65">
        <v>0.03</v>
      </c>
      <c r="AA173" s="65">
        <v>0.03</v>
      </c>
      <c r="AB173" s="65">
        <v>0.03</v>
      </c>
      <c r="AC173" s="65">
        <v>0.02</v>
      </c>
      <c r="AD173" s="65">
        <v>0.02</v>
      </c>
      <c r="CD173" s="52">
        <f t="shared" ref="CD173:DJ173" si="157">ROUND($CD31*E173,0)</f>
        <v>0</v>
      </c>
      <c r="CE173" s="52">
        <f t="shared" si="157"/>
        <v>0</v>
      </c>
      <c r="CF173" s="52">
        <f t="shared" si="157"/>
        <v>0</v>
      </c>
      <c r="CG173" s="52">
        <f t="shared" si="157"/>
        <v>0</v>
      </c>
      <c r="CH173" s="52">
        <f t="shared" si="157"/>
        <v>0</v>
      </c>
      <c r="CI173" s="52">
        <f t="shared" si="157"/>
        <v>0</v>
      </c>
      <c r="CJ173" s="52">
        <f t="shared" si="157"/>
        <v>1</v>
      </c>
      <c r="CK173" s="52">
        <f t="shared" si="157"/>
        <v>1</v>
      </c>
      <c r="CL173" s="52">
        <f t="shared" si="157"/>
        <v>1</v>
      </c>
      <c r="CM173" s="52">
        <f t="shared" si="157"/>
        <v>1</v>
      </c>
      <c r="CN173" s="52">
        <f t="shared" si="157"/>
        <v>1</v>
      </c>
      <c r="CO173" s="52">
        <f t="shared" si="157"/>
        <v>1</v>
      </c>
      <c r="CP173" s="52">
        <f t="shared" si="157"/>
        <v>1</v>
      </c>
      <c r="CQ173" s="52">
        <f t="shared" si="157"/>
        <v>1</v>
      </c>
      <c r="CR173" s="52">
        <f t="shared" si="157"/>
        <v>1</v>
      </c>
      <c r="CS173" s="52">
        <f t="shared" si="157"/>
        <v>0</v>
      </c>
      <c r="CT173" s="52">
        <f t="shared" si="157"/>
        <v>0</v>
      </c>
      <c r="CU173" s="52">
        <f t="shared" si="157"/>
        <v>0</v>
      </c>
      <c r="CV173" s="52">
        <f t="shared" si="157"/>
        <v>0</v>
      </c>
      <c r="CW173" s="52">
        <f t="shared" si="157"/>
        <v>0</v>
      </c>
      <c r="CX173" s="52">
        <f t="shared" si="157"/>
        <v>0</v>
      </c>
      <c r="CY173" s="52">
        <f t="shared" si="157"/>
        <v>0</v>
      </c>
      <c r="CZ173" s="52">
        <f t="shared" si="157"/>
        <v>0</v>
      </c>
      <c r="DA173" s="52">
        <f t="shared" si="157"/>
        <v>0</v>
      </c>
      <c r="DB173" s="52">
        <f t="shared" si="157"/>
        <v>0</v>
      </c>
      <c r="DC173" s="52">
        <f t="shared" si="157"/>
        <v>0</v>
      </c>
      <c r="DD173" s="52">
        <f t="shared" si="157"/>
        <v>0</v>
      </c>
      <c r="DE173" s="52">
        <f t="shared" si="157"/>
        <v>0</v>
      </c>
      <c r="DF173" s="52">
        <f t="shared" si="157"/>
        <v>0</v>
      </c>
      <c r="DG173" s="52">
        <f t="shared" si="157"/>
        <v>0</v>
      </c>
      <c r="DH173" s="52">
        <f t="shared" si="157"/>
        <v>0</v>
      </c>
      <c r="DI173" s="52">
        <f t="shared" si="157"/>
        <v>0</v>
      </c>
      <c r="DJ173" s="52">
        <f t="shared" si="157"/>
        <v>0</v>
      </c>
    </row>
    <row r="174" ht="15.75" customHeight="1">
      <c r="B174" s="52" t="s">
        <v>1792</v>
      </c>
      <c r="C174" s="52">
        <v>20.0</v>
      </c>
      <c r="D174" s="52" t="s">
        <v>1789</v>
      </c>
      <c r="E174" s="58"/>
      <c r="F174" s="58"/>
      <c r="G174" s="58"/>
      <c r="H174" s="58"/>
      <c r="I174" s="58"/>
      <c r="J174" s="58"/>
      <c r="K174" s="58"/>
      <c r="L174" s="65">
        <v>0.08</v>
      </c>
      <c r="M174" s="65">
        <v>0.08</v>
      </c>
      <c r="N174" s="65">
        <v>0.07</v>
      </c>
      <c r="O174" s="65">
        <v>0.07</v>
      </c>
      <c r="P174" s="65">
        <v>0.06</v>
      </c>
      <c r="Q174" s="65">
        <v>0.06</v>
      </c>
      <c r="R174" s="65">
        <v>0.05</v>
      </c>
      <c r="S174" s="65">
        <v>0.05</v>
      </c>
      <c r="T174" s="65">
        <v>0.05</v>
      </c>
      <c r="U174" s="65">
        <v>0.04</v>
      </c>
      <c r="V174" s="65">
        <v>0.04</v>
      </c>
      <c r="W174" s="65">
        <v>0.04</v>
      </c>
      <c r="X174" s="65">
        <v>0.04</v>
      </c>
      <c r="Y174" s="65">
        <v>0.03</v>
      </c>
      <c r="Z174" s="65">
        <v>0.03</v>
      </c>
      <c r="AA174" s="65">
        <v>0.03</v>
      </c>
      <c r="AB174" s="65">
        <v>0.03</v>
      </c>
      <c r="AC174" s="65">
        <v>0.03</v>
      </c>
      <c r="AD174" s="65">
        <v>0.02</v>
      </c>
      <c r="CD174" s="52">
        <f t="shared" ref="CD174:DJ174" si="158">ROUND($CD32*E174,0)</f>
        <v>0</v>
      </c>
      <c r="CE174" s="52">
        <f t="shared" si="158"/>
        <v>0</v>
      </c>
      <c r="CF174" s="52">
        <f t="shared" si="158"/>
        <v>0</v>
      </c>
      <c r="CG174" s="52">
        <f t="shared" si="158"/>
        <v>0</v>
      </c>
      <c r="CH174" s="52">
        <f t="shared" si="158"/>
        <v>0</v>
      </c>
      <c r="CI174" s="52">
        <f t="shared" si="158"/>
        <v>0</v>
      </c>
      <c r="CJ174" s="52">
        <f t="shared" si="158"/>
        <v>0</v>
      </c>
      <c r="CK174" s="52">
        <f t="shared" si="158"/>
        <v>2</v>
      </c>
      <c r="CL174" s="52">
        <f t="shared" si="158"/>
        <v>2</v>
      </c>
      <c r="CM174" s="52">
        <f t="shared" si="158"/>
        <v>2</v>
      </c>
      <c r="CN174" s="52">
        <f t="shared" si="158"/>
        <v>2</v>
      </c>
      <c r="CO174" s="52">
        <f t="shared" si="158"/>
        <v>1</v>
      </c>
      <c r="CP174" s="52">
        <f t="shared" si="158"/>
        <v>1</v>
      </c>
      <c r="CQ174" s="52">
        <f t="shared" si="158"/>
        <v>1</v>
      </c>
      <c r="CR174" s="52">
        <f t="shared" si="158"/>
        <v>1</v>
      </c>
      <c r="CS174" s="52">
        <f t="shared" si="158"/>
        <v>1</v>
      </c>
      <c r="CT174" s="52">
        <f t="shared" si="158"/>
        <v>1</v>
      </c>
      <c r="CU174" s="52">
        <f t="shared" si="158"/>
        <v>1</v>
      </c>
      <c r="CV174" s="52">
        <f t="shared" si="158"/>
        <v>1</v>
      </c>
      <c r="CW174" s="52">
        <f t="shared" si="158"/>
        <v>1</v>
      </c>
      <c r="CX174" s="52">
        <f t="shared" si="158"/>
        <v>1</v>
      </c>
      <c r="CY174" s="52">
        <f t="shared" si="158"/>
        <v>1</v>
      </c>
      <c r="CZ174" s="52">
        <f t="shared" si="158"/>
        <v>1</v>
      </c>
      <c r="DA174" s="52">
        <f t="shared" si="158"/>
        <v>1</v>
      </c>
      <c r="DB174" s="52">
        <f t="shared" si="158"/>
        <v>1</v>
      </c>
      <c r="DC174" s="52">
        <f t="shared" si="158"/>
        <v>0</v>
      </c>
      <c r="DD174" s="52">
        <f t="shared" si="158"/>
        <v>0</v>
      </c>
      <c r="DE174" s="52">
        <f t="shared" si="158"/>
        <v>0</v>
      </c>
      <c r="DF174" s="52">
        <f t="shared" si="158"/>
        <v>0</v>
      </c>
      <c r="DG174" s="52">
        <f t="shared" si="158"/>
        <v>0</v>
      </c>
      <c r="DH174" s="52">
        <f t="shared" si="158"/>
        <v>0</v>
      </c>
      <c r="DI174" s="52">
        <f t="shared" si="158"/>
        <v>0</v>
      </c>
      <c r="DJ174" s="52">
        <f t="shared" si="158"/>
        <v>0</v>
      </c>
    </row>
    <row r="175" ht="15.75" customHeight="1">
      <c r="B175" s="52" t="s">
        <v>1792</v>
      </c>
      <c r="C175" s="52">
        <v>20.0</v>
      </c>
      <c r="D175" s="52" t="s">
        <v>1790</v>
      </c>
      <c r="E175" s="58"/>
      <c r="F175" s="58"/>
      <c r="G175" s="58"/>
      <c r="H175" s="58"/>
      <c r="I175" s="58"/>
      <c r="J175" s="58"/>
      <c r="K175" s="58"/>
      <c r="L175" s="58"/>
      <c r="M175" s="58"/>
      <c r="N175" s="65">
        <v>0.08</v>
      </c>
      <c r="O175" s="65">
        <v>0.08</v>
      </c>
      <c r="P175" s="65">
        <v>0.07</v>
      </c>
      <c r="Q175" s="65">
        <v>0.07</v>
      </c>
      <c r="R175" s="65">
        <v>0.06</v>
      </c>
      <c r="S175" s="65">
        <v>0.06</v>
      </c>
      <c r="T175" s="65">
        <v>0.05</v>
      </c>
      <c r="U175" s="65">
        <v>0.05</v>
      </c>
      <c r="V175" s="65">
        <v>0.05</v>
      </c>
      <c r="W175" s="65">
        <v>0.04</v>
      </c>
      <c r="X175" s="65">
        <v>0.04</v>
      </c>
      <c r="Y175" s="65">
        <v>0.04</v>
      </c>
      <c r="Z175" s="65">
        <v>0.04</v>
      </c>
      <c r="AA175" s="65">
        <v>0.03</v>
      </c>
      <c r="AB175" s="65">
        <v>0.03</v>
      </c>
      <c r="AC175" s="65">
        <v>0.03</v>
      </c>
      <c r="AD175" s="65">
        <v>0.03</v>
      </c>
      <c r="CD175" s="52">
        <f t="shared" ref="CD175:DJ175" si="159">ROUND($CD33*E175,0)</f>
        <v>0</v>
      </c>
      <c r="CE175" s="52">
        <f t="shared" si="159"/>
        <v>0</v>
      </c>
      <c r="CF175" s="52">
        <f t="shared" si="159"/>
        <v>0</v>
      </c>
      <c r="CG175" s="52">
        <f t="shared" si="159"/>
        <v>0</v>
      </c>
      <c r="CH175" s="52">
        <f t="shared" si="159"/>
        <v>0</v>
      </c>
      <c r="CI175" s="52">
        <f t="shared" si="159"/>
        <v>0</v>
      </c>
      <c r="CJ175" s="52">
        <f t="shared" si="159"/>
        <v>0</v>
      </c>
      <c r="CK175" s="52">
        <f t="shared" si="159"/>
        <v>0</v>
      </c>
      <c r="CL175" s="52">
        <f t="shared" si="159"/>
        <v>0</v>
      </c>
      <c r="CM175" s="52">
        <f t="shared" si="159"/>
        <v>3</v>
      </c>
      <c r="CN175" s="52">
        <f t="shared" si="159"/>
        <v>3</v>
      </c>
      <c r="CO175" s="52">
        <f t="shared" si="159"/>
        <v>2</v>
      </c>
      <c r="CP175" s="52">
        <f t="shared" si="159"/>
        <v>2</v>
      </c>
      <c r="CQ175" s="52">
        <f t="shared" si="159"/>
        <v>2</v>
      </c>
      <c r="CR175" s="52">
        <f t="shared" si="159"/>
        <v>2</v>
      </c>
      <c r="CS175" s="52">
        <f t="shared" si="159"/>
        <v>2</v>
      </c>
      <c r="CT175" s="52">
        <f t="shared" si="159"/>
        <v>2</v>
      </c>
      <c r="CU175" s="52">
        <f t="shared" si="159"/>
        <v>2</v>
      </c>
      <c r="CV175" s="52">
        <f t="shared" si="159"/>
        <v>1</v>
      </c>
      <c r="CW175" s="52">
        <f t="shared" si="159"/>
        <v>1</v>
      </c>
      <c r="CX175" s="52">
        <f t="shared" si="159"/>
        <v>1</v>
      </c>
      <c r="CY175" s="52">
        <f t="shared" si="159"/>
        <v>1</v>
      </c>
      <c r="CZ175" s="52">
        <f t="shared" si="159"/>
        <v>1</v>
      </c>
      <c r="DA175" s="52">
        <f t="shared" si="159"/>
        <v>1</v>
      </c>
      <c r="DB175" s="52">
        <f t="shared" si="159"/>
        <v>1</v>
      </c>
      <c r="DC175" s="52">
        <f t="shared" si="159"/>
        <v>1</v>
      </c>
      <c r="DD175" s="52">
        <f t="shared" si="159"/>
        <v>0</v>
      </c>
      <c r="DE175" s="52">
        <f t="shared" si="159"/>
        <v>0</v>
      </c>
      <c r="DF175" s="52">
        <f t="shared" si="159"/>
        <v>0</v>
      </c>
      <c r="DG175" s="52">
        <f t="shared" si="159"/>
        <v>0</v>
      </c>
      <c r="DH175" s="52">
        <f t="shared" si="159"/>
        <v>0</v>
      </c>
      <c r="DI175" s="52">
        <f t="shared" si="159"/>
        <v>0</v>
      </c>
      <c r="DJ175" s="52">
        <f t="shared" si="159"/>
        <v>0</v>
      </c>
    </row>
    <row r="176" ht="15.75" customHeight="1">
      <c r="B176" s="52" t="s">
        <v>1792</v>
      </c>
      <c r="C176" s="52">
        <v>21.0</v>
      </c>
      <c r="D176" s="52">
        <v>0.0</v>
      </c>
      <c r="E176" s="65">
        <v>0.07</v>
      </c>
      <c r="F176" s="65">
        <v>0.07</v>
      </c>
      <c r="G176" s="65">
        <v>0.07</v>
      </c>
      <c r="H176" s="65">
        <v>0.07</v>
      </c>
      <c r="I176" s="65">
        <v>0.07</v>
      </c>
      <c r="J176" s="65">
        <v>0.07</v>
      </c>
      <c r="K176" s="65">
        <v>0.07</v>
      </c>
      <c r="L176" s="65">
        <v>0.07</v>
      </c>
      <c r="M176" s="65">
        <v>0.07</v>
      </c>
      <c r="N176" s="65">
        <v>0.03</v>
      </c>
      <c r="O176" s="65">
        <v>0.03</v>
      </c>
      <c r="P176" s="65">
        <v>0.03</v>
      </c>
      <c r="Q176" s="65">
        <v>0.03</v>
      </c>
      <c r="R176" s="65">
        <v>0.03</v>
      </c>
      <c r="S176" s="65">
        <v>0.03</v>
      </c>
      <c r="T176" s="65">
        <v>0.03</v>
      </c>
      <c r="U176" s="65">
        <v>0.02</v>
      </c>
      <c r="V176" s="65">
        <v>0.02</v>
      </c>
      <c r="W176" s="65">
        <v>0.02</v>
      </c>
      <c r="X176" s="65">
        <v>0.02</v>
      </c>
      <c r="Y176" s="65">
        <v>0.02</v>
      </c>
      <c r="Z176" s="65">
        <v>0.02</v>
      </c>
      <c r="AA176" s="65">
        <v>0.02</v>
      </c>
      <c r="AB176" s="65">
        <v>0.02</v>
      </c>
      <c r="AC176" s="58"/>
      <c r="AD176" s="58"/>
      <c r="CE176" s="52">
        <f t="shared" ref="CE176:DJ176" si="160">ROUND($CE27*E176,0)</f>
        <v>14</v>
      </c>
      <c r="CF176" s="52">
        <f t="shared" si="160"/>
        <v>14</v>
      </c>
      <c r="CG176" s="52">
        <f t="shared" si="160"/>
        <v>14</v>
      </c>
      <c r="CH176" s="52">
        <f t="shared" si="160"/>
        <v>14</v>
      </c>
      <c r="CI176" s="52">
        <f t="shared" si="160"/>
        <v>14</v>
      </c>
      <c r="CJ176" s="52">
        <f t="shared" si="160"/>
        <v>14</v>
      </c>
      <c r="CK176" s="52">
        <f t="shared" si="160"/>
        <v>14</v>
      </c>
      <c r="CL176" s="52">
        <f t="shared" si="160"/>
        <v>14</v>
      </c>
      <c r="CM176" s="52">
        <f t="shared" si="160"/>
        <v>14</v>
      </c>
      <c r="CN176" s="52">
        <f t="shared" si="160"/>
        <v>6</v>
      </c>
      <c r="CO176" s="52">
        <f t="shared" si="160"/>
        <v>6</v>
      </c>
      <c r="CP176" s="52">
        <f t="shared" si="160"/>
        <v>6</v>
      </c>
      <c r="CQ176" s="52">
        <f t="shared" si="160"/>
        <v>6</v>
      </c>
      <c r="CR176" s="52">
        <f t="shared" si="160"/>
        <v>6</v>
      </c>
      <c r="CS176" s="52">
        <f t="shared" si="160"/>
        <v>6</v>
      </c>
      <c r="CT176" s="52">
        <f t="shared" si="160"/>
        <v>6</v>
      </c>
      <c r="CU176" s="52">
        <f t="shared" si="160"/>
        <v>4</v>
      </c>
      <c r="CV176" s="52">
        <f t="shared" si="160"/>
        <v>4</v>
      </c>
      <c r="CW176" s="52">
        <f t="shared" si="160"/>
        <v>4</v>
      </c>
      <c r="CX176" s="52">
        <f t="shared" si="160"/>
        <v>4</v>
      </c>
      <c r="CY176" s="52">
        <f t="shared" si="160"/>
        <v>4</v>
      </c>
      <c r="CZ176" s="52">
        <f t="shared" si="160"/>
        <v>4</v>
      </c>
      <c r="DA176" s="52">
        <f t="shared" si="160"/>
        <v>4</v>
      </c>
      <c r="DB176" s="52">
        <f t="shared" si="160"/>
        <v>4</v>
      </c>
      <c r="DC176" s="52">
        <f t="shared" si="160"/>
        <v>0</v>
      </c>
      <c r="DD176" s="52">
        <f t="shared" si="160"/>
        <v>0</v>
      </c>
      <c r="DE176" s="52">
        <f t="shared" si="160"/>
        <v>0</v>
      </c>
      <c r="DF176" s="52">
        <f t="shared" si="160"/>
        <v>0</v>
      </c>
      <c r="DG176" s="52">
        <f t="shared" si="160"/>
        <v>0</v>
      </c>
      <c r="DH176" s="52">
        <f t="shared" si="160"/>
        <v>0</v>
      </c>
      <c r="DI176" s="52">
        <f t="shared" si="160"/>
        <v>0</v>
      </c>
      <c r="DJ176" s="52">
        <f t="shared" si="160"/>
        <v>0</v>
      </c>
    </row>
    <row r="177" ht="15.75" customHeight="1">
      <c r="B177" s="52" t="s">
        <v>1792</v>
      </c>
      <c r="C177" s="52">
        <v>21.0</v>
      </c>
      <c r="D177" s="52" t="s">
        <v>1785</v>
      </c>
      <c r="E177" s="65">
        <v>0.02</v>
      </c>
      <c r="F177" s="65">
        <v>0.02</v>
      </c>
      <c r="G177" s="65">
        <v>0.02</v>
      </c>
      <c r="H177" s="65">
        <v>0.02</v>
      </c>
      <c r="I177" s="65">
        <v>0.08</v>
      </c>
      <c r="J177" s="65">
        <v>0.08</v>
      </c>
      <c r="K177" s="65">
        <v>0.07</v>
      </c>
      <c r="L177" s="65">
        <v>0.07</v>
      </c>
      <c r="M177" s="65">
        <v>0.06</v>
      </c>
      <c r="N177" s="65">
        <v>0.06</v>
      </c>
      <c r="O177" s="65">
        <v>0.05</v>
      </c>
      <c r="P177" s="65">
        <v>0.05</v>
      </c>
      <c r="Q177" s="65">
        <v>0.05</v>
      </c>
      <c r="R177" s="65">
        <v>0.04</v>
      </c>
      <c r="S177" s="65">
        <v>0.04</v>
      </c>
      <c r="T177" s="65">
        <v>0.04</v>
      </c>
      <c r="U177" s="65">
        <v>0.04</v>
      </c>
      <c r="V177" s="65">
        <v>0.03</v>
      </c>
      <c r="W177" s="65">
        <v>0.03</v>
      </c>
      <c r="X177" s="65">
        <v>0.03</v>
      </c>
      <c r="Y177" s="65">
        <v>0.03</v>
      </c>
      <c r="Z177" s="65">
        <v>0.03</v>
      </c>
      <c r="AA177" s="65">
        <v>0.02</v>
      </c>
      <c r="AB177" s="65">
        <v>0.02</v>
      </c>
      <c r="AC177" s="58"/>
      <c r="AD177" s="58"/>
      <c r="CE177" s="52">
        <f t="shared" ref="CE177:DJ177" si="161">ROUND($CE28*E177,0)</f>
        <v>0</v>
      </c>
      <c r="CF177" s="52">
        <f t="shared" si="161"/>
        <v>0</v>
      </c>
      <c r="CG177" s="52">
        <f t="shared" si="161"/>
        <v>0</v>
      </c>
      <c r="CH177" s="52">
        <f t="shared" si="161"/>
        <v>0</v>
      </c>
      <c r="CI177" s="52">
        <f t="shared" si="161"/>
        <v>2</v>
      </c>
      <c r="CJ177" s="52">
        <f t="shared" si="161"/>
        <v>2</v>
      </c>
      <c r="CK177" s="52">
        <f t="shared" si="161"/>
        <v>1</v>
      </c>
      <c r="CL177" s="52">
        <f t="shared" si="161"/>
        <v>1</v>
      </c>
      <c r="CM177" s="52">
        <f t="shared" si="161"/>
        <v>1</v>
      </c>
      <c r="CN177" s="52">
        <f t="shared" si="161"/>
        <v>1</v>
      </c>
      <c r="CO177" s="52">
        <f t="shared" si="161"/>
        <v>1</v>
      </c>
      <c r="CP177" s="52">
        <f t="shared" si="161"/>
        <v>1</v>
      </c>
      <c r="CQ177" s="52">
        <f t="shared" si="161"/>
        <v>1</v>
      </c>
      <c r="CR177" s="52">
        <f t="shared" si="161"/>
        <v>1</v>
      </c>
      <c r="CS177" s="52">
        <f t="shared" si="161"/>
        <v>1</v>
      </c>
      <c r="CT177" s="52">
        <f t="shared" si="161"/>
        <v>1</v>
      </c>
      <c r="CU177" s="52">
        <f t="shared" si="161"/>
        <v>1</v>
      </c>
      <c r="CV177" s="52">
        <f t="shared" si="161"/>
        <v>1</v>
      </c>
      <c r="CW177" s="52">
        <f t="shared" si="161"/>
        <v>1</v>
      </c>
      <c r="CX177" s="52">
        <f t="shared" si="161"/>
        <v>1</v>
      </c>
      <c r="CY177" s="52">
        <f t="shared" si="161"/>
        <v>1</v>
      </c>
      <c r="CZ177" s="52">
        <f t="shared" si="161"/>
        <v>1</v>
      </c>
      <c r="DA177" s="52">
        <f t="shared" si="161"/>
        <v>0</v>
      </c>
      <c r="DB177" s="52">
        <f t="shared" si="161"/>
        <v>0</v>
      </c>
      <c r="DC177" s="52">
        <f t="shared" si="161"/>
        <v>0</v>
      </c>
      <c r="DD177" s="52">
        <f t="shared" si="161"/>
        <v>0</v>
      </c>
      <c r="DE177" s="52">
        <f t="shared" si="161"/>
        <v>0</v>
      </c>
      <c r="DF177" s="52">
        <f t="shared" si="161"/>
        <v>0</v>
      </c>
      <c r="DG177" s="52">
        <f t="shared" si="161"/>
        <v>0</v>
      </c>
      <c r="DH177" s="52">
        <f t="shared" si="161"/>
        <v>0</v>
      </c>
      <c r="DI177" s="52">
        <f t="shared" si="161"/>
        <v>0</v>
      </c>
      <c r="DJ177" s="52">
        <f t="shared" si="161"/>
        <v>0</v>
      </c>
    </row>
    <row r="178" ht="15.75" customHeight="1">
      <c r="B178" s="52" t="s">
        <v>1792</v>
      </c>
      <c r="C178" s="52">
        <v>21.0</v>
      </c>
      <c r="D178" s="52" t="s">
        <v>1786</v>
      </c>
      <c r="E178" s="58"/>
      <c r="F178" s="58"/>
      <c r="G178" s="58"/>
      <c r="H178" s="65">
        <v>0.08</v>
      </c>
      <c r="I178" s="65">
        <v>0.08</v>
      </c>
      <c r="J178" s="65">
        <v>0.07</v>
      </c>
      <c r="K178" s="65">
        <v>0.07</v>
      </c>
      <c r="L178" s="65">
        <v>0.06</v>
      </c>
      <c r="M178" s="65">
        <v>0.06</v>
      </c>
      <c r="N178" s="65">
        <v>0.05</v>
      </c>
      <c r="O178" s="65">
        <v>0.05</v>
      </c>
      <c r="P178" s="65">
        <v>0.05</v>
      </c>
      <c r="Q178" s="65">
        <v>0.04</v>
      </c>
      <c r="R178" s="65">
        <v>0.04</v>
      </c>
      <c r="S178" s="65">
        <v>0.04</v>
      </c>
      <c r="T178" s="65">
        <v>0.04</v>
      </c>
      <c r="U178" s="65">
        <v>0.03</v>
      </c>
      <c r="V178" s="65">
        <v>0.03</v>
      </c>
      <c r="W178" s="65">
        <v>0.03</v>
      </c>
      <c r="X178" s="65">
        <v>0.03</v>
      </c>
      <c r="Y178" s="65">
        <v>0.03</v>
      </c>
      <c r="Z178" s="65">
        <v>0.02</v>
      </c>
      <c r="AA178" s="65">
        <v>0.02</v>
      </c>
      <c r="AB178" s="65">
        <v>0.03</v>
      </c>
      <c r="AC178" s="65">
        <v>0.03</v>
      </c>
      <c r="AD178" s="65">
        <v>0.02</v>
      </c>
      <c r="CE178" s="52">
        <f t="shared" ref="CE178:DJ178" si="162">ROUND($CE29*E178,0)</f>
        <v>0</v>
      </c>
      <c r="CF178" s="52">
        <f t="shared" si="162"/>
        <v>0</v>
      </c>
      <c r="CG178" s="52">
        <f t="shared" si="162"/>
        <v>0</v>
      </c>
      <c r="CH178" s="52">
        <f t="shared" si="162"/>
        <v>3</v>
      </c>
      <c r="CI178" s="52">
        <f t="shared" si="162"/>
        <v>3</v>
      </c>
      <c r="CJ178" s="52">
        <f t="shared" si="162"/>
        <v>3</v>
      </c>
      <c r="CK178" s="52">
        <f t="shared" si="162"/>
        <v>3</v>
      </c>
      <c r="CL178" s="52">
        <f t="shared" si="162"/>
        <v>2</v>
      </c>
      <c r="CM178" s="52">
        <f t="shared" si="162"/>
        <v>2</v>
      </c>
      <c r="CN178" s="52">
        <f t="shared" si="162"/>
        <v>2</v>
      </c>
      <c r="CO178" s="52">
        <f t="shared" si="162"/>
        <v>2</v>
      </c>
      <c r="CP178" s="52">
        <f t="shared" si="162"/>
        <v>2</v>
      </c>
      <c r="CQ178" s="52">
        <f t="shared" si="162"/>
        <v>1</v>
      </c>
      <c r="CR178" s="52">
        <f t="shared" si="162"/>
        <v>1</v>
      </c>
      <c r="CS178" s="52">
        <f t="shared" si="162"/>
        <v>1</v>
      </c>
      <c r="CT178" s="52">
        <f t="shared" si="162"/>
        <v>1</v>
      </c>
      <c r="CU178" s="52">
        <f t="shared" si="162"/>
        <v>1</v>
      </c>
      <c r="CV178" s="52">
        <f t="shared" si="162"/>
        <v>1</v>
      </c>
      <c r="CW178" s="52">
        <f t="shared" si="162"/>
        <v>1</v>
      </c>
      <c r="CX178" s="52">
        <f t="shared" si="162"/>
        <v>1</v>
      </c>
      <c r="CY178" s="52">
        <f t="shared" si="162"/>
        <v>1</v>
      </c>
      <c r="CZ178" s="52">
        <f t="shared" si="162"/>
        <v>1</v>
      </c>
      <c r="DA178" s="52">
        <f t="shared" si="162"/>
        <v>1</v>
      </c>
      <c r="DB178" s="52">
        <f t="shared" si="162"/>
        <v>1</v>
      </c>
      <c r="DC178" s="52">
        <f t="shared" si="162"/>
        <v>1</v>
      </c>
      <c r="DD178" s="52">
        <f t="shared" si="162"/>
        <v>1</v>
      </c>
      <c r="DE178" s="52">
        <f t="shared" si="162"/>
        <v>0</v>
      </c>
      <c r="DF178" s="52">
        <f t="shared" si="162"/>
        <v>0</v>
      </c>
      <c r="DG178" s="52">
        <f t="shared" si="162"/>
        <v>0</v>
      </c>
      <c r="DH178" s="52">
        <f t="shared" si="162"/>
        <v>0</v>
      </c>
      <c r="DI178" s="52">
        <f t="shared" si="162"/>
        <v>0</v>
      </c>
      <c r="DJ178" s="52">
        <f t="shared" si="162"/>
        <v>0</v>
      </c>
    </row>
    <row r="179" ht="15.75" customHeight="1">
      <c r="B179" s="52" t="s">
        <v>1792</v>
      </c>
      <c r="C179" s="52">
        <v>21.0</v>
      </c>
      <c r="D179" s="52" t="s">
        <v>1787</v>
      </c>
      <c r="E179" s="58"/>
      <c r="F179" s="58"/>
      <c r="G179" s="58"/>
      <c r="H179" s="58"/>
      <c r="I179" s="58"/>
      <c r="J179" s="65">
        <v>0.08</v>
      </c>
      <c r="K179" s="65">
        <v>0.08</v>
      </c>
      <c r="L179" s="65">
        <v>0.07</v>
      </c>
      <c r="M179" s="65">
        <v>0.07</v>
      </c>
      <c r="N179" s="65">
        <v>0.06</v>
      </c>
      <c r="O179" s="65">
        <v>0.06</v>
      </c>
      <c r="P179" s="65">
        <v>0.05</v>
      </c>
      <c r="Q179" s="65">
        <v>0.05</v>
      </c>
      <c r="R179" s="65">
        <v>0.05</v>
      </c>
      <c r="S179" s="65">
        <v>0.04</v>
      </c>
      <c r="T179" s="65">
        <v>0.04</v>
      </c>
      <c r="U179" s="65">
        <v>0.04</v>
      </c>
      <c r="V179" s="65">
        <v>0.04</v>
      </c>
      <c r="W179" s="65">
        <v>0.03</v>
      </c>
      <c r="X179" s="65">
        <v>0.03</v>
      </c>
      <c r="Y179" s="65">
        <v>0.03</v>
      </c>
      <c r="Z179" s="65">
        <v>0.03</v>
      </c>
      <c r="AA179" s="65">
        <v>0.03</v>
      </c>
      <c r="AB179" s="65">
        <v>0.02</v>
      </c>
      <c r="AC179" s="65">
        <v>0.02</v>
      </c>
      <c r="AD179" s="65">
        <v>0.03</v>
      </c>
      <c r="CE179" s="52">
        <f t="shared" ref="CE179:DJ179" si="163">ROUND($CE30*E179,0)</f>
        <v>0</v>
      </c>
      <c r="CF179" s="52">
        <f t="shared" si="163"/>
        <v>0</v>
      </c>
      <c r="CG179" s="52">
        <f t="shared" si="163"/>
        <v>0</v>
      </c>
      <c r="CH179" s="52">
        <f t="shared" si="163"/>
        <v>0</v>
      </c>
      <c r="CI179" s="52">
        <f t="shared" si="163"/>
        <v>0</v>
      </c>
      <c r="CJ179" s="52">
        <f t="shared" si="163"/>
        <v>1</v>
      </c>
      <c r="CK179" s="52">
        <f t="shared" si="163"/>
        <v>1</v>
      </c>
      <c r="CL179" s="52">
        <f t="shared" si="163"/>
        <v>0</v>
      </c>
      <c r="CM179" s="52">
        <f t="shared" si="163"/>
        <v>0</v>
      </c>
      <c r="CN179" s="52">
        <f t="shared" si="163"/>
        <v>0</v>
      </c>
      <c r="CO179" s="52">
        <f t="shared" si="163"/>
        <v>0</v>
      </c>
      <c r="CP179" s="52">
        <f t="shared" si="163"/>
        <v>0</v>
      </c>
      <c r="CQ179" s="52">
        <f t="shared" si="163"/>
        <v>0</v>
      </c>
      <c r="CR179" s="52">
        <f t="shared" si="163"/>
        <v>0</v>
      </c>
      <c r="CS179" s="52">
        <f t="shared" si="163"/>
        <v>0</v>
      </c>
      <c r="CT179" s="52">
        <f t="shared" si="163"/>
        <v>0</v>
      </c>
      <c r="CU179" s="52">
        <f t="shared" si="163"/>
        <v>0</v>
      </c>
      <c r="CV179" s="52">
        <f t="shared" si="163"/>
        <v>0</v>
      </c>
      <c r="CW179" s="52">
        <f t="shared" si="163"/>
        <v>0</v>
      </c>
      <c r="CX179" s="52">
        <f t="shared" si="163"/>
        <v>0</v>
      </c>
      <c r="CY179" s="52">
        <f t="shared" si="163"/>
        <v>0</v>
      </c>
      <c r="CZ179" s="52">
        <f t="shared" si="163"/>
        <v>0</v>
      </c>
      <c r="DA179" s="52">
        <f t="shared" si="163"/>
        <v>0</v>
      </c>
      <c r="DB179" s="52">
        <f t="shared" si="163"/>
        <v>0</v>
      </c>
      <c r="DC179" s="52">
        <f t="shared" si="163"/>
        <v>0</v>
      </c>
      <c r="DD179" s="52">
        <f t="shared" si="163"/>
        <v>0</v>
      </c>
      <c r="DE179" s="52">
        <f t="shared" si="163"/>
        <v>0</v>
      </c>
      <c r="DF179" s="52">
        <f t="shared" si="163"/>
        <v>0</v>
      </c>
      <c r="DG179" s="52">
        <f t="shared" si="163"/>
        <v>0</v>
      </c>
      <c r="DH179" s="52">
        <f t="shared" si="163"/>
        <v>0</v>
      </c>
      <c r="DI179" s="52">
        <f t="shared" si="163"/>
        <v>0</v>
      </c>
      <c r="DJ179" s="52">
        <f t="shared" si="163"/>
        <v>0</v>
      </c>
    </row>
    <row r="180" ht="15.75" customHeight="1">
      <c r="B180" s="52" t="s">
        <v>1792</v>
      </c>
      <c r="C180" s="52">
        <v>21.0</v>
      </c>
      <c r="D180" s="52" t="s">
        <v>1788</v>
      </c>
      <c r="E180" s="58"/>
      <c r="F180" s="58"/>
      <c r="G180" s="58"/>
      <c r="H180" s="58"/>
      <c r="I180" s="58"/>
      <c r="J180" s="58"/>
      <c r="K180" s="65">
        <v>0.08</v>
      </c>
      <c r="L180" s="65">
        <v>0.08</v>
      </c>
      <c r="M180" s="65">
        <v>0.07</v>
      </c>
      <c r="N180" s="65">
        <v>0.07</v>
      </c>
      <c r="O180" s="65">
        <v>0.06</v>
      </c>
      <c r="P180" s="65">
        <v>0.06</v>
      </c>
      <c r="Q180" s="65">
        <v>0.05</v>
      </c>
      <c r="R180" s="65">
        <v>0.05</v>
      </c>
      <c r="S180" s="65">
        <v>0.05</v>
      </c>
      <c r="T180" s="65">
        <v>0.04</v>
      </c>
      <c r="U180" s="65">
        <v>0.04</v>
      </c>
      <c r="V180" s="65">
        <v>0.04</v>
      </c>
      <c r="W180" s="65">
        <v>0.04</v>
      </c>
      <c r="X180" s="65">
        <v>0.03</v>
      </c>
      <c r="Y180" s="65">
        <v>0.03</v>
      </c>
      <c r="Z180" s="65">
        <v>0.03</v>
      </c>
      <c r="AA180" s="65">
        <v>0.03</v>
      </c>
      <c r="AB180" s="65">
        <v>0.03</v>
      </c>
      <c r="AC180" s="65">
        <v>0.02</v>
      </c>
      <c r="AD180" s="65">
        <v>0.02</v>
      </c>
      <c r="CE180" s="52">
        <f t="shared" ref="CE180:DJ180" si="164">ROUND($CE31*E180,0)</f>
        <v>0</v>
      </c>
      <c r="CF180" s="52">
        <f t="shared" si="164"/>
        <v>0</v>
      </c>
      <c r="CG180" s="52">
        <f t="shared" si="164"/>
        <v>0</v>
      </c>
      <c r="CH180" s="52">
        <f t="shared" si="164"/>
        <v>0</v>
      </c>
      <c r="CI180" s="52">
        <f t="shared" si="164"/>
        <v>0</v>
      </c>
      <c r="CJ180" s="52">
        <f t="shared" si="164"/>
        <v>0</v>
      </c>
      <c r="CK180" s="52">
        <f t="shared" si="164"/>
        <v>0</v>
      </c>
      <c r="CL180" s="52">
        <f t="shared" si="164"/>
        <v>0</v>
      </c>
      <c r="CM180" s="52">
        <f t="shared" si="164"/>
        <v>0</v>
      </c>
      <c r="CN180" s="52">
        <f t="shared" si="164"/>
        <v>0</v>
      </c>
      <c r="CO180" s="52">
        <f t="shared" si="164"/>
        <v>0</v>
      </c>
      <c r="CP180" s="52">
        <f t="shared" si="164"/>
        <v>0</v>
      </c>
      <c r="CQ180" s="52">
        <f t="shared" si="164"/>
        <v>0</v>
      </c>
      <c r="CR180" s="52">
        <f t="shared" si="164"/>
        <v>0</v>
      </c>
      <c r="CS180" s="52">
        <f t="shared" si="164"/>
        <v>0</v>
      </c>
      <c r="CT180" s="52">
        <f t="shared" si="164"/>
        <v>0</v>
      </c>
      <c r="CU180" s="52">
        <f t="shared" si="164"/>
        <v>0</v>
      </c>
      <c r="CV180" s="52">
        <f t="shared" si="164"/>
        <v>0</v>
      </c>
      <c r="CW180" s="52">
        <f t="shared" si="164"/>
        <v>0</v>
      </c>
      <c r="CX180" s="52">
        <f t="shared" si="164"/>
        <v>0</v>
      </c>
      <c r="CY180" s="52">
        <f t="shared" si="164"/>
        <v>0</v>
      </c>
      <c r="CZ180" s="52">
        <f t="shared" si="164"/>
        <v>0</v>
      </c>
      <c r="DA180" s="52">
        <f t="shared" si="164"/>
        <v>0</v>
      </c>
      <c r="DB180" s="52">
        <f t="shared" si="164"/>
        <v>0</v>
      </c>
      <c r="DC180" s="52">
        <f t="shared" si="164"/>
        <v>0</v>
      </c>
      <c r="DD180" s="52">
        <f t="shared" si="164"/>
        <v>0</v>
      </c>
      <c r="DE180" s="52">
        <f t="shared" si="164"/>
        <v>0</v>
      </c>
      <c r="DF180" s="52">
        <f t="shared" si="164"/>
        <v>0</v>
      </c>
      <c r="DG180" s="52">
        <f t="shared" si="164"/>
        <v>0</v>
      </c>
      <c r="DH180" s="52">
        <f t="shared" si="164"/>
        <v>0</v>
      </c>
      <c r="DI180" s="52">
        <f t="shared" si="164"/>
        <v>0</v>
      </c>
      <c r="DJ180" s="52">
        <f t="shared" si="164"/>
        <v>0</v>
      </c>
    </row>
    <row r="181" ht="15.75" customHeight="1">
      <c r="B181" s="52" t="s">
        <v>1792</v>
      </c>
      <c r="C181" s="52">
        <v>21.0</v>
      </c>
      <c r="D181" s="52" t="s">
        <v>1789</v>
      </c>
      <c r="E181" s="58"/>
      <c r="F181" s="58"/>
      <c r="G181" s="58"/>
      <c r="H181" s="58"/>
      <c r="I181" s="58"/>
      <c r="J181" s="58"/>
      <c r="K181" s="58"/>
      <c r="L181" s="65">
        <v>0.08</v>
      </c>
      <c r="M181" s="65">
        <v>0.08</v>
      </c>
      <c r="N181" s="65">
        <v>0.07</v>
      </c>
      <c r="O181" s="65">
        <v>0.07</v>
      </c>
      <c r="P181" s="65">
        <v>0.06</v>
      </c>
      <c r="Q181" s="65">
        <v>0.06</v>
      </c>
      <c r="R181" s="65">
        <v>0.05</v>
      </c>
      <c r="S181" s="65">
        <v>0.05</v>
      </c>
      <c r="T181" s="65">
        <v>0.05</v>
      </c>
      <c r="U181" s="65">
        <v>0.04</v>
      </c>
      <c r="V181" s="65">
        <v>0.04</v>
      </c>
      <c r="W181" s="65">
        <v>0.04</v>
      </c>
      <c r="X181" s="65">
        <v>0.04</v>
      </c>
      <c r="Y181" s="65">
        <v>0.03</v>
      </c>
      <c r="Z181" s="65">
        <v>0.03</v>
      </c>
      <c r="AA181" s="65">
        <v>0.03</v>
      </c>
      <c r="AB181" s="65">
        <v>0.03</v>
      </c>
      <c r="AC181" s="65">
        <v>0.03</v>
      </c>
      <c r="AD181" s="65">
        <v>0.02</v>
      </c>
      <c r="CE181" s="52">
        <f t="shared" ref="CE181:DJ181" si="165">ROUND($CE32*E181,0)</f>
        <v>0</v>
      </c>
      <c r="CF181" s="52">
        <f t="shared" si="165"/>
        <v>0</v>
      </c>
      <c r="CG181" s="52">
        <f t="shared" si="165"/>
        <v>0</v>
      </c>
      <c r="CH181" s="52">
        <f t="shared" si="165"/>
        <v>0</v>
      </c>
      <c r="CI181" s="52">
        <f t="shared" si="165"/>
        <v>0</v>
      </c>
      <c r="CJ181" s="52">
        <f t="shared" si="165"/>
        <v>0</v>
      </c>
      <c r="CK181" s="52">
        <f t="shared" si="165"/>
        <v>0</v>
      </c>
      <c r="CL181" s="52">
        <f t="shared" si="165"/>
        <v>1</v>
      </c>
      <c r="CM181" s="52">
        <f t="shared" si="165"/>
        <v>1</v>
      </c>
      <c r="CN181" s="52">
        <f t="shared" si="165"/>
        <v>1</v>
      </c>
      <c r="CO181" s="52">
        <f t="shared" si="165"/>
        <v>1</v>
      </c>
      <c r="CP181" s="52">
        <f t="shared" si="165"/>
        <v>1</v>
      </c>
      <c r="CQ181" s="52">
        <f t="shared" si="165"/>
        <v>1</v>
      </c>
      <c r="CR181" s="52">
        <f t="shared" si="165"/>
        <v>1</v>
      </c>
      <c r="CS181" s="52">
        <f t="shared" si="165"/>
        <v>1</v>
      </c>
      <c r="CT181" s="52">
        <f t="shared" si="165"/>
        <v>1</v>
      </c>
      <c r="CU181" s="52">
        <f t="shared" si="165"/>
        <v>0</v>
      </c>
      <c r="CV181" s="52">
        <f t="shared" si="165"/>
        <v>0</v>
      </c>
      <c r="CW181" s="52">
        <f t="shared" si="165"/>
        <v>0</v>
      </c>
      <c r="CX181" s="52">
        <f t="shared" si="165"/>
        <v>0</v>
      </c>
      <c r="CY181" s="52">
        <f t="shared" si="165"/>
        <v>0</v>
      </c>
      <c r="CZ181" s="52">
        <f t="shared" si="165"/>
        <v>0</v>
      </c>
      <c r="DA181" s="52">
        <f t="shared" si="165"/>
        <v>0</v>
      </c>
      <c r="DB181" s="52">
        <f t="shared" si="165"/>
        <v>0</v>
      </c>
      <c r="DC181" s="52">
        <f t="shared" si="165"/>
        <v>0</v>
      </c>
      <c r="DD181" s="52">
        <f t="shared" si="165"/>
        <v>0</v>
      </c>
      <c r="DE181" s="52">
        <f t="shared" si="165"/>
        <v>0</v>
      </c>
      <c r="DF181" s="52">
        <f t="shared" si="165"/>
        <v>0</v>
      </c>
      <c r="DG181" s="52">
        <f t="shared" si="165"/>
        <v>0</v>
      </c>
      <c r="DH181" s="52">
        <f t="shared" si="165"/>
        <v>0</v>
      </c>
      <c r="DI181" s="52">
        <f t="shared" si="165"/>
        <v>0</v>
      </c>
      <c r="DJ181" s="52">
        <f t="shared" si="165"/>
        <v>0</v>
      </c>
    </row>
    <row r="182" ht="15.75" customHeight="1">
      <c r="B182" s="52" t="s">
        <v>1792</v>
      </c>
      <c r="C182" s="52">
        <v>21.0</v>
      </c>
      <c r="D182" s="52" t="s">
        <v>1790</v>
      </c>
      <c r="E182" s="58"/>
      <c r="F182" s="58"/>
      <c r="G182" s="58"/>
      <c r="H182" s="58"/>
      <c r="I182" s="58"/>
      <c r="J182" s="58"/>
      <c r="K182" s="58"/>
      <c r="L182" s="58"/>
      <c r="M182" s="58"/>
      <c r="N182" s="65">
        <v>0.08</v>
      </c>
      <c r="O182" s="65">
        <v>0.08</v>
      </c>
      <c r="P182" s="65">
        <v>0.07</v>
      </c>
      <c r="Q182" s="65">
        <v>0.07</v>
      </c>
      <c r="R182" s="65">
        <v>0.06</v>
      </c>
      <c r="S182" s="65">
        <v>0.06</v>
      </c>
      <c r="T182" s="65">
        <v>0.05</v>
      </c>
      <c r="U182" s="65">
        <v>0.05</v>
      </c>
      <c r="V182" s="65">
        <v>0.05</v>
      </c>
      <c r="W182" s="65">
        <v>0.04</v>
      </c>
      <c r="X182" s="65">
        <v>0.04</v>
      </c>
      <c r="Y182" s="65">
        <v>0.04</v>
      </c>
      <c r="Z182" s="65">
        <v>0.04</v>
      </c>
      <c r="AA182" s="65">
        <v>0.03</v>
      </c>
      <c r="AB182" s="65">
        <v>0.03</v>
      </c>
      <c r="AC182" s="65">
        <v>0.03</v>
      </c>
      <c r="AD182" s="65">
        <v>0.03</v>
      </c>
      <c r="CE182" s="52">
        <f t="shared" ref="CE182:DJ182" si="166">ROUND($CE33*E182,0)</f>
        <v>0</v>
      </c>
      <c r="CF182" s="52">
        <f t="shared" si="166"/>
        <v>0</v>
      </c>
      <c r="CG182" s="52">
        <f t="shared" si="166"/>
        <v>0</v>
      </c>
      <c r="CH182" s="52">
        <f t="shared" si="166"/>
        <v>0</v>
      </c>
      <c r="CI182" s="52">
        <f t="shared" si="166"/>
        <v>0</v>
      </c>
      <c r="CJ182" s="52">
        <f t="shared" si="166"/>
        <v>0</v>
      </c>
      <c r="CK182" s="52">
        <f t="shared" si="166"/>
        <v>0</v>
      </c>
      <c r="CL182" s="52">
        <f t="shared" si="166"/>
        <v>0</v>
      </c>
      <c r="CM182" s="52">
        <f t="shared" si="166"/>
        <v>0</v>
      </c>
      <c r="CN182" s="52">
        <f t="shared" si="166"/>
        <v>1</v>
      </c>
      <c r="CO182" s="52">
        <f t="shared" si="166"/>
        <v>1</v>
      </c>
      <c r="CP182" s="52">
        <f t="shared" si="166"/>
        <v>1</v>
      </c>
      <c r="CQ182" s="52">
        <f t="shared" si="166"/>
        <v>1</v>
      </c>
      <c r="CR182" s="52">
        <f t="shared" si="166"/>
        <v>1</v>
      </c>
      <c r="CS182" s="52">
        <f t="shared" si="166"/>
        <v>1</v>
      </c>
      <c r="CT182" s="52">
        <f t="shared" si="166"/>
        <v>1</v>
      </c>
      <c r="CU182" s="52">
        <f t="shared" si="166"/>
        <v>1</v>
      </c>
      <c r="CV182" s="52">
        <f t="shared" si="166"/>
        <v>1</v>
      </c>
      <c r="CW182" s="52">
        <f t="shared" si="166"/>
        <v>1</v>
      </c>
      <c r="CX182" s="52">
        <f t="shared" si="166"/>
        <v>1</v>
      </c>
      <c r="CY182" s="52">
        <f t="shared" si="166"/>
        <v>1</v>
      </c>
      <c r="CZ182" s="52">
        <f t="shared" si="166"/>
        <v>1</v>
      </c>
      <c r="DA182" s="52">
        <f t="shared" si="166"/>
        <v>0</v>
      </c>
      <c r="DB182" s="52">
        <f t="shared" si="166"/>
        <v>0</v>
      </c>
      <c r="DC182" s="52">
        <f t="shared" si="166"/>
        <v>0</v>
      </c>
      <c r="DD182" s="52">
        <f t="shared" si="166"/>
        <v>0</v>
      </c>
      <c r="DE182" s="52">
        <f t="shared" si="166"/>
        <v>0</v>
      </c>
      <c r="DF182" s="52">
        <f t="shared" si="166"/>
        <v>0</v>
      </c>
      <c r="DG182" s="52">
        <f t="shared" si="166"/>
        <v>0</v>
      </c>
      <c r="DH182" s="52">
        <f t="shared" si="166"/>
        <v>0</v>
      </c>
      <c r="DI182" s="52">
        <f t="shared" si="166"/>
        <v>0</v>
      </c>
      <c r="DJ182" s="52">
        <f t="shared" si="166"/>
        <v>0</v>
      </c>
    </row>
    <row r="183" ht="15.75" customHeight="1">
      <c r="B183" s="52" t="s">
        <v>1792</v>
      </c>
      <c r="C183" s="52">
        <v>22.0</v>
      </c>
      <c r="D183" s="52">
        <v>0.0</v>
      </c>
      <c r="E183" s="65">
        <v>0.07</v>
      </c>
      <c r="F183" s="65">
        <v>0.07</v>
      </c>
      <c r="G183" s="65">
        <v>0.07</v>
      </c>
      <c r="H183" s="65">
        <v>0.07</v>
      </c>
      <c r="I183" s="65">
        <v>0.07</v>
      </c>
      <c r="J183" s="65">
        <v>0.07</v>
      </c>
      <c r="K183" s="65">
        <v>0.07</v>
      </c>
      <c r="L183" s="65">
        <v>0.07</v>
      </c>
      <c r="M183" s="65">
        <v>0.07</v>
      </c>
      <c r="N183" s="65">
        <v>0.03</v>
      </c>
      <c r="O183" s="65">
        <v>0.03</v>
      </c>
      <c r="P183" s="65">
        <v>0.03</v>
      </c>
      <c r="Q183" s="65">
        <v>0.03</v>
      </c>
      <c r="R183" s="65">
        <v>0.03</v>
      </c>
      <c r="S183" s="65">
        <v>0.03</v>
      </c>
      <c r="T183" s="65">
        <v>0.03</v>
      </c>
      <c r="U183" s="65">
        <v>0.02</v>
      </c>
      <c r="V183" s="65">
        <v>0.02</v>
      </c>
      <c r="W183" s="65">
        <v>0.02</v>
      </c>
      <c r="X183" s="65">
        <v>0.02</v>
      </c>
      <c r="Y183" s="65">
        <v>0.02</v>
      </c>
      <c r="Z183" s="65">
        <v>0.02</v>
      </c>
      <c r="AA183" s="65">
        <v>0.02</v>
      </c>
      <c r="AB183" s="65">
        <v>0.02</v>
      </c>
      <c r="AC183" s="58"/>
      <c r="AD183" s="58"/>
      <c r="CF183" s="52">
        <f t="shared" ref="CF183:DJ183" si="167">ROUND($CF27*E183,0)</f>
        <v>14</v>
      </c>
      <c r="CG183" s="52">
        <f t="shared" si="167"/>
        <v>14</v>
      </c>
      <c r="CH183" s="52">
        <f t="shared" si="167"/>
        <v>14</v>
      </c>
      <c r="CI183" s="52">
        <f t="shared" si="167"/>
        <v>14</v>
      </c>
      <c r="CJ183" s="52">
        <f t="shared" si="167"/>
        <v>14</v>
      </c>
      <c r="CK183" s="52">
        <f t="shared" si="167"/>
        <v>14</v>
      </c>
      <c r="CL183" s="52">
        <f t="shared" si="167"/>
        <v>14</v>
      </c>
      <c r="CM183" s="52">
        <f t="shared" si="167"/>
        <v>14</v>
      </c>
      <c r="CN183" s="52">
        <f t="shared" si="167"/>
        <v>14</v>
      </c>
      <c r="CO183" s="52">
        <f t="shared" si="167"/>
        <v>6</v>
      </c>
      <c r="CP183" s="52">
        <f t="shared" si="167"/>
        <v>6</v>
      </c>
      <c r="CQ183" s="52">
        <f t="shared" si="167"/>
        <v>6</v>
      </c>
      <c r="CR183" s="52">
        <f t="shared" si="167"/>
        <v>6</v>
      </c>
      <c r="CS183" s="52">
        <f t="shared" si="167"/>
        <v>6</v>
      </c>
      <c r="CT183" s="52">
        <f t="shared" si="167"/>
        <v>6</v>
      </c>
      <c r="CU183" s="52">
        <f t="shared" si="167"/>
        <v>6</v>
      </c>
      <c r="CV183" s="52">
        <f t="shared" si="167"/>
        <v>4</v>
      </c>
      <c r="CW183" s="52">
        <f t="shared" si="167"/>
        <v>4</v>
      </c>
      <c r="CX183" s="52">
        <f t="shared" si="167"/>
        <v>4</v>
      </c>
      <c r="CY183" s="52">
        <f t="shared" si="167"/>
        <v>4</v>
      </c>
      <c r="CZ183" s="52">
        <f t="shared" si="167"/>
        <v>4</v>
      </c>
      <c r="DA183" s="52">
        <f t="shared" si="167"/>
        <v>4</v>
      </c>
      <c r="DB183" s="52">
        <f t="shared" si="167"/>
        <v>4</v>
      </c>
      <c r="DC183" s="52">
        <f t="shared" si="167"/>
        <v>4</v>
      </c>
      <c r="DD183" s="52">
        <f t="shared" si="167"/>
        <v>0</v>
      </c>
      <c r="DE183" s="52">
        <f t="shared" si="167"/>
        <v>0</v>
      </c>
      <c r="DF183" s="52">
        <f t="shared" si="167"/>
        <v>0</v>
      </c>
      <c r="DG183" s="52">
        <f t="shared" si="167"/>
        <v>0</v>
      </c>
      <c r="DH183" s="52">
        <f t="shared" si="167"/>
        <v>0</v>
      </c>
      <c r="DI183" s="52">
        <f t="shared" si="167"/>
        <v>0</v>
      </c>
      <c r="DJ183" s="52">
        <f t="shared" si="167"/>
        <v>0</v>
      </c>
    </row>
    <row r="184" ht="15.75" customHeight="1">
      <c r="B184" s="52" t="s">
        <v>1792</v>
      </c>
      <c r="C184" s="52">
        <v>22.0</v>
      </c>
      <c r="D184" s="52" t="s">
        <v>1785</v>
      </c>
      <c r="E184" s="65">
        <v>0.02</v>
      </c>
      <c r="F184" s="65">
        <v>0.02</v>
      </c>
      <c r="G184" s="65">
        <v>0.02</v>
      </c>
      <c r="H184" s="65">
        <v>0.02</v>
      </c>
      <c r="I184" s="65">
        <v>0.08</v>
      </c>
      <c r="J184" s="65">
        <v>0.08</v>
      </c>
      <c r="K184" s="65">
        <v>0.07</v>
      </c>
      <c r="L184" s="65">
        <v>0.07</v>
      </c>
      <c r="M184" s="65">
        <v>0.06</v>
      </c>
      <c r="N184" s="65">
        <v>0.06</v>
      </c>
      <c r="O184" s="65">
        <v>0.05</v>
      </c>
      <c r="P184" s="65">
        <v>0.05</v>
      </c>
      <c r="Q184" s="65">
        <v>0.05</v>
      </c>
      <c r="R184" s="65">
        <v>0.04</v>
      </c>
      <c r="S184" s="65">
        <v>0.04</v>
      </c>
      <c r="T184" s="65">
        <v>0.04</v>
      </c>
      <c r="U184" s="65">
        <v>0.04</v>
      </c>
      <c r="V184" s="65">
        <v>0.03</v>
      </c>
      <c r="W184" s="65">
        <v>0.03</v>
      </c>
      <c r="X184" s="65">
        <v>0.03</v>
      </c>
      <c r="Y184" s="65">
        <v>0.03</v>
      </c>
      <c r="Z184" s="65">
        <v>0.03</v>
      </c>
      <c r="AA184" s="65">
        <v>0.02</v>
      </c>
      <c r="AB184" s="65">
        <v>0.02</v>
      </c>
      <c r="AC184" s="58"/>
      <c r="AD184" s="58"/>
      <c r="CF184" s="52">
        <f t="shared" ref="CF184:DJ184" si="168">ROUND($CF28*E184,0)</f>
        <v>0</v>
      </c>
      <c r="CG184" s="52">
        <f t="shared" si="168"/>
        <v>0</v>
      </c>
      <c r="CH184" s="52">
        <f t="shared" si="168"/>
        <v>0</v>
      </c>
      <c r="CI184" s="52">
        <f t="shared" si="168"/>
        <v>0</v>
      </c>
      <c r="CJ184" s="52">
        <f t="shared" si="168"/>
        <v>2</v>
      </c>
      <c r="CK184" s="52">
        <f t="shared" si="168"/>
        <v>2</v>
      </c>
      <c r="CL184" s="52">
        <f t="shared" si="168"/>
        <v>1</v>
      </c>
      <c r="CM184" s="52">
        <f t="shared" si="168"/>
        <v>1</v>
      </c>
      <c r="CN184" s="52">
        <f t="shared" si="168"/>
        <v>1</v>
      </c>
      <c r="CO184" s="52">
        <f t="shared" si="168"/>
        <v>1</v>
      </c>
      <c r="CP184" s="52">
        <f t="shared" si="168"/>
        <v>1</v>
      </c>
      <c r="CQ184" s="52">
        <f t="shared" si="168"/>
        <v>1</v>
      </c>
      <c r="CR184" s="52">
        <f t="shared" si="168"/>
        <v>1</v>
      </c>
      <c r="CS184" s="52">
        <f t="shared" si="168"/>
        <v>1</v>
      </c>
      <c r="CT184" s="52">
        <f t="shared" si="168"/>
        <v>1</v>
      </c>
      <c r="CU184" s="52">
        <f t="shared" si="168"/>
        <v>1</v>
      </c>
      <c r="CV184" s="52">
        <f t="shared" si="168"/>
        <v>1</v>
      </c>
      <c r="CW184" s="52">
        <f t="shared" si="168"/>
        <v>1</v>
      </c>
      <c r="CX184" s="52">
        <f t="shared" si="168"/>
        <v>1</v>
      </c>
      <c r="CY184" s="52">
        <f t="shared" si="168"/>
        <v>1</v>
      </c>
      <c r="CZ184" s="52">
        <f t="shared" si="168"/>
        <v>1</v>
      </c>
      <c r="DA184" s="52">
        <f t="shared" si="168"/>
        <v>1</v>
      </c>
      <c r="DB184" s="52">
        <f t="shared" si="168"/>
        <v>0</v>
      </c>
      <c r="DC184" s="52">
        <f t="shared" si="168"/>
        <v>0</v>
      </c>
      <c r="DD184" s="52">
        <f t="shared" si="168"/>
        <v>0</v>
      </c>
      <c r="DE184" s="52">
        <f t="shared" si="168"/>
        <v>0</v>
      </c>
      <c r="DF184" s="52">
        <f t="shared" si="168"/>
        <v>0</v>
      </c>
      <c r="DG184" s="52">
        <f t="shared" si="168"/>
        <v>0</v>
      </c>
      <c r="DH184" s="52">
        <f t="shared" si="168"/>
        <v>0</v>
      </c>
      <c r="DI184" s="52">
        <f t="shared" si="168"/>
        <v>0</v>
      </c>
      <c r="DJ184" s="52">
        <f t="shared" si="168"/>
        <v>0</v>
      </c>
    </row>
    <row r="185" ht="15.75" customHeight="1">
      <c r="B185" s="52" t="s">
        <v>1792</v>
      </c>
      <c r="C185" s="52">
        <v>22.0</v>
      </c>
      <c r="D185" s="52" t="s">
        <v>1786</v>
      </c>
      <c r="E185" s="58"/>
      <c r="F185" s="58"/>
      <c r="G185" s="58"/>
      <c r="H185" s="65">
        <v>0.08</v>
      </c>
      <c r="I185" s="65">
        <v>0.08</v>
      </c>
      <c r="J185" s="65">
        <v>0.07</v>
      </c>
      <c r="K185" s="65">
        <v>0.07</v>
      </c>
      <c r="L185" s="65">
        <v>0.06</v>
      </c>
      <c r="M185" s="65">
        <v>0.06</v>
      </c>
      <c r="N185" s="65">
        <v>0.05</v>
      </c>
      <c r="O185" s="65">
        <v>0.05</v>
      </c>
      <c r="P185" s="65">
        <v>0.05</v>
      </c>
      <c r="Q185" s="65">
        <v>0.04</v>
      </c>
      <c r="R185" s="65">
        <v>0.04</v>
      </c>
      <c r="S185" s="65">
        <v>0.04</v>
      </c>
      <c r="T185" s="65">
        <v>0.04</v>
      </c>
      <c r="U185" s="65">
        <v>0.03</v>
      </c>
      <c r="V185" s="65">
        <v>0.03</v>
      </c>
      <c r="W185" s="65">
        <v>0.03</v>
      </c>
      <c r="X185" s="65">
        <v>0.03</v>
      </c>
      <c r="Y185" s="65">
        <v>0.03</v>
      </c>
      <c r="Z185" s="65">
        <v>0.02</v>
      </c>
      <c r="AA185" s="65">
        <v>0.02</v>
      </c>
      <c r="AB185" s="65">
        <v>0.03</v>
      </c>
      <c r="AC185" s="65">
        <v>0.03</v>
      </c>
      <c r="AD185" s="65">
        <v>0.02</v>
      </c>
      <c r="CF185" s="52">
        <f t="shared" ref="CF185:DJ185" si="169">ROUND($CF29*E185,0)</f>
        <v>0</v>
      </c>
      <c r="CG185" s="52">
        <f t="shared" si="169"/>
        <v>0</v>
      </c>
      <c r="CH185" s="52">
        <f t="shared" si="169"/>
        <v>0</v>
      </c>
      <c r="CI185" s="52">
        <f t="shared" si="169"/>
        <v>3</v>
      </c>
      <c r="CJ185" s="52">
        <f t="shared" si="169"/>
        <v>3</v>
      </c>
      <c r="CK185" s="52">
        <f t="shared" si="169"/>
        <v>3</v>
      </c>
      <c r="CL185" s="52">
        <f t="shared" si="169"/>
        <v>3</v>
      </c>
      <c r="CM185" s="52">
        <f t="shared" si="169"/>
        <v>2</v>
      </c>
      <c r="CN185" s="52">
        <f t="shared" si="169"/>
        <v>2</v>
      </c>
      <c r="CO185" s="52">
        <f t="shared" si="169"/>
        <v>2</v>
      </c>
      <c r="CP185" s="52">
        <f t="shared" si="169"/>
        <v>2</v>
      </c>
      <c r="CQ185" s="52">
        <f t="shared" si="169"/>
        <v>2</v>
      </c>
      <c r="CR185" s="52">
        <f t="shared" si="169"/>
        <v>1</v>
      </c>
      <c r="CS185" s="52">
        <f t="shared" si="169"/>
        <v>1</v>
      </c>
      <c r="CT185" s="52">
        <f t="shared" si="169"/>
        <v>1</v>
      </c>
      <c r="CU185" s="52">
        <f t="shared" si="169"/>
        <v>1</v>
      </c>
      <c r="CV185" s="52">
        <f t="shared" si="169"/>
        <v>1</v>
      </c>
      <c r="CW185" s="52">
        <f t="shared" si="169"/>
        <v>1</v>
      </c>
      <c r="CX185" s="52">
        <f t="shared" si="169"/>
        <v>1</v>
      </c>
      <c r="CY185" s="52">
        <f t="shared" si="169"/>
        <v>1</v>
      </c>
      <c r="CZ185" s="52">
        <f t="shared" si="169"/>
        <v>1</v>
      </c>
      <c r="DA185" s="52">
        <f t="shared" si="169"/>
        <v>1</v>
      </c>
      <c r="DB185" s="52">
        <f t="shared" si="169"/>
        <v>1</v>
      </c>
      <c r="DC185" s="52">
        <f t="shared" si="169"/>
        <v>1</v>
      </c>
      <c r="DD185" s="52">
        <f t="shared" si="169"/>
        <v>1</v>
      </c>
      <c r="DE185" s="52">
        <f t="shared" si="169"/>
        <v>1</v>
      </c>
      <c r="DF185" s="52">
        <f t="shared" si="169"/>
        <v>0</v>
      </c>
      <c r="DG185" s="52">
        <f t="shared" si="169"/>
        <v>0</v>
      </c>
      <c r="DH185" s="52">
        <f t="shared" si="169"/>
        <v>0</v>
      </c>
      <c r="DI185" s="52">
        <f t="shared" si="169"/>
        <v>0</v>
      </c>
      <c r="DJ185" s="52">
        <f t="shared" si="169"/>
        <v>0</v>
      </c>
    </row>
    <row r="186" ht="15.75" customHeight="1">
      <c r="B186" s="52" t="s">
        <v>1792</v>
      </c>
      <c r="C186" s="52">
        <v>22.0</v>
      </c>
      <c r="D186" s="52" t="s">
        <v>1787</v>
      </c>
      <c r="E186" s="58"/>
      <c r="F186" s="58"/>
      <c r="G186" s="58"/>
      <c r="H186" s="58"/>
      <c r="I186" s="58"/>
      <c r="J186" s="65">
        <v>0.08</v>
      </c>
      <c r="K186" s="65">
        <v>0.08</v>
      </c>
      <c r="L186" s="65">
        <v>0.07</v>
      </c>
      <c r="M186" s="65">
        <v>0.07</v>
      </c>
      <c r="N186" s="65">
        <v>0.06</v>
      </c>
      <c r="O186" s="65">
        <v>0.06</v>
      </c>
      <c r="P186" s="65">
        <v>0.05</v>
      </c>
      <c r="Q186" s="65">
        <v>0.05</v>
      </c>
      <c r="R186" s="65">
        <v>0.05</v>
      </c>
      <c r="S186" s="65">
        <v>0.04</v>
      </c>
      <c r="T186" s="65">
        <v>0.04</v>
      </c>
      <c r="U186" s="65">
        <v>0.04</v>
      </c>
      <c r="V186" s="65">
        <v>0.04</v>
      </c>
      <c r="W186" s="65">
        <v>0.03</v>
      </c>
      <c r="X186" s="65">
        <v>0.03</v>
      </c>
      <c r="Y186" s="65">
        <v>0.03</v>
      </c>
      <c r="Z186" s="65">
        <v>0.03</v>
      </c>
      <c r="AA186" s="65">
        <v>0.03</v>
      </c>
      <c r="AB186" s="65">
        <v>0.02</v>
      </c>
      <c r="AC186" s="65">
        <v>0.02</v>
      </c>
      <c r="AD186" s="65">
        <v>0.03</v>
      </c>
      <c r="CF186" s="52">
        <f t="shared" ref="CF186:DJ186" si="170">ROUND($CF30*E186,0)</f>
        <v>0</v>
      </c>
      <c r="CG186" s="52">
        <f t="shared" si="170"/>
        <v>0</v>
      </c>
      <c r="CH186" s="52">
        <f t="shared" si="170"/>
        <v>0</v>
      </c>
      <c r="CI186" s="52">
        <f t="shared" si="170"/>
        <v>0</v>
      </c>
      <c r="CJ186" s="52">
        <f t="shared" si="170"/>
        <v>0</v>
      </c>
      <c r="CK186" s="52">
        <f t="shared" si="170"/>
        <v>1</v>
      </c>
      <c r="CL186" s="52">
        <f t="shared" si="170"/>
        <v>1</v>
      </c>
      <c r="CM186" s="52">
        <f t="shared" si="170"/>
        <v>0</v>
      </c>
      <c r="CN186" s="52">
        <f t="shared" si="170"/>
        <v>0</v>
      </c>
      <c r="CO186" s="52">
        <f t="shared" si="170"/>
        <v>0</v>
      </c>
      <c r="CP186" s="52">
        <f t="shared" si="170"/>
        <v>0</v>
      </c>
      <c r="CQ186" s="52">
        <f t="shared" si="170"/>
        <v>0</v>
      </c>
      <c r="CR186" s="52">
        <f t="shared" si="170"/>
        <v>0</v>
      </c>
      <c r="CS186" s="52">
        <f t="shared" si="170"/>
        <v>0</v>
      </c>
      <c r="CT186" s="52">
        <f t="shared" si="170"/>
        <v>0</v>
      </c>
      <c r="CU186" s="52">
        <f t="shared" si="170"/>
        <v>0</v>
      </c>
      <c r="CV186" s="52">
        <f t="shared" si="170"/>
        <v>0</v>
      </c>
      <c r="CW186" s="52">
        <f t="shared" si="170"/>
        <v>0</v>
      </c>
      <c r="CX186" s="52">
        <f t="shared" si="170"/>
        <v>0</v>
      </c>
      <c r="CY186" s="52">
        <f t="shared" si="170"/>
        <v>0</v>
      </c>
      <c r="CZ186" s="52">
        <f t="shared" si="170"/>
        <v>0</v>
      </c>
      <c r="DA186" s="52">
        <f t="shared" si="170"/>
        <v>0</v>
      </c>
      <c r="DB186" s="52">
        <f t="shared" si="170"/>
        <v>0</v>
      </c>
      <c r="DC186" s="52">
        <f t="shared" si="170"/>
        <v>0</v>
      </c>
      <c r="DD186" s="52">
        <f t="shared" si="170"/>
        <v>0</v>
      </c>
      <c r="DE186" s="52">
        <f t="shared" si="170"/>
        <v>0</v>
      </c>
      <c r="DF186" s="52">
        <f t="shared" si="170"/>
        <v>0</v>
      </c>
      <c r="DG186" s="52">
        <f t="shared" si="170"/>
        <v>0</v>
      </c>
      <c r="DH186" s="52">
        <f t="shared" si="170"/>
        <v>0</v>
      </c>
      <c r="DI186" s="52">
        <f t="shared" si="170"/>
        <v>0</v>
      </c>
      <c r="DJ186" s="52">
        <f t="shared" si="170"/>
        <v>0</v>
      </c>
    </row>
    <row r="187" ht="15.75" customHeight="1">
      <c r="B187" s="52" t="s">
        <v>1792</v>
      </c>
      <c r="C187" s="52">
        <v>22.0</v>
      </c>
      <c r="D187" s="52" t="s">
        <v>1788</v>
      </c>
      <c r="E187" s="58"/>
      <c r="F187" s="58"/>
      <c r="G187" s="58"/>
      <c r="H187" s="58"/>
      <c r="I187" s="58"/>
      <c r="J187" s="58"/>
      <c r="K187" s="65">
        <v>0.08</v>
      </c>
      <c r="L187" s="65">
        <v>0.08</v>
      </c>
      <c r="M187" s="65">
        <v>0.07</v>
      </c>
      <c r="N187" s="65">
        <v>0.07</v>
      </c>
      <c r="O187" s="65">
        <v>0.06</v>
      </c>
      <c r="P187" s="65">
        <v>0.06</v>
      </c>
      <c r="Q187" s="65">
        <v>0.05</v>
      </c>
      <c r="R187" s="65">
        <v>0.05</v>
      </c>
      <c r="S187" s="65">
        <v>0.05</v>
      </c>
      <c r="T187" s="65">
        <v>0.04</v>
      </c>
      <c r="U187" s="65">
        <v>0.04</v>
      </c>
      <c r="V187" s="65">
        <v>0.04</v>
      </c>
      <c r="W187" s="65">
        <v>0.04</v>
      </c>
      <c r="X187" s="65">
        <v>0.03</v>
      </c>
      <c r="Y187" s="65">
        <v>0.03</v>
      </c>
      <c r="Z187" s="65">
        <v>0.03</v>
      </c>
      <c r="AA187" s="65">
        <v>0.03</v>
      </c>
      <c r="AB187" s="65">
        <v>0.03</v>
      </c>
      <c r="AC187" s="65">
        <v>0.02</v>
      </c>
      <c r="AD187" s="65">
        <v>0.02</v>
      </c>
      <c r="CF187" s="52">
        <f t="shared" ref="CF187:DJ187" si="171">ROUND($CF31*E187,0)</f>
        <v>0</v>
      </c>
      <c r="CG187" s="52">
        <f t="shared" si="171"/>
        <v>0</v>
      </c>
      <c r="CH187" s="52">
        <f t="shared" si="171"/>
        <v>0</v>
      </c>
      <c r="CI187" s="52">
        <f t="shared" si="171"/>
        <v>0</v>
      </c>
      <c r="CJ187" s="52">
        <f t="shared" si="171"/>
        <v>0</v>
      </c>
      <c r="CK187" s="52">
        <f t="shared" si="171"/>
        <v>0</v>
      </c>
      <c r="CL187" s="52">
        <f t="shared" si="171"/>
        <v>0</v>
      </c>
      <c r="CM187" s="52">
        <f t="shared" si="171"/>
        <v>0</v>
      </c>
      <c r="CN187" s="52">
        <f t="shared" si="171"/>
        <v>0</v>
      </c>
      <c r="CO187" s="52">
        <f t="shared" si="171"/>
        <v>0</v>
      </c>
      <c r="CP187" s="52">
        <f t="shared" si="171"/>
        <v>0</v>
      </c>
      <c r="CQ187" s="52">
        <f t="shared" si="171"/>
        <v>0</v>
      </c>
      <c r="CR187" s="52">
        <f t="shared" si="171"/>
        <v>0</v>
      </c>
      <c r="CS187" s="52">
        <f t="shared" si="171"/>
        <v>0</v>
      </c>
      <c r="CT187" s="52">
        <f t="shared" si="171"/>
        <v>0</v>
      </c>
      <c r="CU187" s="52">
        <f t="shared" si="171"/>
        <v>0</v>
      </c>
      <c r="CV187" s="52">
        <f t="shared" si="171"/>
        <v>0</v>
      </c>
      <c r="CW187" s="52">
        <f t="shared" si="171"/>
        <v>0</v>
      </c>
      <c r="CX187" s="52">
        <f t="shared" si="171"/>
        <v>0</v>
      </c>
      <c r="CY187" s="52">
        <f t="shared" si="171"/>
        <v>0</v>
      </c>
      <c r="CZ187" s="52">
        <f t="shared" si="171"/>
        <v>0</v>
      </c>
      <c r="DA187" s="52">
        <f t="shared" si="171"/>
        <v>0</v>
      </c>
      <c r="DB187" s="52">
        <f t="shared" si="171"/>
        <v>0</v>
      </c>
      <c r="DC187" s="52">
        <f t="shared" si="171"/>
        <v>0</v>
      </c>
      <c r="DD187" s="52">
        <f t="shared" si="171"/>
        <v>0</v>
      </c>
      <c r="DE187" s="52">
        <f t="shared" si="171"/>
        <v>0</v>
      </c>
      <c r="DF187" s="52">
        <f t="shared" si="171"/>
        <v>0</v>
      </c>
      <c r="DG187" s="52">
        <f t="shared" si="171"/>
        <v>0</v>
      </c>
      <c r="DH187" s="52">
        <f t="shared" si="171"/>
        <v>0</v>
      </c>
      <c r="DI187" s="52">
        <f t="shared" si="171"/>
        <v>0</v>
      </c>
      <c r="DJ187" s="52">
        <f t="shared" si="171"/>
        <v>0</v>
      </c>
    </row>
    <row r="188" ht="15.75" customHeight="1">
      <c r="B188" s="52" t="s">
        <v>1792</v>
      </c>
      <c r="C188" s="52">
        <v>22.0</v>
      </c>
      <c r="D188" s="52" t="s">
        <v>1789</v>
      </c>
      <c r="E188" s="58"/>
      <c r="F188" s="58"/>
      <c r="G188" s="58"/>
      <c r="H188" s="58"/>
      <c r="I188" s="58"/>
      <c r="J188" s="58"/>
      <c r="K188" s="58"/>
      <c r="L188" s="65">
        <v>0.08</v>
      </c>
      <c r="M188" s="65">
        <v>0.08</v>
      </c>
      <c r="N188" s="65">
        <v>0.07</v>
      </c>
      <c r="O188" s="65">
        <v>0.07</v>
      </c>
      <c r="P188" s="65">
        <v>0.06</v>
      </c>
      <c r="Q188" s="65">
        <v>0.06</v>
      </c>
      <c r="R188" s="65">
        <v>0.05</v>
      </c>
      <c r="S188" s="65">
        <v>0.05</v>
      </c>
      <c r="T188" s="65">
        <v>0.05</v>
      </c>
      <c r="U188" s="65">
        <v>0.04</v>
      </c>
      <c r="V188" s="65">
        <v>0.04</v>
      </c>
      <c r="W188" s="65">
        <v>0.04</v>
      </c>
      <c r="X188" s="65">
        <v>0.04</v>
      </c>
      <c r="Y188" s="65">
        <v>0.03</v>
      </c>
      <c r="Z188" s="65">
        <v>0.03</v>
      </c>
      <c r="AA188" s="65">
        <v>0.03</v>
      </c>
      <c r="AB188" s="65">
        <v>0.03</v>
      </c>
      <c r="AC188" s="65">
        <v>0.03</v>
      </c>
      <c r="AD188" s="65">
        <v>0.02</v>
      </c>
      <c r="CF188" s="52">
        <f t="shared" ref="CF188:DJ188" si="172">ROUND($CF32*E188,0)</f>
        <v>0</v>
      </c>
      <c r="CG188" s="52">
        <f t="shared" si="172"/>
        <v>0</v>
      </c>
      <c r="CH188" s="52">
        <f t="shared" si="172"/>
        <v>0</v>
      </c>
      <c r="CI188" s="52">
        <f t="shared" si="172"/>
        <v>0</v>
      </c>
      <c r="CJ188" s="52">
        <f t="shared" si="172"/>
        <v>0</v>
      </c>
      <c r="CK188" s="52">
        <f t="shared" si="172"/>
        <v>0</v>
      </c>
      <c r="CL188" s="52">
        <f t="shared" si="172"/>
        <v>0</v>
      </c>
      <c r="CM188" s="52">
        <f t="shared" si="172"/>
        <v>1</v>
      </c>
      <c r="CN188" s="52">
        <f t="shared" si="172"/>
        <v>1</v>
      </c>
      <c r="CO188" s="52">
        <f t="shared" si="172"/>
        <v>1</v>
      </c>
      <c r="CP188" s="52">
        <f t="shared" si="172"/>
        <v>1</v>
      </c>
      <c r="CQ188" s="52">
        <f t="shared" si="172"/>
        <v>1</v>
      </c>
      <c r="CR188" s="52">
        <f t="shared" si="172"/>
        <v>1</v>
      </c>
      <c r="CS188" s="52">
        <f t="shared" si="172"/>
        <v>1</v>
      </c>
      <c r="CT188" s="52">
        <f t="shared" si="172"/>
        <v>1</v>
      </c>
      <c r="CU188" s="52">
        <f t="shared" si="172"/>
        <v>1</v>
      </c>
      <c r="CV188" s="52">
        <f t="shared" si="172"/>
        <v>0</v>
      </c>
      <c r="CW188" s="52">
        <f t="shared" si="172"/>
        <v>0</v>
      </c>
      <c r="CX188" s="52">
        <f t="shared" si="172"/>
        <v>0</v>
      </c>
      <c r="CY188" s="52">
        <f t="shared" si="172"/>
        <v>0</v>
      </c>
      <c r="CZ188" s="52">
        <f t="shared" si="172"/>
        <v>0</v>
      </c>
      <c r="DA188" s="52">
        <f t="shared" si="172"/>
        <v>0</v>
      </c>
      <c r="DB188" s="52">
        <f t="shared" si="172"/>
        <v>0</v>
      </c>
      <c r="DC188" s="52">
        <f t="shared" si="172"/>
        <v>0</v>
      </c>
      <c r="DD188" s="52">
        <f t="shared" si="172"/>
        <v>0</v>
      </c>
      <c r="DE188" s="52">
        <f t="shared" si="172"/>
        <v>0</v>
      </c>
      <c r="DF188" s="52">
        <f t="shared" si="172"/>
        <v>0</v>
      </c>
      <c r="DG188" s="52">
        <f t="shared" si="172"/>
        <v>0</v>
      </c>
      <c r="DH188" s="52">
        <f t="shared" si="172"/>
        <v>0</v>
      </c>
      <c r="DI188" s="52">
        <f t="shared" si="172"/>
        <v>0</v>
      </c>
      <c r="DJ188" s="52">
        <f t="shared" si="172"/>
        <v>0</v>
      </c>
    </row>
    <row r="189" ht="15.75" customHeight="1">
      <c r="B189" s="52" t="s">
        <v>1792</v>
      </c>
      <c r="C189" s="52">
        <v>22.0</v>
      </c>
      <c r="D189" s="52" t="s">
        <v>1790</v>
      </c>
      <c r="E189" s="58"/>
      <c r="F189" s="58"/>
      <c r="G189" s="58"/>
      <c r="H189" s="58"/>
      <c r="I189" s="58"/>
      <c r="J189" s="58"/>
      <c r="K189" s="58"/>
      <c r="L189" s="58"/>
      <c r="M189" s="58"/>
      <c r="N189" s="65">
        <v>0.08</v>
      </c>
      <c r="O189" s="65">
        <v>0.08</v>
      </c>
      <c r="P189" s="65">
        <v>0.07</v>
      </c>
      <c r="Q189" s="65">
        <v>0.07</v>
      </c>
      <c r="R189" s="65">
        <v>0.06</v>
      </c>
      <c r="S189" s="65">
        <v>0.06</v>
      </c>
      <c r="T189" s="65">
        <v>0.05</v>
      </c>
      <c r="U189" s="65">
        <v>0.05</v>
      </c>
      <c r="V189" s="65">
        <v>0.05</v>
      </c>
      <c r="W189" s="65">
        <v>0.04</v>
      </c>
      <c r="X189" s="65">
        <v>0.04</v>
      </c>
      <c r="Y189" s="65">
        <v>0.04</v>
      </c>
      <c r="Z189" s="65">
        <v>0.04</v>
      </c>
      <c r="AA189" s="65">
        <v>0.03</v>
      </c>
      <c r="AB189" s="65">
        <v>0.03</v>
      </c>
      <c r="AC189" s="65">
        <v>0.03</v>
      </c>
      <c r="AD189" s="65">
        <v>0.03</v>
      </c>
      <c r="CF189" s="52">
        <f t="shared" ref="CF189:DJ189" si="173">ROUND($CF33*E189,0)</f>
        <v>0</v>
      </c>
      <c r="CG189" s="52">
        <f t="shared" si="173"/>
        <v>0</v>
      </c>
      <c r="CH189" s="52">
        <f t="shared" si="173"/>
        <v>0</v>
      </c>
      <c r="CI189" s="52">
        <f t="shared" si="173"/>
        <v>0</v>
      </c>
      <c r="CJ189" s="52">
        <f t="shared" si="173"/>
        <v>0</v>
      </c>
      <c r="CK189" s="52">
        <f t="shared" si="173"/>
        <v>0</v>
      </c>
      <c r="CL189" s="52">
        <f t="shared" si="173"/>
        <v>0</v>
      </c>
      <c r="CM189" s="52">
        <f t="shared" si="173"/>
        <v>0</v>
      </c>
      <c r="CN189" s="52">
        <f t="shared" si="173"/>
        <v>0</v>
      </c>
      <c r="CO189" s="52">
        <f t="shared" si="173"/>
        <v>1</v>
      </c>
      <c r="CP189" s="52">
        <f t="shared" si="173"/>
        <v>1</v>
      </c>
      <c r="CQ189" s="52">
        <f t="shared" si="173"/>
        <v>1</v>
      </c>
      <c r="CR189" s="52">
        <f t="shared" si="173"/>
        <v>1</v>
      </c>
      <c r="CS189" s="52">
        <f t="shared" si="173"/>
        <v>1</v>
      </c>
      <c r="CT189" s="52">
        <f t="shared" si="173"/>
        <v>1</v>
      </c>
      <c r="CU189" s="52">
        <f t="shared" si="173"/>
        <v>1</v>
      </c>
      <c r="CV189" s="52">
        <f t="shared" si="173"/>
        <v>1</v>
      </c>
      <c r="CW189" s="52">
        <f t="shared" si="173"/>
        <v>1</v>
      </c>
      <c r="CX189" s="52">
        <f t="shared" si="173"/>
        <v>1</v>
      </c>
      <c r="CY189" s="52">
        <f t="shared" si="173"/>
        <v>1</v>
      </c>
      <c r="CZ189" s="52">
        <f t="shared" si="173"/>
        <v>1</v>
      </c>
      <c r="DA189" s="52">
        <f t="shared" si="173"/>
        <v>1</v>
      </c>
      <c r="DB189" s="52">
        <f t="shared" si="173"/>
        <v>0</v>
      </c>
      <c r="DC189" s="52">
        <f t="shared" si="173"/>
        <v>0</v>
      </c>
      <c r="DD189" s="52">
        <f t="shared" si="173"/>
        <v>0</v>
      </c>
      <c r="DE189" s="52">
        <f t="shared" si="173"/>
        <v>0</v>
      </c>
      <c r="DF189" s="52">
        <f t="shared" si="173"/>
        <v>0</v>
      </c>
      <c r="DG189" s="52">
        <f t="shared" si="173"/>
        <v>0</v>
      </c>
      <c r="DH189" s="52">
        <f t="shared" si="173"/>
        <v>0</v>
      </c>
      <c r="DI189" s="52">
        <f t="shared" si="173"/>
        <v>0</v>
      </c>
      <c r="DJ189" s="52">
        <f t="shared" si="173"/>
        <v>0</v>
      </c>
    </row>
    <row r="190" ht="15.75" customHeight="1">
      <c r="B190" s="52" t="s">
        <v>1792</v>
      </c>
      <c r="C190" s="52">
        <v>23.0</v>
      </c>
      <c r="D190" s="52">
        <v>0.0</v>
      </c>
      <c r="E190" s="65">
        <v>0.07</v>
      </c>
      <c r="F190" s="65">
        <v>0.07</v>
      </c>
      <c r="G190" s="65">
        <v>0.07</v>
      </c>
      <c r="H190" s="65">
        <v>0.07</v>
      </c>
      <c r="I190" s="65">
        <v>0.07</v>
      </c>
      <c r="J190" s="65">
        <v>0.07</v>
      </c>
      <c r="K190" s="65">
        <v>0.07</v>
      </c>
      <c r="L190" s="65">
        <v>0.07</v>
      </c>
      <c r="M190" s="65">
        <v>0.07</v>
      </c>
      <c r="N190" s="65">
        <v>0.03</v>
      </c>
      <c r="O190" s="65">
        <v>0.03</v>
      </c>
      <c r="P190" s="65">
        <v>0.03</v>
      </c>
      <c r="Q190" s="65">
        <v>0.03</v>
      </c>
      <c r="R190" s="65">
        <v>0.03</v>
      </c>
      <c r="S190" s="65">
        <v>0.03</v>
      </c>
      <c r="T190" s="65">
        <v>0.03</v>
      </c>
      <c r="U190" s="65">
        <v>0.02</v>
      </c>
      <c r="V190" s="65">
        <v>0.02</v>
      </c>
      <c r="W190" s="65">
        <v>0.02</v>
      </c>
      <c r="X190" s="65">
        <v>0.02</v>
      </c>
      <c r="Y190" s="65">
        <v>0.02</v>
      </c>
      <c r="Z190" s="65">
        <v>0.02</v>
      </c>
      <c r="AA190" s="65">
        <v>0.02</v>
      </c>
      <c r="AB190" s="65">
        <v>0.02</v>
      </c>
      <c r="AC190" s="58"/>
      <c r="AD190" s="58"/>
      <c r="CG190" s="52">
        <f t="shared" ref="CG190:DJ190" si="174">ROUND($CG27*E190,0)</f>
        <v>27</v>
      </c>
      <c r="CH190" s="52">
        <f t="shared" si="174"/>
        <v>27</v>
      </c>
      <c r="CI190" s="52">
        <f t="shared" si="174"/>
        <v>27</v>
      </c>
      <c r="CJ190" s="52">
        <f t="shared" si="174"/>
        <v>27</v>
      </c>
      <c r="CK190" s="52">
        <f t="shared" si="174"/>
        <v>27</v>
      </c>
      <c r="CL190" s="52">
        <f t="shared" si="174"/>
        <v>27</v>
      </c>
      <c r="CM190" s="52">
        <f t="shared" si="174"/>
        <v>27</v>
      </c>
      <c r="CN190" s="52">
        <f t="shared" si="174"/>
        <v>27</v>
      </c>
      <c r="CO190" s="52">
        <f t="shared" si="174"/>
        <v>27</v>
      </c>
      <c r="CP190" s="52">
        <f t="shared" si="174"/>
        <v>12</v>
      </c>
      <c r="CQ190" s="52">
        <f t="shared" si="174"/>
        <v>12</v>
      </c>
      <c r="CR190" s="52">
        <f t="shared" si="174"/>
        <v>12</v>
      </c>
      <c r="CS190" s="52">
        <f t="shared" si="174"/>
        <v>12</v>
      </c>
      <c r="CT190" s="52">
        <f t="shared" si="174"/>
        <v>12</v>
      </c>
      <c r="CU190" s="52">
        <f t="shared" si="174"/>
        <v>12</v>
      </c>
      <c r="CV190" s="52">
        <f t="shared" si="174"/>
        <v>12</v>
      </c>
      <c r="CW190" s="52">
        <f t="shared" si="174"/>
        <v>8</v>
      </c>
      <c r="CX190" s="52">
        <f t="shared" si="174"/>
        <v>8</v>
      </c>
      <c r="CY190" s="52">
        <f t="shared" si="174"/>
        <v>8</v>
      </c>
      <c r="CZ190" s="52">
        <f t="shared" si="174"/>
        <v>8</v>
      </c>
      <c r="DA190" s="52">
        <f t="shared" si="174"/>
        <v>8</v>
      </c>
      <c r="DB190" s="52">
        <f t="shared" si="174"/>
        <v>8</v>
      </c>
      <c r="DC190" s="52">
        <f t="shared" si="174"/>
        <v>8</v>
      </c>
      <c r="DD190" s="52">
        <f t="shared" si="174"/>
        <v>8</v>
      </c>
      <c r="DE190" s="52">
        <f t="shared" si="174"/>
        <v>0</v>
      </c>
      <c r="DF190" s="52">
        <f t="shared" si="174"/>
        <v>0</v>
      </c>
      <c r="DG190" s="52">
        <f t="shared" si="174"/>
        <v>0</v>
      </c>
      <c r="DH190" s="52">
        <f t="shared" si="174"/>
        <v>0</v>
      </c>
      <c r="DI190" s="52">
        <f t="shared" si="174"/>
        <v>0</v>
      </c>
      <c r="DJ190" s="52">
        <f t="shared" si="174"/>
        <v>0</v>
      </c>
    </row>
    <row r="191" ht="15.75" customHeight="1">
      <c r="B191" s="52" t="s">
        <v>1792</v>
      </c>
      <c r="C191" s="52">
        <v>23.0</v>
      </c>
      <c r="D191" s="52" t="s">
        <v>1785</v>
      </c>
      <c r="E191" s="65">
        <v>0.02</v>
      </c>
      <c r="F191" s="65">
        <v>0.02</v>
      </c>
      <c r="G191" s="65">
        <v>0.02</v>
      </c>
      <c r="H191" s="65">
        <v>0.02</v>
      </c>
      <c r="I191" s="65">
        <v>0.08</v>
      </c>
      <c r="J191" s="65">
        <v>0.08</v>
      </c>
      <c r="K191" s="65">
        <v>0.07</v>
      </c>
      <c r="L191" s="65">
        <v>0.07</v>
      </c>
      <c r="M191" s="65">
        <v>0.06</v>
      </c>
      <c r="N191" s="65">
        <v>0.06</v>
      </c>
      <c r="O191" s="65">
        <v>0.05</v>
      </c>
      <c r="P191" s="65">
        <v>0.05</v>
      </c>
      <c r="Q191" s="65">
        <v>0.05</v>
      </c>
      <c r="R191" s="65">
        <v>0.04</v>
      </c>
      <c r="S191" s="65">
        <v>0.04</v>
      </c>
      <c r="T191" s="65">
        <v>0.04</v>
      </c>
      <c r="U191" s="65">
        <v>0.04</v>
      </c>
      <c r="V191" s="65">
        <v>0.03</v>
      </c>
      <c r="W191" s="65">
        <v>0.03</v>
      </c>
      <c r="X191" s="65">
        <v>0.03</v>
      </c>
      <c r="Y191" s="65">
        <v>0.03</v>
      </c>
      <c r="Z191" s="65">
        <v>0.03</v>
      </c>
      <c r="AA191" s="65">
        <v>0.02</v>
      </c>
      <c r="AB191" s="65">
        <v>0.02</v>
      </c>
      <c r="AC191" s="58"/>
      <c r="AD191" s="58"/>
      <c r="CG191" s="52">
        <f t="shared" ref="CG191:DJ191" si="175">ROUND($CG28*E191,0)</f>
        <v>1</v>
      </c>
      <c r="CH191" s="52">
        <f t="shared" si="175"/>
        <v>1</v>
      </c>
      <c r="CI191" s="52">
        <f t="shared" si="175"/>
        <v>1</v>
      </c>
      <c r="CJ191" s="52">
        <f t="shared" si="175"/>
        <v>1</v>
      </c>
      <c r="CK191" s="52">
        <f t="shared" si="175"/>
        <v>3</v>
      </c>
      <c r="CL191" s="52">
        <f t="shared" si="175"/>
        <v>3</v>
      </c>
      <c r="CM191" s="52">
        <f t="shared" si="175"/>
        <v>3</v>
      </c>
      <c r="CN191" s="52">
        <f t="shared" si="175"/>
        <v>3</v>
      </c>
      <c r="CO191" s="52">
        <f t="shared" si="175"/>
        <v>2</v>
      </c>
      <c r="CP191" s="52">
        <f t="shared" si="175"/>
        <v>2</v>
      </c>
      <c r="CQ191" s="52">
        <f t="shared" si="175"/>
        <v>2</v>
      </c>
      <c r="CR191" s="52">
        <f t="shared" si="175"/>
        <v>2</v>
      </c>
      <c r="CS191" s="52">
        <f t="shared" si="175"/>
        <v>2</v>
      </c>
      <c r="CT191" s="52">
        <f t="shared" si="175"/>
        <v>2</v>
      </c>
      <c r="CU191" s="52">
        <f t="shared" si="175"/>
        <v>2</v>
      </c>
      <c r="CV191" s="52">
        <f t="shared" si="175"/>
        <v>2</v>
      </c>
      <c r="CW191" s="52">
        <f t="shared" si="175"/>
        <v>2</v>
      </c>
      <c r="CX191" s="52">
        <f t="shared" si="175"/>
        <v>1</v>
      </c>
      <c r="CY191" s="52">
        <f t="shared" si="175"/>
        <v>1</v>
      </c>
      <c r="CZ191" s="52">
        <f t="shared" si="175"/>
        <v>1</v>
      </c>
      <c r="DA191" s="52">
        <f t="shared" si="175"/>
        <v>1</v>
      </c>
      <c r="DB191" s="52">
        <f t="shared" si="175"/>
        <v>1</v>
      </c>
      <c r="DC191" s="52">
        <f t="shared" si="175"/>
        <v>1</v>
      </c>
      <c r="DD191" s="52">
        <f t="shared" si="175"/>
        <v>1</v>
      </c>
      <c r="DE191" s="52">
        <f t="shared" si="175"/>
        <v>0</v>
      </c>
      <c r="DF191" s="52">
        <f t="shared" si="175"/>
        <v>0</v>
      </c>
      <c r="DG191" s="52">
        <f t="shared" si="175"/>
        <v>0</v>
      </c>
      <c r="DH191" s="52">
        <f t="shared" si="175"/>
        <v>0</v>
      </c>
      <c r="DI191" s="52">
        <f t="shared" si="175"/>
        <v>0</v>
      </c>
      <c r="DJ191" s="52">
        <f t="shared" si="175"/>
        <v>0</v>
      </c>
    </row>
    <row r="192" ht="15.75" customHeight="1">
      <c r="B192" s="52" t="s">
        <v>1792</v>
      </c>
      <c r="C192" s="52">
        <v>23.0</v>
      </c>
      <c r="D192" s="52" t="s">
        <v>1786</v>
      </c>
      <c r="E192" s="58"/>
      <c r="F192" s="58"/>
      <c r="G192" s="58"/>
      <c r="H192" s="65">
        <v>0.08</v>
      </c>
      <c r="I192" s="65">
        <v>0.08</v>
      </c>
      <c r="J192" s="65">
        <v>0.07</v>
      </c>
      <c r="K192" s="65">
        <v>0.07</v>
      </c>
      <c r="L192" s="65">
        <v>0.06</v>
      </c>
      <c r="M192" s="65">
        <v>0.06</v>
      </c>
      <c r="N192" s="65">
        <v>0.05</v>
      </c>
      <c r="O192" s="65">
        <v>0.05</v>
      </c>
      <c r="P192" s="65">
        <v>0.05</v>
      </c>
      <c r="Q192" s="65">
        <v>0.04</v>
      </c>
      <c r="R192" s="65">
        <v>0.04</v>
      </c>
      <c r="S192" s="65">
        <v>0.04</v>
      </c>
      <c r="T192" s="65">
        <v>0.04</v>
      </c>
      <c r="U192" s="65">
        <v>0.03</v>
      </c>
      <c r="V192" s="65">
        <v>0.03</v>
      </c>
      <c r="W192" s="65">
        <v>0.03</v>
      </c>
      <c r="X192" s="65">
        <v>0.03</v>
      </c>
      <c r="Y192" s="65">
        <v>0.03</v>
      </c>
      <c r="Z192" s="65">
        <v>0.02</v>
      </c>
      <c r="AA192" s="65">
        <v>0.02</v>
      </c>
      <c r="AB192" s="65">
        <v>0.03</v>
      </c>
      <c r="AC192" s="65">
        <v>0.03</v>
      </c>
      <c r="AD192" s="65">
        <v>0.02</v>
      </c>
      <c r="CG192" s="52">
        <f t="shared" ref="CG192:DJ192" si="176">ROUND($CG29*E192,0)</f>
        <v>0</v>
      </c>
      <c r="CH192" s="52">
        <f t="shared" si="176"/>
        <v>0</v>
      </c>
      <c r="CI192" s="52">
        <f t="shared" si="176"/>
        <v>0</v>
      </c>
      <c r="CJ192" s="52">
        <f t="shared" si="176"/>
        <v>6</v>
      </c>
      <c r="CK192" s="52">
        <f t="shared" si="176"/>
        <v>6</v>
      </c>
      <c r="CL192" s="52">
        <f t="shared" si="176"/>
        <v>5</v>
      </c>
      <c r="CM192" s="52">
        <f t="shared" si="176"/>
        <v>5</v>
      </c>
      <c r="CN192" s="52">
        <f t="shared" si="176"/>
        <v>4</v>
      </c>
      <c r="CO192" s="52">
        <f t="shared" si="176"/>
        <v>4</v>
      </c>
      <c r="CP192" s="52">
        <f t="shared" si="176"/>
        <v>4</v>
      </c>
      <c r="CQ192" s="52">
        <f t="shared" si="176"/>
        <v>4</v>
      </c>
      <c r="CR192" s="52">
        <f t="shared" si="176"/>
        <v>4</v>
      </c>
      <c r="CS192" s="52">
        <f t="shared" si="176"/>
        <v>3</v>
      </c>
      <c r="CT192" s="52">
        <f t="shared" si="176"/>
        <v>3</v>
      </c>
      <c r="CU192" s="52">
        <f t="shared" si="176"/>
        <v>3</v>
      </c>
      <c r="CV192" s="52">
        <f t="shared" si="176"/>
        <v>3</v>
      </c>
      <c r="CW192" s="52">
        <f t="shared" si="176"/>
        <v>2</v>
      </c>
      <c r="CX192" s="52">
        <f t="shared" si="176"/>
        <v>2</v>
      </c>
      <c r="CY192" s="52">
        <f t="shared" si="176"/>
        <v>2</v>
      </c>
      <c r="CZ192" s="52">
        <f t="shared" si="176"/>
        <v>2</v>
      </c>
      <c r="DA192" s="52">
        <f t="shared" si="176"/>
        <v>2</v>
      </c>
      <c r="DB192" s="52">
        <f t="shared" si="176"/>
        <v>1</v>
      </c>
      <c r="DC192" s="52">
        <f t="shared" si="176"/>
        <v>1</v>
      </c>
      <c r="DD192" s="52">
        <f t="shared" si="176"/>
        <v>2</v>
      </c>
      <c r="DE192" s="52">
        <f t="shared" si="176"/>
        <v>2</v>
      </c>
      <c r="DF192" s="52">
        <f t="shared" si="176"/>
        <v>1</v>
      </c>
      <c r="DG192" s="52">
        <f t="shared" si="176"/>
        <v>0</v>
      </c>
      <c r="DH192" s="52">
        <f t="shared" si="176"/>
        <v>0</v>
      </c>
      <c r="DI192" s="52">
        <f t="shared" si="176"/>
        <v>0</v>
      </c>
      <c r="DJ192" s="52">
        <f t="shared" si="176"/>
        <v>0</v>
      </c>
    </row>
    <row r="193" ht="15.75" customHeight="1">
      <c r="B193" s="52" t="s">
        <v>1792</v>
      </c>
      <c r="C193" s="52">
        <v>23.0</v>
      </c>
      <c r="D193" s="52" t="s">
        <v>1787</v>
      </c>
      <c r="E193" s="58"/>
      <c r="F193" s="58"/>
      <c r="G193" s="58"/>
      <c r="H193" s="58"/>
      <c r="I193" s="58"/>
      <c r="J193" s="65">
        <v>0.08</v>
      </c>
      <c r="K193" s="65">
        <v>0.08</v>
      </c>
      <c r="L193" s="65">
        <v>0.07</v>
      </c>
      <c r="M193" s="65">
        <v>0.07</v>
      </c>
      <c r="N193" s="65">
        <v>0.06</v>
      </c>
      <c r="O193" s="65">
        <v>0.06</v>
      </c>
      <c r="P193" s="65">
        <v>0.05</v>
      </c>
      <c r="Q193" s="65">
        <v>0.05</v>
      </c>
      <c r="R193" s="65">
        <v>0.05</v>
      </c>
      <c r="S193" s="65">
        <v>0.04</v>
      </c>
      <c r="T193" s="65">
        <v>0.04</v>
      </c>
      <c r="U193" s="65">
        <v>0.04</v>
      </c>
      <c r="V193" s="65">
        <v>0.04</v>
      </c>
      <c r="W193" s="65">
        <v>0.03</v>
      </c>
      <c r="X193" s="65">
        <v>0.03</v>
      </c>
      <c r="Y193" s="65">
        <v>0.03</v>
      </c>
      <c r="Z193" s="65">
        <v>0.03</v>
      </c>
      <c r="AA193" s="65">
        <v>0.03</v>
      </c>
      <c r="AB193" s="65">
        <v>0.02</v>
      </c>
      <c r="AC193" s="65">
        <v>0.02</v>
      </c>
      <c r="AD193" s="65">
        <v>0.03</v>
      </c>
      <c r="CG193" s="52">
        <f t="shared" ref="CG193:DJ193" si="177">ROUND($CG30*E193,0)</f>
        <v>0</v>
      </c>
      <c r="CH193" s="52">
        <f t="shared" si="177"/>
        <v>0</v>
      </c>
      <c r="CI193" s="52">
        <f t="shared" si="177"/>
        <v>0</v>
      </c>
      <c r="CJ193" s="52">
        <f t="shared" si="177"/>
        <v>0</v>
      </c>
      <c r="CK193" s="52">
        <f t="shared" si="177"/>
        <v>0</v>
      </c>
      <c r="CL193" s="52">
        <f t="shared" si="177"/>
        <v>1</v>
      </c>
      <c r="CM193" s="52">
        <f t="shared" si="177"/>
        <v>1</v>
      </c>
      <c r="CN193" s="52">
        <f t="shared" si="177"/>
        <v>1</v>
      </c>
      <c r="CO193" s="52">
        <f t="shared" si="177"/>
        <v>1</v>
      </c>
      <c r="CP193" s="52">
        <f t="shared" si="177"/>
        <v>1</v>
      </c>
      <c r="CQ193" s="52">
        <f t="shared" si="177"/>
        <v>1</v>
      </c>
      <c r="CR193" s="52">
        <f t="shared" si="177"/>
        <v>1</v>
      </c>
      <c r="CS193" s="52">
        <f t="shared" si="177"/>
        <v>1</v>
      </c>
      <c r="CT193" s="52">
        <f t="shared" si="177"/>
        <v>1</v>
      </c>
      <c r="CU193" s="52">
        <f t="shared" si="177"/>
        <v>1</v>
      </c>
      <c r="CV193" s="52">
        <f t="shared" si="177"/>
        <v>1</v>
      </c>
      <c r="CW193" s="52">
        <f t="shared" si="177"/>
        <v>1</v>
      </c>
      <c r="CX193" s="52">
        <f t="shared" si="177"/>
        <v>1</v>
      </c>
      <c r="CY193" s="52">
        <f t="shared" si="177"/>
        <v>0</v>
      </c>
      <c r="CZ193" s="52">
        <f t="shared" si="177"/>
        <v>0</v>
      </c>
      <c r="DA193" s="52">
        <f t="shared" si="177"/>
        <v>0</v>
      </c>
      <c r="DB193" s="52">
        <f t="shared" si="177"/>
        <v>0</v>
      </c>
      <c r="DC193" s="52">
        <f t="shared" si="177"/>
        <v>0</v>
      </c>
      <c r="DD193" s="52">
        <f t="shared" si="177"/>
        <v>0</v>
      </c>
      <c r="DE193" s="52">
        <f t="shared" si="177"/>
        <v>0</v>
      </c>
      <c r="DF193" s="52">
        <f t="shared" si="177"/>
        <v>0</v>
      </c>
      <c r="DG193" s="52">
        <f t="shared" si="177"/>
        <v>0</v>
      </c>
      <c r="DH193" s="52">
        <f t="shared" si="177"/>
        <v>0</v>
      </c>
      <c r="DI193" s="52">
        <f t="shared" si="177"/>
        <v>0</v>
      </c>
      <c r="DJ193" s="52">
        <f t="shared" si="177"/>
        <v>0</v>
      </c>
    </row>
    <row r="194" ht="15.75" customHeight="1">
      <c r="B194" s="52" t="s">
        <v>1792</v>
      </c>
      <c r="C194" s="52">
        <v>23.0</v>
      </c>
      <c r="D194" s="52" t="s">
        <v>1788</v>
      </c>
      <c r="E194" s="58"/>
      <c r="F194" s="58"/>
      <c r="G194" s="58"/>
      <c r="H194" s="58"/>
      <c r="I194" s="58"/>
      <c r="J194" s="58"/>
      <c r="K194" s="65">
        <v>0.08</v>
      </c>
      <c r="L194" s="65">
        <v>0.08</v>
      </c>
      <c r="M194" s="65">
        <v>0.07</v>
      </c>
      <c r="N194" s="65">
        <v>0.07</v>
      </c>
      <c r="O194" s="65">
        <v>0.06</v>
      </c>
      <c r="P194" s="65">
        <v>0.06</v>
      </c>
      <c r="Q194" s="65">
        <v>0.05</v>
      </c>
      <c r="R194" s="65">
        <v>0.05</v>
      </c>
      <c r="S194" s="65">
        <v>0.05</v>
      </c>
      <c r="T194" s="65">
        <v>0.04</v>
      </c>
      <c r="U194" s="65">
        <v>0.04</v>
      </c>
      <c r="V194" s="65">
        <v>0.04</v>
      </c>
      <c r="W194" s="65">
        <v>0.04</v>
      </c>
      <c r="X194" s="65">
        <v>0.03</v>
      </c>
      <c r="Y194" s="65">
        <v>0.03</v>
      </c>
      <c r="Z194" s="65">
        <v>0.03</v>
      </c>
      <c r="AA194" s="65">
        <v>0.03</v>
      </c>
      <c r="AB194" s="65">
        <v>0.03</v>
      </c>
      <c r="AC194" s="65">
        <v>0.02</v>
      </c>
      <c r="AD194" s="65">
        <v>0.02</v>
      </c>
      <c r="CG194" s="52">
        <f t="shared" ref="CG194:DJ194" si="178">ROUND($CG31*E194,0)</f>
        <v>0</v>
      </c>
      <c r="CH194" s="52">
        <f t="shared" si="178"/>
        <v>0</v>
      </c>
      <c r="CI194" s="52">
        <f t="shared" si="178"/>
        <v>0</v>
      </c>
      <c r="CJ194" s="52">
        <f t="shared" si="178"/>
        <v>0</v>
      </c>
      <c r="CK194" s="52">
        <f t="shared" si="178"/>
        <v>0</v>
      </c>
      <c r="CL194" s="52">
        <f t="shared" si="178"/>
        <v>0</v>
      </c>
      <c r="CM194" s="52">
        <f t="shared" si="178"/>
        <v>1</v>
      </c>
      <c r="CN194" s="52">
        <f t="shared" si="178"/>
        <v>1</v>
      </c>
      <c r="CO194" s="52">
        <f t="shared" si="178"/>
        <v>1</v>
      </c>
      <c r="CP194" s="52">
        <f t="shared" si="178"/>
        <v>1</v>
      </c>
      <c r="CQ194" s="52">
        <f t="shared" si="178"/>
        <v>1</v>
      </c>
      <c r="CR194" s="52">
        <f t="shared" si="178"/>
        <v>1</v>
      </c>
      <c r="CS194" s="52">
        <f t="shared" si="178"/>
        <v>1</v>
      </c>
      <c r="CT194" s="52">
        <f t="shared" si="178"/>
        <v>1</v>
      </c>
      <c r="CU194" s="52">
        <f t="shared" si="178"/>
        <v>1</v>
      </c>
      <c r="CV194" s="52">
        <f t="shared" si="178"/>
        <v>0</v>
      </c>
      <c r="CW194" s="52">
        <f t="shared" si="178"/>
        <v>0</v>
      </c>
      <c r="CX194" s="52">
        <f t="shared" si="178"/>
        <v>0</v>
      </c>
      <c r="CY194" s="52">
        <f t="shared" si="178"/>
        <v>0</v>
      </c>
      <c r="CZ194" s="52">
        <f t="shared" si="178"/>
        <v>0</v>
      </c>
      <c r="DA194" s="52">
        <f t="shared" si="178"/>
        <v>0</v>
      </c>
      <c r="DB194" s="52">
        <f t="shared" si="178"/>
        <v>0</v>
      </c>
      <c r="DC194" s="52">
        <f t="shared" si="178"/>
        <v>0</v>
      </c>
      <c r="DD194" s="52">
        <f t="shared" si="178"/>
        <v>0</v>
      </c>
      <c r="DE194" s="52">
        <f t="shared" si="178"/>
        <v>0</v>
      </c>
      <c r="DF194" s="52">
        <f t="shared" si="178"/>
        <v>0</v>
      </c>
      <c r="DG194" s="52">
        <f t="shared" si="178"/>
        <v>0</v>
      </c>
      <c r="DH194" s="52">
        <f t="shared" si="178"/>
        <v>0</v>
      </c>
      <c r="DI194" s="52">
        <f t="shared" si="178"/>
        <v>0</v>
      </c>
      <c r="DJ194" s="52">
        <f t="shared" si="178"/>
        <v>0</v>
      </c>
    </row>
    <row r="195" ht="15.75" customHeight="1">
      <c r="B195" s="52" t="s">
        <v>1792</v>
      </c>
      <c r="C195" s="52">
        <v>23.0</v>
      </c>
      <c r="D195" s="52" t="s">
        <v>1789</v>
      </c>
      <c r="E195" s="58"/>
      <c r="F195" s="58"/>
      <c r="G195" s="58"/>
      <c r="H195" s="58"/>
      <c r="I195" s="58"/>
      <c r="J195" s="58"/>
      <c r="K195" s="58"/>
      <c r="L195" s="65">
        <v>0.08</v>
      </c>
      <c r="M195" s="65">
        <v>0.08</v>
      </c>
      <c r="N195" s="65">
        <v>0.07</v>
      </c>
      <c r="O195" s="65">
        <v>0.07</v>
      </c>
      <c r="P195" s="65">
        <v>0.06</v>
      </c>
      <c r="Q195" s="65">
        <v>0.06</v>
      </c>
      <c r="R195" s="65">
        <v>0.05</v>
      </c>
      <c r="S195" s="65">
        <v>0.05</v>
      </c>
      <c r="T195" s="65">
        <v>0.05</v>
      </c>
      <c r="U195" s="65">
        <v>0.04</v>
      </c>
      <c r="V195" s="65">
        <v>0.04</v>
      </c>
      <c r="W195" s="65">
        <v>0.04</v>
      </c>
      <c r="X195" s="65">
        <v>0.04</v>
      </c>
      <c r="Y195" s="65">
        <v>0.03</v>
      </c>
      <c r="Z195" s="65">
        <v>0.03</v>
      </c>
      <c r="AA195" s="65">
        <v>0.03</v>
      </c>
      <c r="AB195" s="65">
        <v>0.03</v>
      </c>
      <c r="AC195" s="65">
        <v>0.03</v>
      </c>
      <c r="AD195" s="65">
        <v>0.02</v>
      </c>
      <c r="CG195" s="52">
        <f t="shared" ref="CG195:DJ195" si="179">ROUND($CG32*E195,0)</f>
        <v>0</v>
      </c>
      <c r="CH195" s="52">
        <f t="shared" si="179"/>
        <v>0</v>
      </c>
      <c r="CI195" s="52">
        <f t="shared" si="179"/>
        <v>0</v>
      </c>
      <c r="CJ195" s="52">
        <f t="shared" si="179"/>
        <v>0</v>
      </c>
      <c r="CK195" s="52">
        <f t="shared" si="179"/>
        <v>0</v>
      </c>
      <c r="CL195" s="52">
        <f t="shared" si="179"/>
        <v>0</v>
      </c>
      <c r="CM195" s="52">
        <f t="shared" si="179"/>
        <v>0</v>
      </c>
      <c r="CN195" s="52">
        <f t="shared" si="179"/>
        <v>2</v>
      </c>
      <c r="CO195" s="52">
        <f t="shared" si="179"/>
        <v>2</v>
      </c>
      <c r="CP195" s="52">
        <f t="shared" si="179"/>
        <v>2</v>
      </c>
      <c r="CQ195" s="52">
        <f t="shared" si="179"/>
        <v>2</v>
      </c>
      <c r="CR195" s="52">
        <f t="shared" si="179"/>
        <v>1</v>
      </c>
      <c r="CS195" s="52">
        <f t="shared" si="179"/>
        <v>1</v>
      </c>
      <c r="CT195" s="52">
        <f t="shared" si="179"/>
        <v>1</v>
      </c>
      <c r="CU195" s="52">
        <f t="shared" si="179"/>
        <v>1</v>
      </c>
      <c r="CV195" s="52">
        <f t="shared" si="179"/>
        <v>1</v>
      </c>
      <c r="CW195" s="52">
        <f t="shared" si="179"/>
        <v>1</v>
      </c>
      <c r="CX195" s="52">
        <f t="shared" si="179"/>
        <v>1</v>
      </c>
      <c r="CY195" s="52">
        <f t="shared" si="179"/>
        <v>1</v>
      </c>
      <c r="CZ195" s="52">
        <f t="shared" si="179"/>
        <v>1</v>
      </c>
      <c r="DA195" s="52">
        <f t="shared" si="179"/>
        <v>1</v>
      </c>
      <c r="DB195" s="52">
        <f t="shared" si="179"/>
        <v>1</v>
      </c>
      <c r="DC195" s="52">
        <f t="shared" si="179"/>
        <v>1</v>
      </c>
      <c r="DD195" s="52">
        <f t="shared" si="179"/>
        <v>1</v>
      </c>
      <c r="DE195" s="52">
        <f t="shared" si="179"/>
        <v>1</v>
      </c>
      <c r="DF195" s="52">
        <f t="shared" si="179"/>
        <v>0</v>
      </c>
      <c r="DG195" s="52">
        <f t="shared" si="179"/>
        <v>0</v>
      </c>
      <c r="DH195" s="52">
        <f t="shared" si="179"/>
        <v>0</v>
      </c>
      <c r="DI195" s="52">
        <f t="shared" si="179"/>
        <v>0</v>
      </c>
      <c r="DJ195" s="52">
        <f t="shared" si="179"/>
        <v>0</v>
      </c>
    </row>
    <row r="196" ht="15.75" customHeight="1">
      <c r="B196" s="52" t="s">
        <v>1792</v>
      </c>
      <c r="C196" s="52">
        <v>23.0</v>
      </c>
      <c r="D196" s="52" t="s">
        <v>1790</v>
      </c>
      <c r="E196" s="58"/>
      <c r="F196" s="58"/>
      <c r="G196" s="58"/>
      <c r="H196" s="58"/>
      <c r="I196" s="58"/>
      <c r="J196" s="58"/>
      <c r="K196" s="58"/>
      <c r="L196" s="58"/>
      <c r="M196" s="58"/>
      <c r="N196" s="65">
        <v>0.08</v>
      </c>
      <c r="O196" s="65">
        <v>0.08</v>
      </c>
      <c r="P196" s="65">
        <v>0.07</v>
      </c>
      <c r="Q196" s="65">
        <v>0.07</v>
      </c>
      <c r="R196" s="65">
        <v>0.06</v>
      </c>
      <c r="S196" s="65">
        <v>0.06</v>
      </c>
      <c r="T196" s="65">
        <v>0.05</v>
      </c>
      <c r="U196" s="65">
        <v>0.05</v>
      </c>
      <c r="V196" s="65">
        <v>0.05</v>
      </c>
      <c r="W196" s="65">
        <v>0.04</v>
      </c>
      <c r="X196" s="65">
        <v>0.04</v>
      </c>
      <c r="Y196" s="65">
        <v>0.04</v>
      </c>
      <c r="Z196" s="65">
        <v>0.04</v>
      </c>
      <c r="AA196" s="65">
        <v>0.03</v>
      </c>
      <c r="AB196" s="65">
        <v>0.03</v>
      </c>
      <c r="AC196" s="65">
        <v>0.03</v>
      </c>
      <c r="AD196" s="65">
        <v>0.03</v>
      </c>
      <c r="CG196" s="52">
        <f t="shared" ref="CG196:DJ196" si="180">ROUND($CG33*E196,0)</f>
        <v>0</v>
      </c>
      <c r="CH196" s="52">
        <f t="shared" si="180"/>
        <v>0</v>
      </c>
      <c r="CI196" s="52">
        <f t="shared" si="180"/>
        <v>0</v>
      </c>
      <c r="CJ196" s="52">
        <f t="shared" si="180"/>
        <v>0</v>
      </c>
      <c r="CK196" s="52">
        <f t="shared" si="180"/>
        <v>0</v>
      </c>
      <c r="CL196" s="52">
        <f t="shared" si="180"/>
        <v>0</v>
      </c>
      <c r="CM196" s="52">
        <f t="shared" si="180"/>
        <v>0</v>
      </c>
      <c r="CN196" s="52">
        <f t="shared" si="180"/>
        <v>0</v>
      </c>
      <c r="CO196" s="52">
        <f t="shared" si="180"/>
        <v>0</v>
      </c>
      <c r="CP196" s="52">
        <f t="shared" si="180"/>
        <v>3</v>
      </c>
      <c r="CQ196" s="52">
        <f t="shared" si="180"/>
        <v>3</v>
      </c>
      <c r="CR196" s="52">
        <f t="shared" si="180"/>
        <v>2</v>
      </c>
      <c r="CS196" s="52">
        <f t="shared" si="180"/>
        <v>2</v>
      </c>
      <c r="CT196" s="52">
        <f t="shared" si="180"/>
        <v>2</v>
      </c>
      <c r="CU196" s="52">
        <f t="shared" si="180"/>
        <v>2</v>
      </c>
      <c r="CV196" s="52">
        <f t="shared" si="180"/>
        <v>2</v>
      </c>
      <c r="CW196" s="52">
        <f t="shared" si="180"/>
        <v>2</v>
      </c>
      <c r="CX196" s="52">
        <f t="shared" si="180"/>
        <v>2</v>
      </c>
      <c r="CY196" s="52">
        <f t="shared" si="180"/>
        <v>1</v>
      </c>
      <c r="CZ196" s="52">
        <f t="shared" si="180"/>
        <v>1</v>
      </c>
      <c r="DA196" s="52">
        <f t="shared" si="180"/>
        <v>1</v>
      </c>
      <c r="DB196" s="52">
        <f t="shared" si="180"/>
        <v>1</v>
      </c>
      <c r="DC196" s="52">
        <f t="shared" si="180"/>
        <v>1</v>
      </c>
      <c r="DD196" s="52">
        <f t="shared" si="180"/>
        <v>1</v>
      </c>
      <c r="DE196" s="52">
        <f t="shared" si="180"/>
        <v>1</v>
      </c>
      <c r="DF196" s="52">
        <f t="shared" si="180"/>
        <v>1</v>
      </c>
      <c r="DG196" s="52">
        <f t="shared" si="180"/>
        <v>0</v>
      </c>
      <c r="DH196" s="52">
        <f t="shared" si="180"/>
        <v>0</v>
      </c>
      <c r="DI196" s="52">
        <f t="shared" si="180"/>
        <v>0</v>
      </c>
      <c r="DJ196" s="52">
        <f t="shared" si="180"/>
        <v>0</v>
      </c>
    </row>
    <row r="197" ht="15.75" customHeight="1">
      <c r="B197" s="52" t="s">
        <v>1792</v>
      </c>
      <c r="C197" s="52">
        <v>24.0</v>
      </c>
      <c r="D197" s="52">
        <v>0.0</v>
      </c>
      <c r="E197" s="65">
        <v>0.07</v>
      </c>
      <c r="F197" s="65">
        <v>0.07</v>
      </c>
      <c r="G197" s="65">
        <v>0.07</v>
      </c>
      <c r="H197" s="65">
        <v>0.07</v>
      </c>
      <c r="I197" s="65">
        <v>0.07</v>
      </c>
      <c r="J197" s="65">
        <v>0.07</v>
      </c>
      <c r="K197" s="65">
        <v>0.07</v>
      </c>
      <c r="L197" s="65">
        <v>0.07</v>
      </c>
      <c r="M197" s="65">
        <v>0.07</v>
      </c>
      <c r="N197" s="65">
        <v>0.03</v>
      </c>
      <c r="O197" s="65">
        <v>0.03</v>
      </c>
      <c r="P197" s="65">
        <v>0.03</v>
      </c>
      <c r="Q197" s="65">
        <v>0.03</v>
      </c>
      <c r="R197" s="65">
        <v>0.03</v>
      </c>
      <c r="S197" s="65">
        <v>0.03</v>
      </c>
      <c r="T197" s="65">
        <v>0.03</v>
      </c>
      <c r="U197" s="65">
        <v>0.02</v>
      </c>
      <c r="V197" s="65">
        <v>0.02</v>
      </c>
      <c r="W197" s="65">
        <v>0.02</v>
      </c>
      <c r="X197" s="65">
        <v>0.02</v>
      </c>
      <c r="Y197" s="65">
        <v>0.02</v>
      </c>
      <c r="Z197" s="65">
        <v>0.02</v>
      </c>
      <c r="AA197" s="65">
        <v>0.02</v>
      </c>
      <c r="AB197" s="65">
        <v>0.02</v>
      </c>
      <c r="AC197" s="58"/>
      <c r="AD197" s="58"/>
      <c r="CH197" s="52">
        <f t="shared" ref="CH197:DJ197" si="181">ROUND($CH27*E197,0)</f>
        <v>14</v>
      </c>
      <c r="CI197" s="52">
        <f t="shared" si="181"/>
        <v>14</v>
      </c>
      <c r="CJ197" s="52">
        <f t="shared" si="181"/>
        <v>14</v>
      </c>
      <c r="CK197" s="52">
        <f t="shared" si="181"/>
        <v>14</v>
      </c>
      <c r="CL197" s="52">
        <f t="shared" si="181"/>
        <v>14</v>
      </c>
      <c r="CM197" s="52">
        <f t="shared" si="181"/>
        <v>14</v>
      </c>
      <c r="CN197" s="52">
        <f t="shared" si="181"/>
        <v>14</v>
      </c>
      <c r="CO197" s="52">
        <f t="shared" si="181"/>
        <v>14</v>
      </c>
      <c r="CP197" s="52">
        <f t="shared" si="181"/>
        <v>14</v>
      </c>
      <c r="CQ197" s="52">
        <f t="shared" si="181"/>
        <v>6</v>
      </c>
      <c r="CR197" s="52">
        <f t="shared" si="181"/>
        <v>6</v>
      </c>
      <c r="CS197" s="52">
        <f t="shared" si="181"/>
        <v>6</v>
      </c>
      <c r="CT197" s="52">
        <f t="shared" si="181"/>
        <v>6</v>
      </c>
      <c r="CU197" s="52">
        <f t="shared" si="181"/>
        <v>6</v>
      </c>
      <c r="CV197" s="52">
        <f t="shared" si="181"/>
        <v>6</v>
      </c>
      <c r="CW197" s="52">
        <f t="shared" si="181"/>
        <v>6</v>
      </c>
      <c r="CX197" s="52">
        <f t="shared" si="181"/>
        <v>4</v>
      </c>
      <c r="CY197" s="52">
        <f t="shared" si="181"/>
        <v>4</v>
      </c>
      <c r="CZ197" s="52">
        <f t="shared" si="181"/>
        <v>4</v>
      </c>
      <c r="DA197" s="52">
        <f t="shared" si="181"/>
        <v>4</v>
      </c>
      <c r="DB197" s="52">
        <f t="shared" si="181"/>
        <v>4</v>
      </c>
      <c r="DC197" s="52">
        <f t="shared" si="181"/>
        <v>4</v>
      </c>
      <c r="DD197" s="52">
        <f t="shared" si="181"/>
        <v>4</v>
      </c>
      <c r="DE197" s="52">
        <f t="shared" si="181"/>
        <v>4</v>
      </c>
      <c r="DF197" s="52">
        <f t="shared" si="181"/>
        <v>0</v>
      </c>
      <c r="DG197" s="52">
        <f t="shared" si="181"/>
        <v>0</v>
      </c>
      <c r="DH197" s="52">
        <f t="shared" si="181"/>
        <v>0</v>
      </c>
      <c r="DI197" s="52">
        <f t="shared" si="181"/>
        <v>0</v>
      </c>
      <c r="DJ197" s="52">
        <f t="shared" si="181"/>
        <v>0</v>
      </c>
    </row>
    <row r="198" ht="15.75" customHeight="1">
      <c r="B198" s="52" t="s">
        <v>1792</v>
      </c>
      <c r="C198" s="52">
        <v>24.0</v>
      </c>
      <c r="D198" s="52" t="s">
        <v>1785</v>
      </c>
      <c r="E198" s="65">
        <v>0.02</v>
      </c>
      <c r="F198" s="65">
        <v>0.02</v>
      </c>
      <c r="G198" s="65">
        <v>0.02</v>
      </c>
      <c r="H198" s="65">
        <v>0.02</v>
      </c>
      <c r="I198" s="65">
        <v>0.08</v>
      </c>
      <c r="J198" s="65">
        <v>0.08</v>
      </c>
      <c r="K198" s="65">
        <v>0.07</v>
      </c>
      <c r="L198" s="65">
        <v>0.07</v>
      </c>
      <c r="M198" s="65">
        <v>0.06</v>
      </c>
      <c r="N198" s="65">
        <v>0.06</v>
      </c>
      <c r="O198" s="65">
        <v>0.05</v>
      </c>
      <c r="P198" s="65">
        <v>0.05</v>
      </c>
      <c r="Q198" s="65">
        <v>0.05</v>
      </c>
      <c r="R198" s="65">
        <v>0.04</v>
      </c>
      <c r="S198" s="65">
        <v>0.04</v>
      </c>
      <c r="T198" s="65">
        <v>0.04</v>
      </c>
      <c r="U198" s="65">
        <v>0.04</v>
      </c>
      <c r="V198" s="65">
        <v>0.03</v>
      </c>
      <c r="W198" s="65">
        <v>0.03</v>
      </c>
      <c r="X198" s="65">
        <v>0.03</v>
      </c>
      <c r="Y198" s="65">
        <v>0.03</v>
      </c>
      <c r="Z198" s="65">
        <v>0.03</v>
      </c>
      <c r="AA198" s="65">
        <v>0.02</v>
      </c>
      <c r="AB198" s="65">
        <v>0.02</v>
      </c>
      <c r="AC198" s="58"/>
      <c r="AD198" s="58"/>
      <c r="CH198" s="52">
        <f t="shared" ref="CH198:DJ198" si="182">ROUND($CH28*E198,0)</f>
        <v>0</v>
      </c>
      <c r="CI198" s="52">
        <f t="shared" si="182"/>
        <v>0</v>
      </c>
      <c r="CJ198" s="52">
        <f t="shared" si="182"/>
        <v>0</v>
      </c>
      <c r="CK198" s="52">
        <f t="shared" si="182"/>
        <v>0</v>
      </c>
      <c r="CL198" s="52">
        <f t="shared" si="182"/>
        <v>2</v>
      </c>
      <c r="CM198" s="52">
        <f t="shared" si="182"/>
        <v>2</v>
      </c>
      <c r="CN198" s="52">
        <f t="shared" si="182"/>
        <v>1</v>
      </c>
      <c r="CO198" s="52">
        <f t="shared" si="182"/>
        <v>1</v>
      </c>
      <c r="CP198" s="52">
        <f t="shared" si="182"/>
        <v>1</v>
      </c>
      <c r="CQ198" s="52">
        <f t="shared" si="182"/>
        <v>1</v>
      </c>
      <c r="CR198" s="52">
        <f t="shared" si="182"/>
        <v>1</v>
      </c>
      <c r="CS198" s="52">
        <f t="shared" si="182"/>
        <v>1</v>
      </c>
      <c r="CT198" s="52">
        <f t="shared" si="182"/>
        <v>1</v>
      </c>
      <c r="CU198" s="52">
        <f t="shared" si="182"/>
        <v>1</v>
      </c>
      <c r="CV198" s="52">
        <f t="shared" si="182"/>
        <v>1</v>
      </c>
      <c r="CW198" s="52">
        <f t="shared" si="182"/>
        <v>1</v>
      </c>
      <c r="CX198" s="52">
        <f t="shared" si="182"/>
        <v>1</v>
      </c>
      <c r="CY198" s="52">
        <f t="shared" si="182"/>
        <v>1</v>
      </c>
      <c r="CZ198" s="52">
        <f t="shared" si="182"/>
        <v>1</v>
      </c>
      <c r="DA198" s="52">
        <f t="shared" si="182"/>
        <v>1</v>
      </c>
      <c r="DB198" s="52">
        <f t="shared" si="182"/>
        <v>1</v>
      </c>
      <c r="DC198" s="52">
        <f t="shared" si="182"/>
        <v>1</v>
      </c>
      <c r="DD198" s="52">
        <f t="shared" si="182"/>
        <v>0</v>
      </c>
      <c r="DE198" s="52">
        <f t="shared" si="182"/>
        <v>0</v>
      </c>
      <c r="DF198" s="52">
        <f t="shared" si="182"/>
        <v>0</v>
      </c>
      <c r="DG198" s="52">
        <f t="shared" si="182"/>
        <v>0</v>
      </c>
      <c r="DH198" s="52">
        <f t="shared" si="182"/>
        <v>0</v>
      </c>
      <c r="DI198" s="52">
        <f t="shared" si="182"/>
        <v>0</v>
      </c>
      <c r="DJ198" s="52">
        <f t="shared" si="182"/>
        <v>0</v>
      </c>
    </row>
    <row r="199" ht="15.75" customHeight="1">
      <c r="B199" s="52" t="s">
        <v>1792</v>
      </c>
      <c r="C199" s="52">
        <v>24.0</v>
      </c>
      <c r="D199" s="52" t="s">
        <v>1786</v>
      </c>
      <c r="E199" s="58"/>
      <c r="F199" s="58"/>
      <c r="G199" s="58"/>
      <c r="H199" s="65">
        <v>0.08</v>
      </c>
      <c r="I199" s="65">
        <v>0.08</v>
      </c>
      <c r="J199" s="65">
        <v>0.07</v>
      </c>
      <c r="K199" s="65">
        <v>0.07</v>
      </c>
      <c r="L199" s="65">
        <v>0.06</v>
      </c>
      <c r="M199" s="65">
        <v>0.06</v>
      </c>
      <c r="N199" s="65">
        <v>0.05</v>
      </c>
      <c r="O199" s="65">
        <v>0.05</v>
      </c>
      <c r="P199" s="65">
        <v>0.05</v>
      </c>
      <c r="Q199" s="65">
        <v>0.04</v>
      </c>
      <c r="R199" s="65">
        <v>0.04</v>
      </c>
      <c r="S199" s="65">
        <v>0.04</v>
      </c>
      <c r="T199" s="65">
        <v>0.04</v>
      </c>
      <c r="U199" s="65">
        <v>0.03</v>
      </c>
      <c r="V199" s="65">
        <v>0.03</v>
      </c>
      <c r="W199" s="65">
        <v>0.03</v>
      </c>
      <c r="X199" s="65">
        <v>0.03</v>
      </c>
      <c r="Y199" s="65">
        <v>0.03</v>
      </c>
      <c r="Z199" s="65">
        <v>0.02</v>
      </c>
      <c r="AA199" s="65">
        <v>0.02</v>
      </c>
      <c r="AB199" s="65">
        <v>0.03</v>
      </c>
      <c r="AC199" s="65">
        <v>0.03</v>
      </c>
      <c r="AD199" s="65">
        <v>0.02</v>
      </c>
      <c r="CH199" s="52">
        <f t="shared" ref="CH199:DJ199" si="183">ROUND($CH29*E199,0)</f>
        <v>0</v>
      </c>
      <c r="CI199" s="52">
        <f t="shared" si="183"/>
        <v>0</v>
      </c>
      <c r="CJ199" s="52">
        <f t="shared" si="183"/>
        <v>0</v>
      </c>
      <c r="CK199" s="52">
        <f t="shared" si="183"/>
        <v>3</v>
      </c>
      <c r="CL199" s="52">
        <f t="shared" si="183"/>
        <v>3</v>
      </c>
      <c r="CM199" s="52">
        <f t="shared" si="183"/>
        <v>3</v>
      </c>
      <c r="CN199" s="52">
        <f t="shared" si="183"/>
        <v>3</v>
      </c>
      <c r="CO199" s="52">
        <f t="shared" si="183"/>
        <v>2</v>
      </c>
      <c r="CP199" s="52">
        <f t="shared" si="183"/>
        <v>2</v>
      </c>
      <c r="CQ199" s="52">
        <f t="shared" si="183"/>
        <v>2</v>
      </c>
      <c r="CR199" s="52">
        <f t="shared" si="183"/>
        <v>2</v>
      </c>
      <c r="CS199" s="52">
        <f t="shared" si="183"/>
        <v>2</v>
      </c>
      <c r="CT199" s="52">
        <f t="shared" si="183"/>
        <v>1</v>
      </c>
      <c r="CU199" s="52">
        <f t="shared" si="183"/>
        <v>1</v>
      </c>
      <c r="CV199" s="52">
        <f t="shared" si="183"/>
        <v>1</v>
      </c>
      <c r="CW199" s="52">
        <f t="shared" si="183"/>
        <v>1</v>
      </c>
      <c r="CX199" s="52">
        <f t="shared" si="183"/>
        <v>1</v>
      </c>
      <c r="CY199" s="52">
        <f t="shared" si="183"/>
        <v>1</v>
      </c>
      <c r="CZ199" s="52">
        <f t="shared" si="183"/>
        <v>1</v>
      </c>
      <c r="DA199" s="52">
        <f t="shared" si="183"/>
        <v>1</v>
      </c>
      <c r="DB199" s="52">
        <f t="shared" si="183"/>
        <v>1</v>
      </c>
      <c r="DC199" s="52">
        <f t="shared" si="183"/>
        <v>1</v>
      </c>
      <c r="DD199" s="52">
        <f t="shared" si="183"/>
        <v>1</v>
      </c>
      <c r="DE199" s="52">
        <f t="shared" si="183"/>
        <v>1</v>
      </c>
      <c r="DF199" s="52">
        <f t="shared" si="183"/>
        <v>1</v>
      </c>
      <c r="DG199" s="52">
        <f t="shared" si="183"/>
        <v>1</v>
      </c>
      <c r="DH199" s="52">
        <f t="shared" si="183"/>
        <v>0</v>
      </c>
      <c r="DI199" s="52">
        <f t="shared" si="183"/>
        <v>0</v>
      </c>
      <c r="DJ199" s="52">
        <f t="shared" si="183"/>
        <v>0</v>
      </c>
    </row>
    <row r="200" ht="15.75" customHeight="1">
      <c r="B200" s="52" t="s">
        <v>1792</v>
      </c>
      <c r="C200" s="52">
        <v>24.0</v>
      </c>
      <c r="D200" s="52" t="s">
        <v>1787</v>
      </c>
      <c r="E200" s="58"/>
      <c r="F200" s="58"/>
      <c r="G200" s="58"/>
      <c r="H200" s="58"/>
      <c r="I200" s="58"/>
      <c r="J200" s="65">
        <v>0.08</v>
      </c>
      <c r="K200" s="65">
        <v>0.08</v>
      </c>
      <c r="L200" s="65">
        <v>0.07</v>
      </c>
      <c r="M200" s="65">
        <v>0.07</v>
      </c>
      <c r="N200" s="65">
        <v>0.06</v>
      </c>
      <c r="O200" s="65">
        <v>0.06</v>
      </c>
      <c r="P200" s="65">
        <v>0.05</v>
      </c>
      <c r="Q200" s="65">
        <v>0.05</v>
      </c>
      <c r="R200" s="65">
        <v>0.05</v>
      </c>
      <c r="S200" s="65">
        <v>0.04</v>
      </c>
      <c r="T200" s="65">
        <v>0.04</v>
      </c>
      <c r="U200" s="65">
        <v>0.04</v>
      </c>
      <c r="V200" s="65">
        <v>0.04</v>
      </c>
      <c r="W200" s="65">
        <v>0.03</v>
      </c>
      <c r="X200" s="65">
        <v>0.03</v>
      </c>
      <c r="Y200" s="65">
        <v>0.03</v>
      </c>
      <c r="Z200" s="65">
        <v>0.03</v>
      </c>
      <c r="AA200" s="65">
        <v>0.03</v>
      </c>
      <c r="AB200" s="65">
        <v>0.02</v>
      </c>
      <c r="AC200" s="65">
        <v>0.02</v>
      </c>
      <c r="AD200" s="65">
        <v>0.03</v>
      </c>
      <c r="CH200" s="52">
        <f t="shared" ref="CH200:DJ200" si="184">ROUND($CH30*E200,0)</f>
        <v>0</v>
      </c>
      <c r="CI200" s="52">
        <f t="shared" si="184"/>
        <v>0</v>
      </c>
      <c r="CJ200" s="52">
        <f t="shared" si="184"/>
        <v>0</v>
      </c>
      <c r="CK200" s="52">
        <f t="shared" si="184"/>
        <v>0</v>
      </c>
      <c r="CL200" s="52">
        <f t="shared" si="184"/>
        <v>0</v>
      </c>
      <c r="CM200" s="52">
        <f t="shared" si="184"/>
        <v>1</v>
      </c>
      <c r="CN200" s="52">
        <f t="shared" si="184"/>
        <v>1</v>
      </c>
      <c r="CO200" s="52">
        <f t="shared" si="184"/>
        <v>0</v>
      </c>
      <c r="CP200" s="52">
        <f t="shared" si="184"/>
        <v>0</v>
      </c>
      <c r="CQ200" s="52">
        <f t="shared" si="184"/>
        <v>0</v>
      </c>
      <c r="CR200" s="52">
        <f t="shared" si="184"/>
        <v>0</v>
      </c>
      <c r="CS200" s="52">
        <f t="shared" si="184"/>
        <v>0</v>
      </c>
      <c r="CT200" s="52">
        <f t="shared" si="184"/>
        <v>0</v>
      </c>
      <c r="CU200" s="52">
        <f t="shared" si="184"/>
        <v>0</v>
      </c>
      <c r="CV200" s="52">
        <f t="shared" si="184"/>
        <v>0</v>
      </c>
      <c r="CW200" s="52">
        <f t="shared" si="184"/>
        <v>0</v>
      </c>
      <c r="CX200" s="52">
        <f t="shared" si="184"/>
        <v>0</v>
      </c>
      <c r="CY200" s="52">
        <f t="shared" si="184"/>
        <v>0</v>
      </c>
      <c r="CZ200" s="52">
        <f t="shared" si="184"/>
        <v>0</v>
      </c>
      <c r="DA200" s="52">
        <f t="shared" si="184"/>
        <v>0</v>
      </c>
      <c r="DB200" s="52">
        <f t="shared" si="184"/>
        <v>0</v>
      </c>
      <c r="DC200" s="52">
        <f t="shared" si="184"/>
        <v>0</v>
      </c>
      <c r="DD200" s="52">
        <f t="shared" si="184"/>
        <v>0</v>
      </c>
      <c r="DE200" s="52">
        <f t="shared" si="184"/>
        <v>0</v>
      </c>
      <c r="DF200" s="52">
        <f t="shared" si="184"/>
        <v>0</v>
      </c>
      <c r="DG200" s="52">
        <f t="shared" si="184"/>
        <v>0</v>
      </c>
      <c r="DH200" s="52">
        <f t="shared" si="184"/>
        <v>0</v>
      </c>
      <c r="DI200" s="52">
        <f t="shared" si="184"/>
        <v>0</v>
      </c>
      <c r="DJ200" s="52">
        <f t="shared" si="184"/>
        <v>0</v>
      </c>
    </row>
    <row r="201" ht="15.75" customHeight="1">
      <c r="B201" s="52" t="s">
        <v>1792</v>
      </c>
      <c r="C201" s="52">
        <v>24.0</v>
      </c>
      <c r="D201" s="52" t="s">
        <v>1788</v>
      </c>
      <c r="E201" s="58"/>
      <c r="F201" s="58"/>
      <c r="G201" s="58"/>
      <c r="H201" s="58"/>
      <c r="I201" s="58"/>
      <c r="J201" s="58"/>
      <c r="K201" s="65">
        <v>0.08</v>
      </c>
      <c r="L201" s="65">
        <v>0.08</v>
      </c>
      <c r="M201" s="65">
        <v>0.07</v>
      </c>
      <c r="N201" s="65">
        <v>0.07</v>
      </c>
      <c r="O201" s="65">
        <v>0.06</v>
      </c>
      <c r="P201" s="65">
        <v>0.06</v>
      </c>
      <c r="Q201" s="65">
        <v>0.05</v>
      </c>
      <c r="R201" s="65">
        <v>0.05</v>
      </c>
      <c r="S201" s="65">
        <v>0.05</v>
      </c>
      <c r="T201" s="65">
        <v>0.04</v>
      </c>
      <c r="U201" s="65">
        <v>0.04</v>
      </c>
      <c r="V201" s="65">
        <v>0.04</v>
      </c>
      <c r="W201" s="65">
        <v>0.04</v>
      </c>
      <c r="X201" s="65">
        <v>0.03</v>
      </c>
      <c r="Y201" s="65">
        <v>0.03</v>
      </c>
      <c r="Z201" s="65">
        <v>0.03</v>
      </c>
      <c r="AA201" s="65">
        <v>0.03</v>
      </c>
      <c r="AB201" s="65">
        <v>0.03</v>
      </c>
      <c r="AC201" s="65">
        <v>0.02</v>
      </c>
      <c r="AD201" s="65">
        <v>0.02</v>
      </c>
      <c r="CH201" s="52">
        <f t="shared" ref="CH201:DJ201" si="185">ROUND($CH31*E201,0)</f>
        <v>0</v>
      </c>
      <c r="CI201" s="52">
        <f t="shared" si="185"/>
        <v>0</v>
      </c>
      <c r="CJ201" s="52">
        <f t="shared" si="185"/>
        <v>0</v>
      </c>
      <c r="CK201" s="52">
        <f t="shared" si="185"/>
        <v>0</v>
      </c>
      <c r="CL201" s="52">
        <f t="shared" si="185"/>
        <v>0</v>
      </c>
      <c r="CM201" s="52">
        <f t="shared" si="185"/>
        <v>0</v>
      </c>
      <c r="CN201" s="52">
        <f t="shared" si="185"/>
        <v>0</v>
      </c>
      <c r="CO201" s="52">
        <f t="shared" si="185"/>
        <v>0</v>
      </c>
      <c r="CP201" s="52">
        <f t="shared" si="185"/>
        <v>0</v>
      </c>
      <c r="CQ201" s="52">
        <f t="shared" si="185"/>
        <v>0</v>
      </c>
      <c r="CR201" s="52">
        <f t="shared" si="185"/>
        <v>0</v>
      </c>
      <c r="CS201" s="52">
        <f t="shared" si="185"/>
        <v>0</v>
      </c>
      <c r="CT201" s="52">
        <f t="shared" si="185"/>
        <v>0</v>
      </c>
      <c r="CU201" s="52">
        <f t="shared" si="185"/>
        <v>0</v>
      </c>
      <c r="CV201" s="52">
        <f t="shared" si="185"/>
        <v>0</v>
      </c>
      <c r="CW201" s="52">
        <f t="shared" si="185"/>
        <v>0</v>
      </c>
      <c r="CX201" s="52">
        <f t="shared" si="185"/>
        <v>0</v>
      </c>
      <c r="CY201" s="52">
        <f t="shared" si="185"/>
        <v>0</v>
      </c>
      <c r="CZ201" s="52">
        <f t="shared" si="185"/>
        <v>0</v>
      </c>
      <c r="DA201" s="52">
        <f t="shared" si="185"/>
        <v>0</v>
      </c>
      <c r="DB201" s="52">
        <f t="shared" si="185"/>
        <v>0</v>
      </c>
      <c r="DC201" s="52">
        <f t="shared" si="185"/>
        <v>0</v>
      </c>
      <c r="DD201" s="52">
        <f t="shared" si="185"/>
        <v>0</v>
      </c>
      <c r="DE201" s="52">
        <f t="shared" si="185"/>
        <v>0</v>
      </c>
      <c r="DF201" s="52">
        <f t="shared" si="185"/>
        <v>0</v>
      </c>
      <c r="DG201" s="52">
        <f t="shared" si="185"/>
        <v>0</v>
      </c>
      <c r="DH201" s="52">
        <f t="shared" si="185"/>
        <v>0</v>
      </c>
      <c r="DI201" s="52">
        <f t="shared" si="185"/>
        <v>0</v>
      </c>
      <c r="DJ201" s="52">
        <f t="shared" si="185"/>
        <v>0</v>
      </c>
    </row>
    <row r="202" ht="15.75" customHeight="1">
      <c r="B202" s="52" t="s">
        <v>1792</v>
      </c>
      <c r="C202" s="52">
        <v>24.0</v>
      </c>
      <c r="D202" s="52" t="s">
        <v>1789</v>
      </c>
      <c r="E202" s="58"/>
      <c r="F202" s="58"/>
      <c r="G202" s="58"/>
      <c r="H202" s="58"/>
      <c r="I202" s="58"/>
      <c r="J202" s="58"/>
      <c r="K202" s="58"/>
      <c r="L202" s="65">
        <v>0.08</v>
      </c>
      <c r="M202" s="65">
        <v>0.08</v>
      </c>
      <c r="N202" s="65">
        <v>0.07</v>
      </c>
      <c r="O202" s="65">
        <v>0.07</v>
      </c>
      <c r="P202" s="65">
        <v>0.06</v>
      </c>
      <c r="Q202" s="65">
        <v>0.06</v>
      </c>
      <c r="R202" s="65">
        <v>0.05</v>
      </c>
      <c r="S202" s="65">
        <v>0.05</v>
      </c>
      <c r="T202" s="65">
        <v>0.05</v>
      </c>
      <c r="U202" s="65">
        <v>0.04</v>
      </c>
      <c r="V202" s="65">
        <v>0.04</v>
      </c>
      <c r="W202" s="65">
        <v>0.04</v>
      </c>
      <c r="X202" s="65">
        <v>0.04</v>
      </c>
      <c r="Y202" s="65">
        <v>0.03</v>
      </c>
      <c r="Z202" s="65">
        <v>0.03</v>
      </c>
      <c r="AA202" s="65">
        <v>0.03</v>
      </c>
      <c r="AB202" s="65">
        <v>0.03</v>
      </c>
      <c r="AC202" s="65">
        <v>0.03</v>
      </c>
      <c r="AD202" s="65">
        <v>0.02</v>
      </c>
      <c r="CH202" s="52">
        <f t="shared" ref="CH202:DJ202" si="186">ROUND($CH32*E202,0)</f>
        <v>0</v>
      </c>
      <c r="CI202" s="52">
        <f t="shared" si="186"/>
        <v>0</v>
      </c>
      <c r="CJ202" s="52">
        <f t="shared" si="186"/>
        <v>0</v>
      </c>
      <c r="CK202" s="52">
        <f t="shared" si="186"/>
        <v>0</v>
      </c>
      <c r="CL202" s="52">
        <f t="shared" si="186"/>
        <v>0</v>
      </c>
      <c r="CM202" s="52">
        <f t="shared" si="186"/>
        <v>0</v>
      </c>
      <c r="CN202" s="52">
        <f t="shared" si="186"/>
        <v>0</v>
      </c>
      <c r="CO202" s="52">
        <f t="shared" si="186"/>
        <v>1</v>
      </c>
      <c r="CP202" s="52">
        <f t="shared" si="186"/>
        <v>1</v>
      </c>
      <c r="CQ202" s="52">
        <f t="shared" si="186"/>
        <v>1</v>
      </c>
      <c r="CR202" s="52">
        <f t="shared" si="186"/>
        <v>1</v>
      </c>
      <c r="CS202" s="52">
        <f t="shared" si="186"/>
        <v>1</v>
      </c>
      <c r="CT202" s="52">
        <f t="shared" si="186"/>
        <v>1</v>
      </c>
      <c r="CU202" s="52">
        <f t="shared" si="186"/>
        <v>1</v>
      </c>
      <c r="CV202" s="52">
        <f t="shared" si="186"/>
        <v>1</v>
      </c>
      <c r="CW202" s="52">
        <f t="shared" si="186"/>
        <v>1</v>
      </c>
      <c r="CX202" s="52">
        <f t="shared" si="186"/>
        <v>0</v>
      </c>
      <c r="CY202" s="52">
        <f t="shared" si="186"/>
        <v>0</v>
      </c>
      <c r="CZ202" s="52">
        <f t="shared" si="186"/>
        <v>0</v>
      </c>
      <c r="DA202" s="52">
        <f t="shared" si="186"/>
        <v>0</v>
      </c>
      <c r="DB202" s="52">
        <f t="shared" si="186"/>
        <v>0</v>
      </c>
      <c r="DC202" s="52">
        <f t="shared" si="186"/>
        <v>0</v>
      </c>
      <c r="DD202" s="52">
        <f t="shared" si="186"/>
        <v>0</v>
      </c>
      <c r="DE202" s="52">
        <f t="shared" si="186"/>
        <v>0</v>
      </c>
      <c r="DF202" s="52">
        <f t="shared" si="186"/>
        <v>0</v>
      </c>
      <c r="DG202" s="52">
        <f t="shared" si="186"/>
        <v>0</v>
      </c>
      <c r="DH202" s="52">
        <f t="shared" si="186"/>
        <v>0</v>
      </c>
      <c r="DI202" s="52">
        <f t="shared" si="186"/>
        <v>0</v>
      </c>
      <c r="DJ202" s="52">
        <f t="shared" si="186"/>
        <v>0</v>
      </c>
    </row>
    <row r="203" ht="15.75" customHeight="1">
      <c r="B203" s="52" t="s">
        <v>1792</v>
      </c>
      <c r="C203" s="52">
        <v>24.0</v>
      </c>
      <c r="D203" s="52" t="s">
        <v>1790</v>
      </c>
      <c r="E203" s="58"/>
      <c r="F203" s="58"/>
      <c r="G203" s="58"/>
      <c r="H203" s="58"/>
      <c r="I203" s="58"/>
      <c r="J203" s="58"/>
      <c r="K203" s="58"/>
      <c r="L203" s="58"/>
      <c r="M203" s="58"/>
      <c r="N203" s="65">
        <v>0.08</v>
      </c>
      <c r="O203" s="65">
        <v>0.08</v>
      </c>
      <c r="P203" s="65">
        <v>0.07</v>
      </c>
      <c r="Q203" s="65">
        <v>0.07</v>
      </c>
      <c r="R203" s="65">
        <v>0.06</v>
      </c>
      <c r="S203" s="65">
        <v>0.06</v>
      </c>
      <c r="T203" s="65">
        <v>0.05</v>
      </c>
      <c r="U203" s="65">
        <v>0.05</v>
      </c>
      <c r="V203" s="65">
        <v>0.05</v>
      </c>
      <c r="W203" s="65">
        <v>0.04</v>
      </c>
      <c r="X203" s="65">
        <v>0.04</v>
      </c>
      <c r="Y203" s="65">
        <v>0.04</v>
      </c>
      <c r="Z203" s="65">
        <v>0.04</v>
      </c>
      <c r="AA203" s="65">
        <v>0.03</v>
      </c>
      <c r="AB203" s="65">
        <v>0.03</v>
      </c>
      <c r="AC203" s="65">
        <v>0.03</v>
      </c>
      <c r="AD203" s="65">
        <v>0.03</v>
      </c>
      <c r="CH203" s="52">
        <f t="shared" ref="CH203:DJ203" si="187">ROUND($CH33*E203,0)</f>
        <v>0</v>
      </c>
      <c r="CI203" s="52">
        <f t="shared" si="187"/>
        <v>0</v>
      </c>
      <c r="CJ203" s="52">
        <f t="shared" si="187"/>
        <v>0</v>
      </c>
      <c r="CK203" s="52">
        <f t="shared" si="187"/>
        <v>0</v>
      </c>
      <c r="CL203" s="52">
        <f t="shared" si="187"/>
        <v>0</v>
      </c>
      <c r="CM203" s="52">
        <f t="shared" si="187"/>
        <v>0</v>
      </c>
      <c r="CN203" s="52">
        <f t="shared" si="187"/>
        <v>0</v>
      </c>
      <c r="CO203" s="52">
        <f t="shared" si="187"/>
        <v>0</v>
      </c>
      <c r="CP203" s="52">
        <f t="shared" si="187"/>
        <v>0</v>
      </c>
      <c r="CQ203" s="52">
        <f t="shared" si="187"/>
        <v>1</v>
      </c>
      <c r="CR203" s="52">
        <f t="shared" si="187"/>
        <v>1</v>
      </c>
      <c r="CS203" s="52">
        <f t="shared" si="187"/>
        <v>1</v>
      </c>
      <c r="CT203" s="52">
        <f t="shared" si="187"/>
        <v>1</v>
      </c>
      <c r="CU203" s="52">
        <f t="shared" si="187"/>
        <v>1</v>
      </c>
      <c r="CV203" s="52">
        <f t="shared" si="187"/>
        <v>1</v>
      </c>
      <c r="CW203" s="52">
        <f t="shared" si="187"/>
        <v>1</v>
      </c>
      <c r="CX203" s="52">
        <f t="shared" si="187"/>
        <v>1</v>
      </c>
      <c r="CY203" s="52">
        <f t="shared" si="187"/>
        <v>1</v>
      </c>
      <c r="CZ203" s="52">
        <f t="shared" si="187"/>
        <v>1</v>
      </c>
      <c r="DA203" s="52">
        <f t="shared" si="187"/>
        <v>1</v>
      </c>
      <c r="DB203" s="52">
        <f t="shared" si="187"/>
        <v>1</v>
      </c>
      <c r="DC203" s="52">
        <f t="shared" si="187"/>
        <v>1</v>
      </c>
      <c r="DD203" s="52">
        <f t="shared" si="187"/>
        <v>0</v>
      </c>
      <c r="DE203" s="52">
        <f t="shared" si="187"/>
        <v>0</v>
      </c>
      <c r="DF203" s="52">
        <f t="shared" si="187"/>
        <v>0</v>
      </c>
      <c r="DG203" s="52">
        <f t="shared" si="187"/>
        <v>0</v>
      </c>
      <c r="DH203" s="52">
        <f t="shared" si="187"/>
        <v>0</v>
      </c>
      <c r="DI203" s="52">
        <f t="shared" si="187"/>
        <v>0</v>
      </c>
      <c r="DJ203" s="52">
        <f t="shared" si="187"/>
        <v>0</v>
      </c>
    </row>
    <row r="204" ht="15.75" customHeight="1">
      <c r="B204" s="52" t="s">
        <v>1792</v>
      </c>
      <c r="C204" s="52">
        <v>25.0</v>
      </c>
      <c r="D204" s="52">
        <v>0.0</v>
      </c>
      <c r="E204" s="65">
        <v>0.07</v>
      </c>
      <c r="F204" s="65">
        <v>0.07</v>
      </c>
      <c r="G204" s="65">
        <v>0.07</v>
      </c>
      <c r="H204" s="65">
        <v>0.07</v>
      </c>
      <c r="I204" s="65">
        <v>0.07</v>
      </c>
      <c r="J204" s="65">
        <v>0.07</v>
      </c>
      <c r="K204" s="65">
        <v>0.07</v>
      </c>
      <c r="L204" s="65">
        <v>0.07</v>
      </c>
      <c r="M204" s="65">
        <v>0.07</v>
      </c>
      <c r="N204" s="65">
        <v>0.03</v>
      </c>
      <c r="O204" s="65">
        <v>0.03</v>
      </c>
      <c r="P204" s="65">
        <v>0.03</v>
      </c>
      <c r="Q204" s="65">
        <v>0.03</v>
      </c>
      <c r="R204" s="65">
        <v>0.03</v>
      </c>
      <c r="S204" s="65">
        <v>0.03</v>
      </c>
      <c r="T204" s="65">
        <v>0.03</v>
      </c>
      <c r="U204" s="65">
        <v>0.02</v>
      </c>
      <c r="V204" s="65">
        <v>0.02</v>
      </c>
      <c r="W204" s="65">
        <v>0.02</v>
      </c>
      <c r="X204" s="65">
        <v>0.02</v>
      </c>
      <c r="Y204" s="65">
        <v>0.02</v>
      </c>
      <c r="Z204" s="65">
        <v>0.02</v>
      </c>
      <c r="AA204" s="65">
        <v>0.02</v>
      </c>
      <c r="AB204" s="65">
        <v>0.02</v>
      </c>
      <c r="AC204" s="58"/>
      <c r="AD204" s="58"/>
      <c r="CI204" s="52">
        <f t="shared" ref="CI204:DJ204" si="188">ROUND($CI27*E204,0)</f>
        <v>14</v>
      </c>
      <c r="CJ204" s="52">
        <f t="shared" si="188"/>
        <v>14</v>
      </c>
      <c r="CK204" s="52">
        <f t="shared" si="188"/>
        <v>14</v>
      </c>
      <c r="CL204" s="52">
        <f t="shared" si="188"/>
        <v>14</v>
      </c>
      <c r="CM204" s="52">
        <f t="shared" si="188"/>
        <v>14</v>
      </c>
      <c r="CN204" s="52">
        <f t="shared" si="188"/>
        <v>14</v>
      </c>
      <c r="CO204" s="52">
        <f t="shared" si="188"/>
        <v>14</v>
      </c>
      <c r="CP204" s="52">
        <f t="shared" si="188"/>
        <v>14</v>
      </c>
      <c r="CQ204" s="52">
        <f t="shared" si="188"/>
        <v>14</v>
      </c>
      <c r="CR204" s="52">
        <f t="shared" si="188"/>
        <v>6</v>
      </c>
      <c r="CS204" s="52">
        <f t="shared" si="188"/>
        <v>6</v>
      </c>
      <c r="CT204" s="52">
        <f t="shared" si="188"/>
        <v>6</v>
      </c>
      <c r="CU204" s="52">
        <f t="shared" si="188"/>
        <v>6</v>
      </c>
      <c r="CV204" s="52">
        <f t="shared" si="188"/>
        <v>6</v>
      </c>
      <c r="CW204" s="52">
        <f t="shared" si="188"/>
        <v>6</v>
      </c>
      <c r="CX204" s="52">
        <f t="shared" si="188"/>
        <v>6</v>
      </c>
      <c r="CY204" s="52">
        <f t="shared" si="188"/>
        <v>4</v>
      </c>
      <c r="CZ204" s="52">
        <f t="shared" si="188"/>
        <v>4</v>
      </c>
      <c r="DA204" s="52">
        <f t="shared" si="188"/>
        <v>4</v>
      </c>
      <c r="DB204" s="52">
        <f t="shared" si="188"/>
        <v>4</v>
      </c>
      <c r="DC204" s="52">
        <f t="shared" si="188"/>
        <v>4</v>
      </c>
      <c r="DD204" s="52">
        <f t="shared" si="188"/>
        <v>4</v>
      </c>
      <c r="DE204" s="52">
        <f t="shared" si="188"/>
        <v>4</v>
      </c>
      <c r="DF204" s="52">
        <f t="shared" si="188"/>
        <v>4</v>
      </c>
      <c r="DG204" s="52">
        <f t="shared" si="188"/>
        <v>0</v>
      </c>
      <c r="DH204" s="52">
        <f t="shared" si="188"/>
        <v>0</v>
      </c>
      <c r="DI204" s="52">
        <f t="shared" si="188"/>
        <v>0</v>
      </c>
      <c r="DJ204" s="52">
        <f t="shared" si="188"/>
        <v>0</v>
      </c>
    </row>
    <row r="205" ht="15.75" customHeight="1">
      <c r="B205" s="52" t="s">
        <v>1792</v>
      </c>
      <c r="C205" s="52">
        <v>25.0</v>
      </c>
      <c r="D205" s="52" t="s">
        <v>1785</v>
      </c>
      <c r="E205" s="65">
        <v>0.02</v>
      </c>
      <c r="F205" s="65">
        <v>0.02</v>
      </c>
      <c r="G205" s="65">
        <v>0.02</v>
      </c>
      <c r="H205" s="65">
        <v>0.02</v>
      </c>
      <c r="I205" s="65">
        <v>0.08</v>
      </c>
      <c r="J205" s="65">
        <v>0.08</v>
      </c>
      <c r="K205" s="65">
        <v>0.07</v>
      </c>
      <c r="L205" s="65">
        <v>0.07</v>
      </c>
      <c r="M205" s="65">
        <v>0.06</v>
      </c>
      <c r="N205" s="65">
        <v>0.06</v>
      </c>
      <c r="O205" s="65">
        <v>0.05</v>
      </c>
      <c r="P205" s="65">
        <v>0.05</v>
      </c>
      <c r="Q205" s="65">
        <v>0.05</v>
      </c>
      <c r="R205" s="65">
        <v>0.04</v>
      </c>
      <c r="S205" s="65">
        <v>0.04</v>
      </c>
      <c r="T205" s="65">
        <v>0.04</v>
      </c>
      <c r="U205" s="65">
        <v>0.04</v>
      </c>
      <c r="V205" s="65">
        <v>0.03</v>
      </c>
      <c r="W205" s="65">
        <v>0.03</v>
      </c>
      <c r="X205" s="65">
        <v>0.03</v>
      </c>
      <c r="Y205" s="65">
        <v>0.03</v>
      </c>
      <c r="Z205" s="65">
        <v>0.03</v>
      </c>
      <c r="AA205" s="65">
        <v>0.02</v>
      </c>
      <c r="AB205" s="65">
        <v>0.02</v>
      </c>
      <c r="AC205" s="58"/>
      <c r="AD205" s="58"/>
      <c r="CI205" s="52">
        <f t="shared" ref="CI205:DJ205" si="189">ROUND($CI28*E205,0)</f>
        <v>0</v>
      </c>
      <c r="CJ205" s="52">
        <f t="shared" si="189"/>
        <v>0</v>
      </c>
      <c r="CK205" s="52">
        <f t="shared" si="189"/>
        <v>0</v>
      </c>
      <c r="CL205" s="52">
        <f t="shared" si="189"/>
        <v>0</v>
      </c>
      <c r="CM205" s="52">
        <f t="shared" si="189"/>
        <v>2</v>
      </c>
      <c r="CN205" s="52">
        <f t="shared" si="189"/>
        <v>2</v>
      </c>
      <c r="CO205" s="52">
        <f t="shared" si="189"/>
        <v>1</v>
      </c>
      <c r="CP205" s="52">
        <f t="shared" si="189"/>
        <v>1</v>
      </c>
      <c r="CQ205" s="52">
        <f t="shared" si="189"/>
        <v>1</v>
      </c>
      <c r="CR205" s="52">
        <f t="shared" si="189"/>
        <v>1</v>
      </c>
      <c r="CS205" s="52">
        <f t="shared" si="189"/>
        <v>1</v>
      </c>
      <c r="CT205" s="52">
        <f t="shared" si="189"/>
        <v>1</v>
      </c>
      <c r="CU205" s="52">
        <f t="shared" si="189"/>
        <v>1</v>
      </c>
      <c r="CV205" s="52">
        <f t="shared" si="189"/>
        <v>1</v>
      </c>
      <c r="CW205" s="52">
        <f t="shared" si="189"/>
        <v>1</v>
      </c>
      <c r="CX205" s="52">
        <f t="shared" si="189"/>
        <v>1</v>
      </c>
      <c r="CY205" s="52">
        <f t="shared" si="189"/>
        <v>1</v>
      </c>
      <c r="CZ205" s="52">
        <f t="shared" si="189"/>
        <v>1</v>
      </c>
      <c r="DA205" s="52">
        <f t="shared" si="189"/>
        <v>1</v>
      </c>
      <c r="DB205" s="52">
        <f t="shared" si="189"/>
        <v>1</v>
      </c>
      <c r="DC205" s="52">
        <f t="shared" si="189"/>
        <v>1</v>
      </c>
      <c r="DD205" s="52">
        <f t="shared" si="189"/>
        <v>1</v>
      </c>
      <c r="DE205" s="52">
        <f t="shared" si="189"/>
        <v>0</v>
      </c>
      <c r="DF205" s="52">
        <f t="shared" si="189"/>
        <v>0</v>
      </c>
      <c r="DG205" s="52">
        <f t="shared" si="189"/>
        <v>0</v>
      </c>
      <c r="DH205" s="52">
        <f t="shared" si="189"/>
        <v>0</v>
      </c>
      <c r="DI205" s="52">
        <f t="shared" si="189"/>
        <v>0</v>
      </c>
      <c r="DJ205" s="52">
        <f t="shared" si="189"/>
        <v>0</v>
      </c>
    </row>
    <row r="206" ht="15.75" customHeight="1">
      <c r="B206" s="52" t="s">
        <v>1792</v>
      </c>
      <c r="C206" s="52">
        <v>25.0</v>
      </c>
      <c r="D206" s="52" t="s">
        <v>1786</v>
      </c>
      <c r="E206" s="58"/>
      <c r="F206" s="58"/>
      <c r="G206" s="58"/>
      <c r="H206" s="65">
        <v>0.08</v>
      </c>
      <c r="I206" s="65">
        <v>0.08</v>
      </c>
      <c r="J206" s="65">
        <v>0.07</v>
      </c>
      <c r="K206" s="65">
        <v>0.07</v>
      </c>
      <c r="L206" s="65">
        <v>0.06</v>
      </c>
      <c r="M206" s="65">
        <v>0.06</v>
      </c>
      <c r="N206" s="65">
        <v>0.05</v>
      </c>
      <c r="O206" s="65">
        <v>0.05</v>
      </c>
      <c r="P206" s="65">
        <v>0.05</v>
      </c>
      <c r="Q206" s="65">
        <v>0.04</v>
      </c>
      <c r="R206" s="65">
        <v>0.04</v>
      </c>
      <c r="S206" s="65">
        <v>0.04</v>
      </c>
      <c r="T206" s="65">
        <v>0.04</v>
      </c>
      <c r="U206" s="65">
        <v>0.03</v>
      </c>
      <c r="V206" s="65">
        <v>0.03</v>
      </c>
      <c r="W206" s="65">
        <v>0.03</v>
      </c>
      <c r="X206" s="65">
        <v>0.03</v>
      </c>
      <c r="Y206" s="65">
        <v>0.03</v>
      </c>
      <c r="Z206" s="65">
        <v>0.02</v>
      </c>
      <c r="AA206" s="65">
        <v>0.02</v>
      </c>
      <c r="AB206" s="65">
        <v>0.03</v>
      </c>
      <c r="AC206" s="65">
        <v>0.03</v>
      </c>
      <c r="AD206" s="65">
        <v>0.02</v>
      </c>
      <c r="CI206" s="52">
        <f t="shared" ref="CI206:DJ206" si="190">ROUND($CI29*E206,0)</f>
        <v>0</v>
      </c>
      <c r="CJ206" s="52">
        <f t="shared" si="190"/>
        <v>0</v>
      </c>
      <c r="CK206" s="52">
        <f t="shared" si="190"/>
        <v>0</v>
      </c>
      <c r="CL206" s="52">
        <f t="shared" si="190"/>
        <v>3</v>
      </c>
      <c r="CM206" s="52">
        <f t="shared" si="190"/>
        <v>3</v>
      </c>
      <c r="CN206" s="52">
        <f t="shared" si="190"/>
        <v>3</v>
      </c>
      <c r="CO206" s="52">
        <f t="shared" si="190"/>
        <v>3</v>
      </c>
      <c r="CP206" s="52">
        <f t="shared" si="190"/>
        <v>2</v>
      </c>
      <c r="CQ206" s="52">
        <f t="shared" si="190"/>
        <v>2</v>
      </c>
      <c r="CR206" s="52">
        <f t="shared" si="190"/>
        <v>2</v>
      </c>
      <c r="CS206" s="52">
        <f t="shared" si="190"/>
        <v>2</v>
      </c>
      <c r="CT206" s="52">
        <f t="shared" si="190"/>
        <v>2</v>
      </c>
      <c r="CU206" s="52">
        <f t="shared" si="190"/>
        <v>1</v>
      </c>
      <c r="CV206" s="52">
        <f t="shared" si="190"/>
        <v>1</v>
      </c>
      <c r="CW206" s="52">
        <f t="shared" si="190"/>
        <v>1</v>
      </c>
      <c r="CX206" s="52">
        <f t="shared" si="190"/>
        <v>1</v>
      </c>
      <c r="CY206" s="52">
        <f t="shared" si="190"/>
        <v>1</v>
      </c>
      <c r="CZ206" s="52">
        <f t="shared" si="190"/>
        <v>1</v>
      </c>
      <c r="DA206" s="52">
        <f t="shared" si="190"/>
        <v>1</v>
      </c>
      <c r="DB206" s="52">
        <f t="shared" si="190"/>
        <v>1</v>
      </c>
      <c r="DC206" s="52">
        <f t="shared" si="190"/>
        <v>1</v>
      </c>
      <c r="DD206" s="52">
        <f t="shared" si="190"/>
        <v>1</v>
      </c>
      <c r="DE206" s="52">
        <f t="shared" si="190"/>
        <v>1</v>
      </c>
      <c r="DF206" s="52">
        <f t="shared" si="190"/>
        <v>1</v>
      </c>
      <c r="DG206" s="52">
        <f t="shared" si="190"/>
        <v>1</v>
      </c>
      <c r="DH206" s="52">
        <f t="shared" si="190"/>
        <v>1</v>
      </c>
      <c r="DI206" s="52">
        <f t="shared" si="190"/>
        <v>0</v>
      </c>
      <c r="DJ206" s="52">
        <f t="shared" si="190"/>
        <v>0</v>
      </c>
    </row>
    <row r="207" ht="15.75" customHeight="1">
      <c r="B207" s="52" t="s">
        <v>1792</v>
      </c>
      <c r="C207" s="52">
        <v>25.0</v>
      </c>
      <c r="D207" s="52" t="s">
        <v>1787</v>
      </c>
      <c r="E207" s="58"/>
      <c r="F207" s="58"/>
      <c r="G207" s="58"/>
      <c r="H207" s="58"/>
      <c r="I207" s="58"/>
      <c r="J207" s="65">
        <v>0.08</v>
      </c>
      <c r="K207" s="65">
        <v>0.08</v>
      </c>
      <c r="L207" s="65">
        <v>0.07</v>
      </c>
      <c r="M207" s="65">
        <v>0.07</v>
      </c>
      <c r="N207" s="65">
        <v>0.06</v>
      </c>
      <c r="O207" s="65">
        <v>0.06</v>
      </c>
      <c r="P207" s="65">
        <v>0.05</v>
      </c>
      <c r="Q207" s="65">
        <v>0.05</v>
      </c>
      <c r="R207" s="65">
        <v>0.05</v>
      </c>
      <c r="S207" s="65">
        <v>0.04</v>
      </c>
      <c r="T207" s="65">
        <v>0.04</v>
      </c>
      <c r="U207" s="65">
        <v>0.04</v>
      </c>
      <c r="V207" s="65">
        <v>0.04</v>
      </c>
      <c r="W207" s="65">
        <v>0.03</v>
      </c>
      <c r="X207" s="65">
        <v>0.03</v>
      </c>
      <c r="Y207" s="65">
        <v>0.03</v>
      </c>
      <c r="Z207" s="65">
        <v>0.03</v>
      </c>
      <c r="AA207" s="65">
        <v>0.03</v>
      </c>
      <c r="AB207" s="65">
        <v>0.02</v>
      </c>
      <c r="AC207" s="65">
        <v>0.02</v>
      </c>
      <c r="AD207" s="65">
        <v>0.03</v>
      </c>
      <c r="CI207" s="52">
        <f t="shared" ref="CI207:DJ207" si="191">ROUND($CI30*E207,0)</f>
        <v>0</v>
      </c>
      <c r="CJ207" s="52">
        <f t="shared" si="191"/>
        <v>0</v>
      </c>
      <c r="CK207" s="52">
        <f t="shared" si="191"/>
        <v>0</v>
      </c>
      <c r="CL207" s="52">
        <f t="shared" si="191"/>
        <v>0</v>
      </c>
      <c r="CM207" s="52">
        <f t="shared" si="191"/>
        <v>0</v>
      </c>
      <c r="CN207" s="52">
        <f t="shared" si="191"/>
        <v>1</v>
      </c>
      <c r="CO207" s="52">
        <f t="shared" si="191"/>
        <v>1</v>
      </c>
      <c r="CP207" s="52">
        <f t="shared" si="191"/>
        <v>0</v>
      </c>
      <c r="CQ207" s="52">
        <f t="shared" si="191"/>
        <v>0</v>
      </c>
      <c r="CR207" s="52">
        <f t="shared" si="191"/>
        <v>0</v>
      </c>
      <c r="CS207" s="52">
        <f t="shared" si="191"/>
        <v>0</v>
      </c>
      <c r="CT207" s="52">
        <f t="shared" si="191"/>
        <v>0</v>
      </c>
      <c r="CU207" s="52">
        <f t="shared" si="191"/>
        <v>0</v>
      </c>
      <c r="CV207" s="52">
        <f t="shared" si="191"/>
        <v>0</v>
      </c>
      <c r="CW207" s="52">
        <f t="shared" si="191"/>
        <v>0</v>
      </c>
      <c r="CX207" s="52">
        <f t="shared" si="191"/>
        <v>0</v>
      </c>
      <c r="CY207" s="52">
        <f t="shared" si="191"/>
        <v>0</v>
      </c>
      <c r="CZ207" s="52">
        <f t="shared" si="191"/>
        <v>0</v>
      </c>
      <c r="DA207" s="52">
        <f t="shared" si="191"/>
        <v>0</v>
      </c>
      <c r="DB207" s="52">
        <f t="shared" si="191"/>
        <v>0</v>
      </c>
      <c r="DC207" s="52">
        <f t="shared" si="191"/>
        <v>0</v>
      </c>
      <c r="DD207" s="52">
        <f t="shared" si="191"/>
        <v>0</v>
      </c>
      <c r="DE207" s="52">
        <f t="shared" si="191"/>
        <v>0</v>
      </c>
      <c r="DF207" s="52">
        <f t="shared" si="191"/>
        <v>0</v>
      </c>
      <c r="DG207" s="52">
        <f t="shared" si="191"/>
        <v>0</v>
      </c>
      <c r="DH207" s="52">
        <f t="shared" si="191"/>
        <v>0</v>
      </c>
      <c r="DI207" s="52">
        <f t="shared" si="191"/>
        <v>0</v>
      </c>
      <c r="DJ207" s="52">
        <f t="shared" si="191"/>
        <v>0</v>
      </c>
    </row>
    <row r="208" ht="15.75" customHeight="1">
      <c r="B208" s="52" t="s">
        <v>1792</v>
      </c>
      <c r="C208" s="52">
        <v>25.0</v>
      </c>
      <c r="D208" s="52" t="s">
        <v>1788</v>
      </c>
      <c r="E208" s="58"/>
      <c r="F208" s="58"/>
      <c r="G208" s="58"/>
      <c r="H208" s="58"/>
      <c r="I208" s="58"/>
      <c r="J208" s="58"/>
      <c r="K208" s="65">
        <v>0.08</v>
      </c>
      <c r="L208" s="65">
        <v>0.08</v>
      </c>
      <c r="M208" s="65">
        <v>0.07</v>
      </c>
      <c r="N208" s="65">
        <v>0.07</v>
      </c>
      <c r="O208" s="65">
        <v>0.06</v>
      </c>
      <c r="P208" s="65">
        <v>0.06</v>
      </c>
      <c r="Q208" s="65">
        <v>0.05</v>
      </c>
      <c r="R208" s="65">
        <v>0.05</v>
      </c>
      <c r="S208" s="65">
        <v>0.05</v>
      </c>
      <c r="T208" s="65">
        <v>0.04</v>
      </c>
      <c r="U208" s="65">
        <v>0.04</v>
      </c>
      <c r="V208" s="65">
        <v>0.04</v>
      </c>
      <c r="W208" s="65">
        <v>0.04</v>
      </c>
      <c r="X208" s="65">
        <v>0.03</v>
      </c>
      <c r="Y208" s="65">
        <v>0.03</v>
      </c>
      <c r="Z208" s="65">
        <v>0.03</v>
      </c>
      <c r="AA208" s="65">
        <v>0.03</v>
      </c>
      <c r="AB208" s="65">
        <v>0.03</v>
      </c>
      <c r="AC208" s="65">
        <v>0.02</v>
      </c>
      <c r="AD208" s="65">
        <v>0.02</v>
      </c>
      <c r="CI208" s="52">
        <f t="shared" ref="CI208:DJ208" si="192">ROUND($CI31*E208,0)</f>
        <v>0</v>
      </c>
      <c r="CJ208" s="52">
        <f t="shared" si="192"/>
        <v>0</v>
      </c>
      <c r="CK208" s="52">
        <f t="shared" si="192"/>
        <v>0</v>
      </c>
      <c r="CL208" s="52">
        <f t="shared" si="192"/>
        <v>0</v>
      </c>
      <c r="CM208" s="52">
        <f t="shared" si="192"/>
        <v>0</v>
      </c>
      <c r="CN208" s="52">
        <f t="shared" si="192"/>
        <v>0</v>
      </c>
      <c r="CO208" s="52">
        <f t="shared" si="192"/>
        <v>0</v>
      </c>
      <c r="CP208" s="52">
        <f t="shared" si="192"/>
        <v>0</v>
      </c>
      <c r="CQ208" s="52">
        <f t="shared" si="192"/>
        <v>0</v>
      </c>
      <c r="CR208" s="52">
        <f t="shared" si="192"/>
        <v>0</v>
      </c>
      <c r="CS208" s="52">
        <f t="shared" si="192"/>
        <v>0</v>
      </c>
      <c r="CT208" s="52">
        <f t="shared" si="192"/>
        <v>0</v>
      </c>
      <c r="CU208" s="52">
        <f t="shared" si="192"/>
        <v>0</v>
      </c>
      <c r="CV208" s="52">
        <f t="shared" si="192"/>
        <v>0</v>
      </c>
      <c r="CW208" s="52">
        <f t="shared" si="192"/>
        <v>0</v>
      </c>
      <c r="CX208" s="52">
        <f t="shared" si="192"/>
        <v>0</v>
      </c>
      <c r="CY208" s="52">
        <f t="shared" si="192"/>
        <v>0</v>
      </c>
      <c r="CZ208" s="52">
        <f t="shared" si="192"/>
        <v>0</v>
      </c>
      <c r="DA208" s="52">
        <f t="shared" si="192"/>
        <v>0</v>
      </c>
      <c r="DB208" s="52">
        <f t="shared" si="192"/>
        <v>0</v>
      </c>
      <c r="DC208" s="52">
        <f t="shared" si="192"/>
        <v>0</v>
      </c>
      <c r="DD208" s="52">
        <f t="shared" si="192"/>
        <v>0</v>
      </c>
      <c r="DE208" s="52">
        <f t="shared" si="192"/>
        <v>0</v>
      </c>
      <c r="DF208" s="52">
        <f t="shared" si="192"/>
        <v>0</v>
      </c>
      <c r="DG208" s="52">
        <f t="shared" si="192"/>
        <v>0</v>
      </c>
      <c r="DH208" s="52">
        <f t="shared" si="192"/>
        <v>0</v>
      </c>
      <c r="DI208" s="52">
        <f t="shared" si="192"/>
        <v>0</v>
      </c>
      <c r="DJ208" s="52">
        <f t="shared" si="192"/>
        <v>0</v>
      </c>
    </row>
    <row r="209" ht="15.75" customHeight="1">
      <c r="B209" s="52" t="s">
        <v>1792</v>
      </c>
      <c r="C209" s="52">
        <v>25.0</v>
      </c>
      <c r="D209" s="52" t="s">
        <v>1789</v>
      </c>
      <c r="E209" s="58"/>
      <c r="F209" s="58"/>
      <c r="G209" s="58"/>
      <c r="H209" s="58"/>
      <c r="I209" s="58"/>
      <c r="J209" s="58"/>
      <c r="K209" s="58"/>
      <c r="L209" s="65">
        <v>0.08</v>
      </c>
      <c r="M209" s="65">
        <v>0.08</v>
      </c>
      <c r="N209" s="65">
        <v>0.07</v>
      </c>
      <c r="O209" s="65">
        <v>0.07</v>
      </c>
      <c r="P209" s="65">
        <v>0.06</v>
      </c>
      <c r="Q209" s="65">
        <v>0.06</v>
      </c>
      <c r="R209" s="65">
        <v>0.05</v>
      </c>
      <c r="S209" s="65">
        <v>0.05</v>
      </c>
      <c r="T209" s="65">
        <v>0.05</v>
      </c>
      <c r="U209" s="65">
        <v>0.04</v>
      </c>
      <c r="V209" s="65">
        <v>0.04</v>
      </c>
      <c r="W209" s="65">
        <v>0.04</v>
      </c>
      <c r="X209" s="65">
        <v>0.04</v>
      </c>
      <c r="Y209" s="65">
        <v>0.03</v>
      </c>
      <c r="Z209" s="65">
        <v>0.03</v>
      </c>
      <c r="AA209" s="65">
        <v>0.03</v>
      </c>
      <c r="AB209" s="65">
        <v>0.03</v>
      </c>
      <c r="AC209" s="65">
        <v>0.03</v>
      </c>
      <c r="AD209" s="65">
        <v>0.02</v>
      </c>
      <c r="CI209" s="52">
        <f t="shared" ref="CI209:DJ209" si="193">ROUND($CI32*E209,0)</f>
        <v>0</v>
      </c>
      <c r="CJ209" s="52">
        <f t="shared" si="193"/>
        <v>0</v>
      </c>
      <c r="CK209" s="52">
        <f t="shared" si="193"/>
        <v>0</v>
      </c>
      <c r="CL209" s="52">
        <f t="shared" si="193"/>
        <v>0</v>
      </c>
      <c r="CM209" s="52">
        <f t="shared" si="193"/>
        <v>0</v>
      </c>
      <c r="CN209" s="52">
        <f t="shared" si="193"/>
        <v>0</v>
      </c>
      <c r="CO209" s="52">
        <f t="shared" si="193"/>
        <v>0</v>
      </c>
      <c r="CP209" s="52">
        <f t="shared" si="193"/>
        <v>1</v>
      </c>
      <c r="CQ209" s="52">
        <f t="shared" si="193"/>
        <v>1</v>
      </c>
      <c r="CR209" s="52">
        <f t="shared" si="193"/>
        <v>1</v>
      </c>
      <c r="CS209" s="52">
        <f t="shared" si="193"/>
        <v>1</v>
      </c>
      <c r="CT209" s="52">
        <f t="shared" si="193"/>
        <v>1</v>
      </c>
      <c r="CU209" s="52">
        <f t="shared" si="193"/>
        <v>1</v>
      </c>
      <c r="CV209" s="52">
        <f t="shared" si="193"/>
        <v>1</v>
      </c>
      <c r="CW209" s="52">
        <f t="shared" si="193"/>
        <v>1</v>
      </c>
      <c r="CX209" s="52">
        <f t="shared" si="193"/>
        <v>1</v>
      </c>
      <c r="CY209" s="52">
        <f t="shared" si="193"/>
        <v>0</v>
      </c>
      <c r="CZ209" s="52">
        <f t="shared" si="193"/>
        <v>0</v>
      </c>
      <c r="DA209" s="52">
        <f t="shared" si="193"/>
        <v>0</v>
      </c>
      <c r="DB209" s="52">
        <f t="shared" si="193"/>
        <v>0</v>
      </c>
      <c r="DC209" s="52">
        <f t="shared" si="193"/>
        <v>0</v>
      </c>
      <c r="DD209" s="52">
        <f t="shared" si="193"/>
        <v>0</v>
      </c>
      <c r="DE209" s="52">
        <f t="shared" si="193"/>
        <v>0</v>
      </c>
      <c r="DF209" s="52">
        <f t="shared" si="193"/>
        <v>0</v>
      </c>
      <c r="DG209" s="52">
        <f t="shared" si="193"/>
        <v>0</v>
      </c>
      <c r="DH209" s="52">
        <f t="shared" si="193"/>
        <v>0</v>
      </c>
      <c r="DI209" s="52">
        <f t="shared" si="193"/>
        <v>0</v>
      </c>
      <c r="DJ209" s="52">
        <f t="shared" si="193"/>
        <v>0</v>
      </c>
    </row>
    <row r="210" ht="15.75" customHeight="1">
      <c r="B210" s="52" t="s">
        <v>1792</v>
      </c>
      <c r="C210" s="52">
        <v>25.0</v>
      </c>
      <c r="D210" s="52" t="s">
        <v>1790</v>
      </c>
      <c r="E210" s="58"/>
      <c r="F210" s="58"/>
      <c r="G210" s="58"/>
      <c r="H210" s="58"/>
      <c r="I210" s="58"/>
      <c r="J210" s="58"/>
      <c r="K210" s="58"/>
      <c r="L210" s="58"/>
      <c r="M210" s="58"/>
      <c r="N210" s="65">
        <v>0.08</v>
      </c>
      <c r="O210" s="65">
        <v>0.08</v>
      </c>
      <c r="P210" s="65">
        <v>0.07</v>
      </c>
      <c r="Q210" s="65">
        <v>0.07</v>
      </c>
      <c r="R210" s="65">
        <v>0.06</v>
      </c>
      <c r="S210" s="65">
        <v>0.06</v>
      </c>
      <c r="T210" s="65">
        <v>0.05</v>
      </c>
      <c r="U210" s="65">
        <v>0.05</v>
      </c>
      <c r="V210" s="65">
        <v>0.05</v>
      </c>
      <c r="W210" s="65">
        <v>0.04</v>
      </c>
      <c r="X210" s="65">
        <v>0.04</v>
      </c>
      <c r="Y210" s="65">
        <v>0.04</v>
      </c>
      <c r="Z210" s="65">
        <v>0.04</v>
      </c>
      <c r="AA210" s="65">
        <v>0.03</v>
      </c>
      <c r="AB210" s="65">
        <v>0.03</v>
      </c>
      <c r="AC210" s="65">
        <v>0.03</v>
      </c>
      <c r="AD210" s="65">
        <v>0.03</v>
      </c>
      <c r="CI210" s="52">
        <f t="shared" ref="CI210:DJ210" si="194">ROUND($CI33*E210,0)</f>
        <v>0</v>
      </c>
      <c r="CJ210" s="52">
        <f t="shared" si="194"/>
        <v>0</v>
      </c>
      <c r="CK210" s="52">
        <f t="shared" si="194"/>
        <v>0</v>
      </c>
      <c r="CL210" s="52">
        <f t="shared" si="194"/>
        <v>0</v>
      </c>
      <c r="CM210" s="52">
        <f t="shared" si="194"/>
        <v>0</v>
      </c>
      <c r="CN210" s="52">
        <f t="shared" si="194"/>
        <v>0</v>
      </c>
      <c r="CO210" s="52">
        <f t="shared" si="194"/>
        <v>0</v>
      </c>
      <c r="CP210" s="52">
        <f t="shared" si="194"/>
        <v>0</v>
      </c>
      <c r="CQ210" s="52">
        <f t="shared" si="194"/>
        <v>0</v>
      </c>
      <c r="CR210" s="52">
        <f t="shared" si="194"/>
        <v>1</v>
      </c>
      <c r="CS210" s="52">
        <f t="shared" si="194"/>
        <v>1</v>
      </c>
      <c r="CT210" s="52">
        <f t="shared" si="194"/>
        <v>1</v>
      </c>
      <c r="CU210" s="52">
        <f t="shared" si="194"/>
        <v>1</v>
      </c>
      <c r="CV210" s="52">
        <f t="shared" si="194"/>
        <v>1</v>
      </c>
      <c r="CW210" s="52">
        <f t="shared" si="194"/>
        <v>1</v>
      </c>
      <c r="CX210" s="52">
        <f t="shared" si="194"/>
        <v>1</v>
      </c>
      <c r="CY210" s="52">
        <f t="shared" si="194"/>
        <v>1</v>
      </c>
      <c r="CZ210" s="52">
        <f t="shared" si="194"/>
        <v>1</v>
      </c>
      <c r="DA210" s="52">
        <f t="shared" si="194"/>
        <v>1</v>
      </c>
      <c r="DB210" s="52">
        <f t="shared" si="194"/>
        <v>1</v>
      </c>
      <c r="DC210" s="52">
        <f t="shared" si="194"/>
        <v>1</v>
      </c>
      <c r="DD210" s="52">
        <f t="shared" si="194"/>
        <v>1</v>
      </c>
      <c r="DE210" s="52">
        <f t="shared" si="194"/>
        <v>0</v>
      </c>
      <c r="DF210" s="52">
        <f t="shared" si="194"/>
        <v>0</v>
      </c>
      <c r="DG210" s="52">
        <f t="shared" si="194"/>
        <v>0</v>
      </c>
      <c r="DH210" s="52">
        <f t="shared" si="194"/>
        <v>0</v>
      </c>
      <c r="DI210" s="52">
        <f t="shared" si="194"/>
        <v>0</v>
      </c>
      <c r="DJ210" s="52">
        <f t="shared" si="194"/>
        <v>0</v>
      </c>
    </row>
    <row r="211" ht="15.75" customHeight="1">
      <c r="B211" s="52" t="s">
        <v>1792</v>
      </c>
      <c r="C211" s="52">
        <v>26.0</v>
      </c>
      <c r="D211" s="52">
        <v>0.0</v>
      </c>
      <c r="E211" s="65">
        <v>0.07</v>
      </c>
      <c r="F211" s="65">
        <v>0.07</v>
      </c>
      <c r="G211" s="65">
        <v>0.07</v>
      </c>
      <c r="H211" s="65">
        <v>0.07</v>
      </c>
      <c r="I211" s="65">
        <v>0.07</v>
      </c>
      <c r="J211" s="65">
        <v>0.07</v>
      </c>
      <c r="K211" s="65">
        <v>0.07</v>
      </c>
      <c r="L211" s="65">
        <v>0.07</v>
      </c>
      <c r="M211" s="65">
        <v>0.07</v>
      </c>
      <c r="N211" s="65">
        <v>0.03</v>
      </c>
      <c r="O211" s="65">
        <v>0.03</v>
      </c>
      <c r="P211" s="65">
        <v>0.03</v>
      </c>
      <c r="Q211" s="65">
        <v>0.03</v>
      </c>
      <c r="R211" s="65">
        <v>0.03</v>
      </c>
      <c r="S211" s="65">
        <v>0.03</v>
      </c>
      <c r="T211" s="65">
        <v>0.03</v>
      </c>
      <c r="U211" s="65">
        <v>0.02</v>
      </c>
      <c r="V211" s="65">
        <v>0.02</v>
      </c>
      <c r="W211" s="65">
        <v>0.02</v>
      </c>
      <c r="X211" s="65">
        <v>0.02</v>
      </c>
      <c r="Y211" s="65">
        <v>0.02</v>
      </c>
      <c r="Z211" s="65">
        <v>0.02</v>
      </c>
      <c r="AA211" s="65">
        <v>0.02</v>
      </c>
      <c r="AB211" s="65">
        <v>0.02</v>
      </c>
      <c r="AC211" s="58"/>
      <c r="AD211" s="58"/>
      <c r="CJ211" s="52">
        <f t="shared" ref="CJ211:DJ211" si="195">ROUND($CJ27*E211,0)</f>
        <v>14</v>
      </c>
      <c r="CK211" s="52">
        <f t="shared" si="195"/>
        <v>14</v>
      </c>
      <c r="CL211" s="52">
        <f t="shared" si="195"/>
        <v>14</v>
      </c>
      <c r="CM211" s="52">
        <f t="shared" si="195"/>
        <v>14</v>
      </c>
      <c r="CN211" s="52">
        <f t="shared" si="195"/>
        <v>14</v>
      </c>
      <c r="CO211" s="52">
        <f t="shared" si="195"/>
        <v>14</v>
      </c>
      <c r="CP211" s="52">
        <f t="shared" si="195"/>
        <v>14</v>
      </c>
      <c r="CQ211" s="52">
        <f t="shared" si="195"/>
        <v>14</v>
      </c>
      <c r="CR211" s="52">
        <f t="shared" si="195"/>
        <v>14</v>
      </c>
      <c r="CS211" s="52">
        <f t="shared" si="195"/>
        <v>6</v>
      </c>
      <c r="CT211" s="52">
        <f t="shared" si="195"/>
        <v>6</v>
      </c>
      <c r="CU211" s="52">
        <f t="shared" si="195"/>
        <v>6</v>
      </c>
      <c r="CV211" s="52">
        <f t="shared" si="195"/>
        <v>6</v>
      </c>
      <c r="CW211" s="52">
        <f t="shared" si="195"/>
        <v>6</v>
      </c>
      <c r="CX211" s="52">
        <f t="shared" si="195"/>
        <v>6</v>
      </c>
      <c r="CY211" s="52">
        <f t="shared" si="195"/>
        <v>6</v>
      </c>
      <c r="CZ211" s="52">
        <f t="shared" si="195"/>
        <v>4</v>
      </c>
      <c r="DA211" s="52">
        <f t="shared" si="195"/>
        <v>4</v>
      </c>
      <c r="DB211" s="52">
        <f t="shared" si="195"/>
        <v>4</v>
      </c>
      <c r="DC211" s="52">
        <f t="shared" si="195"/>
        <v>4</v>
      </c>
      <c r="DD211" s="52">
        <f t="shared" si="195"/>
        <v>4</v>
      </c>
      <c r="DE211" s="52">
        <f t="shared" si="195"/>
        <v>4</v>
      </c>
      <c r="DF211" s="52">
        <f t="shared" si="195"/>
        <v>4</v>
      </c>
      <c r="DG211" s="52">
        <f t="shared" si="195"/>
        <v>4</v>
      </c>
      <c r="DH211" s="52">
        <f t="shared" si="195"/>
        <v>0</v>
      </c>
      <c r="DI211" s="52">
        <f t="shared" si="195"/>
        <v>0</v>
      </c>
      <c r="DJ211" s="52">
        <f t="shared" si="195"/>
        <v>0</v>
      </c>
    </row>
    <row r="212" ht="15.75" customHeight="1">
      <c r="B212" s="52" t="s">
        <v>1792</v>
      </c>
      <c r="C212" s="52">
        <v>26.0</v>
      </c>
      <c r="D212" s="52" t="s">
        <v>1785</v>
      </c>
      <c r="E212" s="65">
        <v>0.02</v>
      </c>
      <c r="F212" s="65">
        <v>0.02</v>
      </c>
      <c r="G212" s="65">
        <v>0.02</v>
      </c>
      <c r="H212" s="65">
        <v>0.02</v>
      </c>
      <c r="I212" s="65">
        <v>0.08</v>
      </c>
      <c r="J212" s="65">
        <v>0.08</v>
      </c>
      <c r="K212" s="65">
        <v>0.07</v>
      </c>
      <c r="L212" s="65">
        <v>0.07</v>
      </c>
      <c r="M212" s="65">
        <v>0.06</v>
      </c>
      <c r="N212" s="65">
        <v>0.06</v>
      </c>
      <c r="O212" s="65">
        <v>0.05</v>
      </c>
      <c r="P212" s="65">
        <v>0.05</v>
      </c>
      <c r="Q212" s="65">
        <v>0.05</v>
      </c>
      <c r="R212" s="65">
        <v>0.04</v>
      </c>
      <c r="S212" s="65">
        <v>0.04</v>
      </c>
      <c r="T212" s="65">
        <v>0.04</v>
      </c>
      <c r="U212" s="65">
        <v>0.04</v>
      </c>
      <c r="V212" s="65">
        <v>0.03</v>
      </c>
      <c r="W212" s="65">
        <v>0.03</v>
      </c>
      <c r="X212" s="65">
        <v>0.03</v>
      </c>
      <c r="Y212" s="65">
        <v>0.03</v>
      </c>
      <c r="Z212" s="65">
        <v>0.03</v>
      </c>
      <c r="AA212" s="65">
        <v>0.02</v>
      </c>
      <c r="AB212" s="65">
        <v>0.02</v>
      </c>
      <c r="AC212" s="58"/>
      <c r="AD212" s="58"/>
      <c r="CJ212" s="52">
        <f t="shared" ref="CJ212:DJ212" si="196">ROUND($CJ28*E212,0)</f>
        <v>0</v>
      </c>
      <c r="CK212" s="52">
        <f t="shared" si="196"/>
        <v>0</v>
      </c>
      <c r="CL212" s="52">
        <f t="shared" si="196"/>
        <v>0</v>
      </c>
      <c r="CM212" s="52">
        <f t="shared" si="196"/>
        <v>0</v>
      </c>
      <c r="CN212" s="52">
        <f t="shared" si="196"/>
        <v>2</v>
      </c>
      <c r="CO212" s="52">
        <f t="shared" si="196"/>
        <v>2</v>
      </c>
      <c r="CP212" s="52">
        <f t="shared" si="196"/>
        <v>1</v>
      </c>
      <c r="CQ212" s="52">
        <f t="shared" si="196"/>
        <v>1</v>
      </c>
      <c r="CR212" s="52">
        <f t="shared" si="196"/>
        <v>1</v>
      </c>
      <c r="CS212" s="52">
        <f t="shared" si="196"/>
        <v>1</v>
      </c>
      <c r="CT212" s="52">
        <f t="shared" si="196"/>
        <v>1</v>
      </c>
      <c r="CU212" s="52">
        <f t="shared" si="196"/>
        <v>1</v>
      </c>
      <c r="CV212" s="52">
        <f t="shared" si="196"/>
        <v>1</v>
      </c>
      <c r="CW212" s="52">
        <f t="shared" si="196"/>
        <v>1</v>
      </c>
      <c r="CX212" s="52">
        <f t="shared" si="196"/>
        <v>1</v>
      </c>
      <c r="CY212" s="52">
        <f t="shared" si="196"/>
        <v>1</v>
      </c>
      <c r="CZ212" s="52">
        <f t="shared" si="196"/>
        <v>1</v>
      </c>
      <c r="DA212" s="52">
        <f t="shared" si="196"/>
        <v>1</v>
      </c>
      <c r="DB212" s="52">
        <f t="shared" si="196"/>
        <v>1</v>
      </c>
      <c r="DC212" s="52">
        <f t="shared" si="196"/>
        <v>1</v>
      </c>
      <c r="DD212" s="52">
        <f t="shared" si="196"/>
        <v>1</v>
      </c>
      <c r="DE212" s="52">
        <f t="shared" si="196"/>
        <v>1</v>
      </c>
      <c r="DF212" s="52">
        <f t="shared" si="196"/>
        <v>0</v>
      </c>
      <c r="DG212" s="52">
        <f t="shared" si="196"/>
        <v>0</v>
      </c>
      <c r="DH212" s="52">
        <f t="shared" si="196"/>
        <v>0</v>
      </c>
      <c r="DI212" s="52">
        <f t="shared" si="196"/>
        <v>0</v>
      </c>
      <c r="DJ212" s="52">
        <f t="shared" si="196"/>
        <v>0</v>
      </c>
    </row>
    <row r="213" ht="15.75" customHeight="1">
      <c r="B213" s="52" t="s">
        <v>1792</v>
      </c>
      <c r="C213" s="52">
        <v>26.0</v>
      </c>
      <c r="D213" s="52" t="s">
        <v>1786</v>
      </c>
      <c r="E213" s="58"/>
      <c r="F213" s="58"/>
      <c r="G213" s="58"/>
      <c r="H213" s="65">
        <v>0.08</v>
      </c>
      <c r="I213" s="65">
        <v>0.08</v>
      </c>
      <c r="J213" s="65">
        <v>0.07</v>
      </c>
      <c r="K213" s="65">
        <v>0.07</v>
      </c>
      <c r="L213" s="65">
        <v>0.06</v>
      </c>
      <c r="M213" s="65">
        <v>0.06</v>
      </c>
      <c r="N213" s="65">
        <v>0.05</v>
      </c>
      <c r="O213" s="65">
        <v>0.05</v>
      </c>
      <c r="P213" s="65">
        <v>0.05</v>
      </c>
      <c r="Q213" s="65">
        <v>0.04</v>
      </c>
      <c r="R213" s="65">
        <v>0.04</v>
      </c>
      <c r="S213" s="65">
        <v>0.04</v>
      </c>
      <c r="T213" s="65">
        <v>0.04</v>
      </c>
      <c r="U213" s="65">
        <v>0.03</v>
      </c>
      <c r="V213" s="65">
        <v>0.03</v>
      </c>
      <c r="W213" s="65">
        <v>0.03</v>
      </c>
      <c r="X213" s="65">
        <v>0.03</v>
      </c>
      <c r="Y213" s="65">
        <v>0.03</v>
      </c>
      <c r="Z213" s="65">
        <v>0.02</v>
      </c>
      <c r="AA213" s="65">
        <v>0.02</v>
      </c>
      <c r="AB213" s="65">
        <v>0.03</v>
      </c>
      <c r="AC213" s="65">
        <v>0.03</v>
      </c>
      <c r="AD213" s="65">
        <v>0.02</v>
      </c>
      <c r="CJ213" s="52">
        <f t="shared" ref="CJ213:DJ213" si="197">ROUND($CJ29*E213,0)</f>
        <v>0</v>
      </c>
      <c r="CK213" s="52">
        <f t="shared" si="197"/>
        <v>0</v>
      </c>
      <c r="CL213" s="52">
        <f t="shared" si="197"/>
        <v>0</v>
      </c>
      <c r="CM213" s="52">
        <f t="shared" si="197"/>
        <v>3</v>
      </c>
      <c r="CN213" s="52">
        <f t="shared" si="197"/>
        <v>3</v>
      </c>
      <c r="CO213" s="52">
        <f t="shared" si="197"/>
        <v>3</v>
      </c>
      <c r="CP213" s="52">
        <f t="shared" si="197"/>
        <v>3</v>
      </c>
      <c r="CQ213" s="52">
        <f t="shared" si="197"/>
        <v>2</v>
      </c>
      <c r="CR213" s="52">
        <f t="shared" si="197"/>
        <v>2</v>
      </c>
      <c r="CS213" s="52">
        <f t="shared" si="197"/>
        <v>2</v>
      </c>
      <c r="CT213" s="52">
        <f t="shared" si="197"/>
        <v>2</v>
      </c>
      <c r="CU213" s="52">
        <f t="shared" si="197"/>
        <v>2</v>
      </c>
      <c r="CV213" s="52">
        <f t="shared" si="197"/>
        <v>1</v>
      </c>
      <c r="CW213" s="52">
        <f t="shared" si="197"/>
        <v>1</v>
      </c>
      <c r="CX213" s="52">
        <f t="shared" si="197"/>
        <v>1</v>
      </c>
      <c r="CY213" s="52">
        <f t="shared" si="197"/>
        <v>1</v>
      </c>
      <c r="CZ213" s="52">
        <f t="shared" si="197"/>
        <v>1</v>
      </c>
      <c r="DA213" s="52">
        <f t="shared" si="197"/>
        <v>1</v>
      </c>
      <c r="DB213" s="52">
        <f t="shared" si="197"/>
        <v>1</v>
      </c>
      <c r="DC213" s="52">
        <f t="shared" si="197"/>
        <v>1</v>
      </c>
      <c r="DD213" s="52">
        <f t="shared" si="197"/>
        <v>1</v>
      </c>
      <c r="DE213" s="52">
        <f t="shared" si="197"/>
        <v>1</v>
      </c>
      <c r="DF213" s="52">
        <f t="shared" si="197"/>
        <v>1</v>
      </c>
      <c r="DG213" s="52">
        <f t="shared" si="197"/>
        <v>1</v>
      </c>
      <c r="DH213" s="52">
        <f t="shared" si="197"/>
        <v>1</v>
      </c>
      <c r="DI213" s="52">
        <f t="shared" si="197"/>
        <v>1</v>
      </c>
      <c r="DJ213" s="52">
        <f t="shared" si="197"/>
        <v>0</v>
      </c>
    </row>
    <row r="214" ht="15.75" customHeight="1">
      <c r="B214" s="52" t="s">
        <v>1792</v>
      </c>
      <c r="C214" s="52">
        <v>26.0</v>
      </c>
      <c r="D214" s="52" t="s">
        <v>1787</v>
      </c>
      <c r="E214" s="58"/>
      <c r="F214" s="58"/>
      <c r="G214" s="58"/>
      <c r="H214" s="58"/>
      <c r="I214" s="58"/>
      <c r="J214" s="65">
        <v>0.08</v>
      </c>
      <c r="K214" s="65">
        <v>0.08</v>
      </c>
      <c r="L214" s="65">
        <v>0.07</v>
      </c>
      <c r="M214" s="65">
        <v>0.07</v>
      </c>
      <c r="N214" s="65">
        <v>0.06</v>
      </c>
      <c r="O214" s="65">
        <v>0.06</v>
      </c>
      <c r="P214" s="65">
        <v>0.05</v>
      </c>
      <c r="Q214" s="65">
        <v>0.05</v>
      </c>
      <c r="R214" s="65">
        <v>0.05</v>
      </c>
      <c r="S214" s="65">
        <v>0.04</v>
      </c>
      <c r="T214" s="65">
        <v>0.04</v>
      </c>
      <c r="U214" s="65">
        <v>0.04</v>
      </c>
      <c r="V214" s="65">
        <v>0.04</v>
      </c>
      <c r="W214" s="65">
        <v>0.03</v>
      </c>
      <c r="X214" s="65">
        <v>0.03</v>
      </c>
      <c r="Y214" s="65">
        <v>0.03</v>
      </c>
      <c r="Z214" s="65">
        <v>0.03</v>
      </c>
      <c r="AA214" s="65">
        <v>0.03</v>
      </c>
      <c r="AB214" s="65">
        <v>0.02</v>
      </c>
      <c r="AC214" s="65">
        <v>0.02</v>
      </c>
      <c r="AD214" s="65">
        <v>0.03</v>
      </c>
      <c r="CJ214" s="52">
        <f t="shared" ref="CJ214:DJ214" si="198">ROUND($CJ30*E214,0)</f>
        <v>0</v>
      </c>
      <c r="CK214" s="52">
        <f t="shared" si="198"/>
        <v>0</v>
      </c>
      <c r="CL214" s="52">
        <f t="shared" si="198"/>
        <v>0</v>
      </c>
      <c r="CM214" s="52">
        <f t="shared" si="198"/>
        <v>0</v>
      </c>
      <c r="CN214" s="52">
        <f t="shared" si="198"/>
        <v>0</v>
      </c>
      <c r="CO214" s="52">
        <f t="shared" si="198"/>
        <v>1</v>
      </c>
      <c r="CP214" s="52">
        <f t="shared" si="198"/>
        <v>1</v>
      </c>
      <c r="CQ214" s="52">
        <f t="shared" si="198"/>
        <v>0</v>
      </c>
      <c r="CR214" s="52">
        <f t="shared" si="198"/>
        <v>0</v>
      </c>
      <c r="CS214" s="52">
        <f t="shared" si="198"/>
        <v>0</v>
      </c>
      <c r="CT214" s="52">
        <f t="shared" si="198"/>
        <v>0</v>
      </c>
      <c r="CU214" s="52">
        <f t="shared" si="198"/>
        <v>0</v>
      </c>
      <c r="CV214" s="52">
        <f t="shared" si="198"/>
        <v>0</v>
      </c>
      <c r="CW214" s="52">
        <f t="shared" si="198"/>
        <v>0</v>
      </c>
      <c r="CX214" s="52">
        <f t="shared" si="198"/>
        <v>0</v>
      </c>
      <c r="CY214" s="52">
        <f t="shared" si="198"/>
        <v>0</v>
      </c>
      <c r="CZ214" s="52">
        <f t="shared" si="198"/>
        <v>0</v>
      </c>
      <c r="DA214" s="52">
        <f t="shared" si="198"/>
        <v>0</v>
      </c>
      <c r="DB214" s="52">
        <f t="shared" si="198"/>
        <v>0</v>
      </c>
      <c r="DC214" s="52">
        <f t="shared" si="198"/>
        <v>0</v>
      </c>
      <c r="DD214" s="52">
        <f t="shared" si="198"/>
        <v>0</v>
      </c>
      <c r="DE214" s="52">
        <f t="shared" si="198"/>
        <v>0</v>
      </c>
      <c r="DF214" s="52">
        <f t="shared" si="198"/>
        <v>0</v>
      </c>
      <c r="DG214" s="52">
        <f t="shared" si="198"/>
        <v>0</v>
      </c>
      <c r="DH214" s="52">
        <f t="shared" si="198"/>
        <v>0</v>
      </c>
      <c r="DI214" s="52">
        <f t="shared" si="198"/>
        <v>0</v>
      </c>
      <c r="DJ214" s="52">
        <f t="shared" si="198"/>
        <v>0</v>
      </c>
    </row>
    <row r="215" ht="15.75" customHeight="1">
      <c r="B215" s="52" t="s">
        <v>1792</v>
      </c>
      <c r="C215" s="52">
        <v>26.0</v>
      </c>
      <c r="D215" s="52" t="s">
        <v>1788</v>
      </c>
      <c r="E215" s="58"/>
      <c r="F215" s="58"/>
      <c r="G215" s="58"/>
      <c r="H215" s="58"/>
      <c r="I215" s="58"/>
      <c r="J215" s="58"/>
      <c r="K215" s="65">
        <v>0.08</v>
      </c>
      <c r="L215" s="65">
        <v>0.08</v>
      </c>
      <c r="M215" s="65">
        <v>0.07</v>
      </c>
      <c r="N215" s="65">
        <v>0.07</v>
      </c>
      <c r="O215" s="65">
        <v>0.06</v>
      </c>
      <c r="P215" s="65">
        <v>0.06</v>
      </c>
      <c r="Q215" s="65">
        <v>0.05</v>
      </c>
      <c r="R215" s="65">
        <v>0.05</v>
      </c>
      <c r="S215" s="65">
        <v>0.05</v>
      </c>
      <c r="T215" s="65">
        <v>0.04</v>
      </c>
      <c r="U215" s="65">
        <v>0.04</v>
      </c>
      <c r="V215" s="65">
        <v>0.04</v>
      </c>
      <c r="W215" s="65">
        <v>0.04</v>
      </c>
      <c r="X215" s="65">
        <v>0.03</v>
      </c>
      <c r="Y215" s="65">
        <v>0.03</v>
      </c>
      <c r="Z215" s="65">
        <v>0.03</v>
      </c>
      <c r="AA215" s="65">
        <v>0.03</v>
      </c>
      <c r="AB215" s="65">
        <v>0.03</v>
      </c>
      <c r="AC215" s="65">
        <v>0.02</v>
      </c>
      <c r="AD215" s="65">
        <v>0.02</v>
      </c>
      <c r="CJ215" s="52">
        <f t="shared" ref="CJ215:DJ215" si="199">ROUND($CJ31*E215,0)</f>
        <v>0</v>
      </c>
      <c r="CK215" s="52">
        <f t="shared" si="199"/>
        <v>0</v>
      </c>
      <c r="CL215" s="52">
        <f t="shared" si="199"/>
        <v>0</v>
      </c>
      <c r="CM215" s="52">
        <f t="shared" si="199"/>
        <v>0</v>
      </c>
      <c r="CN215" s="52">
        <f t="shared" si="199"/>
        <v>0</v>
      </c>
      <c r="CO215" s="52">
        <f t="shared" si="199"/>
        <v>0</v>
      </c>
      <c r="CP215" s="52">
        <f t="shared" si="199"/>
        <v>0</v>
      </c>
      <c r="CQ215" s="52">
        <f t="shared" si="199"/>
        <v>0</v>
      </c>
      <c r="CR215" s="52">
        <f t="shared" si="199"/>
        <v>0</v>
      </c>
      <c r="CS215" s="52">
        <f t="shared" si="199"/>
        <v>0</v>
      </c>
      <c r="CT215" s="52">
        <f t="shared" si="199"/>
        <v>0</v>
      </c>
      <c r="CU215" s="52">
        <f t="shared" si="199"/>
        <v>0</v>
      </c>
      <c r="CV215" s="52">
        <f t="shared" si="199"/>
        <v>0</v>
      </c>
      <c r="CW215" s="52">
        <f t="shared" si="199"/>
        <v>0</v>
      </c>
      <c r="CX215" s="52">
        <f t="shared" si="199"/>
        <v>0</v>
      </c>
      <c r="CY215" s="52">
        <f t="shared" si="199"/>
        <v>0</v>
      </c>
      <c r="CZ215" s="52">
        <f t="shared" si="199"/>
        <v>0</v>
      </c>
      <c r="DA215" s="52">
        <f t="shared" si="199"/>
        <v>0</v>
      </c>
      <c r="DB215" s="52">
        <f t="shared" si="199"/>
        <v>0</v>
      </c>
      <c r="DC215" s="52">
        <f t="shared" si="199"/>
        <v>0</v>
      </c>
      <c r="DD215" s="52">
        <f t="shared" si="199"/>
        <v>0</v>
      </c>
      <c r="DE215" s="52">
        <f t="shared" si="199"/>
        <v>0</v>
      </c>
      <c r="DF215" s="52">
        <f t="shared" si="199"/>
        <v>0</v>
      </c>
      <c r="DG215" s="52">
        <f t="shared" si="199"/>
        <v>0</v>
      </c>
      <c r="DH215" s="52">
        <f t="shared" si="199"/>
        <v>0</v>
      </c>
      <c r="DI215" s="52">
        <f t="shared" si="199"/>
        <v>0</v>
      </c>
      <c r="DJ215" s="52">
        <f t="shared" si="199"/>
        <v>0</v>
      </c>
    </row>
    <row r="216" ht="15.75" customHeight="1">
      <c r="B216" s="52" t="s">
        <v>1792</v>
      </c>
      <c r="C216" s="52">
        <v>26.0</v>
      </c>
      <c r="D216" s="52" t="s">
        <v>1789</v>
      </c>
      <c r="E216" s="58"/>
      <c r="F216" s="58"/>
      <c r="G216" s="58"/>
      <c r="H216" s="58"/>
      <c r="I216" s="58"/>
      <c r="J216" s="58"/>
      <c r="K216" s="58"/>
      <c r="L216" s="65">
        <v>0.08</v>
      </c>
      <c r="M216" s="65">
        <v>0.08</v>
      </c>
      <c r="N216" s="65">
        <v>0.07</v>
      </c>
      <c r="O216" s="65">
        <v>0.07</v>
      </c>
      <c r="P216" s="65">
        <v>0.06</v>
      </c>
      <c r="Q216" s="65">
        <v>0.06</v>
      </c>
      <c r="R216" s="65">
        <v>0.05</v>
      </c>
      <c r="S216" s="65">
        <v>0.05</v>
      </c>
      <c r="T216" s="65">
        <v>0.05</v>
      </c>
      <c r="U216" s="65">
        <v>0.04</v>
      </c>
      <c r="V216" s="65">
        <v>0.04</v>
      </c>
      <c r="W216" s="65">
        <v>0.04</v>
      </c>
      <c r="X216" s="65">
        <v>0.04</v>
      </c>
      <c r="Y216" s="65">
        <v>0.03</v>
      </c>
      <c r="Z216" s="65">
        <v>0.03</v>
      </c>
      <c r="AA216" s="65">
        <v>0.03</v>
      </c>
      <c r="AB216" s="65">
        <v>0.03</v>
      </c>
      <c r="AC216" s="65">
        <v>0.03</v>
      </c>
      <c r="AD216" s="65">
        <v>0.02</v>
      </c>
      <c r="CJ216" s="52">
        <f t="shared" ref="CJ216:DJ216" si="200">ROUND($CJ32*E216,0)</f>
        <v>0</v>
      </c>
      <c r="CK216" s="52">
        <f t="shared" si="200"/>
        <v>0</v>
      </c>
      <c r="CL216" s="52">
        <f t="shared" si="200"/>
        <v>0</v>
      </c>
      <c r="CM216" s="52">
        <f t="shared" si="200"/>
        <v>0</v>
      </c>
      <c r="CN216" s="52">
        <f t="shared" si="200"/>
        <v>0</v>
      </c>
      <c r="CO216" s="52">
        <f t="shared" si="200"/>
        <v>0</v>
      </c>
      <c r="CP216" s="52">
        <f t="shared" si="200"/>
        <v>0</v>
      </c>
      <c r="CQ216" s="52">
        <f t="shared" si="200"/>
        <v>1</v>
      </c>
      <c r="CR216" s="52">
        <f t="shared" si="200"/>
        <v>1</v>
      </c>
      <c r="CS216" s="52">
        <f t="shared" si="200"/>
        <v>1</v>
      </c>
      <c r="CT216" s="52">
        <f t="shared" si="200"/>
        <v>1</v>
      </c>
      <c r="CU216" s="52">
        <f t="shared" si="200"/>
        <v>1</v>
      </c>
      <c r="CV216" s="52">
        <f t="shared" si="200"/>
        <v>1</v>
      </c>
      <c r="CW216" s="52">
        <f t="shared" si="200"/>
        <v>1</v>
      </c>
      <c r="CX216" s="52">
        <f t="shared" si="200"/>
        <v>1</v>
      </c>
      <c r="CY216" s="52">
        <f t="shared" si="200"/>
        <v>1</v>
      </c>
      <c r="CZ216" s="52">
        <f t="shared" si="200"/>
        <v>0</v>
      </c>
      <c r="DA216" s="52">
        <f t="shared" si="200"/>
        <v>0</v>
      </c>
      <c r="DB216" s="52">
        <f t="shared" si="200"/>
        <v>0</v>
      </c>
      <c r="DC216" s="52">
        <f t="shared" si="200"/>
        <v>0</v>
      </c>
      <c r="DD216" s="52">
        <f t="shared" si="200"/>
        <v>0</v>
      </c>
      <c r="DE216" s="52">
        <f t="shared" si="200"/>
        <v>0</v>
      </c>
      <c r="DF216" s="52">
        <f t="shared" si="200"/>
        <v>0</v>
      </c>
      <c r="DG216" s="52">
        <f t="shared" si="200"/>
        <v>0</v>
      </c>
      <c r="DH216" s="52">
        <f t="shared" si="200"/>
        <v>0</v>
      </c>
      <c r="DI216" s="52">
        <f t="shared" si="200"/>
        <v>0</v>
      </c>
      <c r="DJ216" s="52">
        <f t="shared" si="200"/>
        <v>0</v>
      </c>
    </row>
    <row r="217" ht="15.75" customHeight="1">
      <c r="B217" s="52" t="s">
        <v>1792</v>
      </c>
      <c r="C217" s="52">
        <v>26.0</v>
      </c>
      <c r="D217" s="52" t="s">
        <v>1790</v>
      </c>
      <c r="E217" s="58"/>
      <c r="F217" s="58"/>
      <c r="G217" s="58"/>
      <c r="H217" s="58"/>
      <c r="I217" s="58"/>
      <c r="J217" s="58"/>
      <c r="K217" s="58"/>
      <c r="L217" s="58"/>
      <c r="M217" s="58"/>
      <c r="N217" s="65">
        <v>0.08</v>
      </c>
      <c r="O217" s="65">
        <v>0.08</v>
      </c>
      <c r="P217" s="65">
        <v>0.07</v>
      </c>
      <c r="Q217" s="65">
        <v>0.07</v>
      </c>
      <c r="R217" s="65">
        <v>0.06</v>
      </c>
      <c r="S217" s="65">
        <v>0.06</v>
      </c>
      <c r="T217" s="65">
        <v>0.05</v>
      </c>
      <c r="U217" s="65">
        <v>0.05</v>
      </c>
      <c r="V217" s="65">
        <v>0.05</v>
      </c>
      <c r="W217" s="65">
        <v>0.04</v>
      </c>
      <c r="X217" s="65">
        <v>0.04</v>
      </c>
      <c r="Y217" s="65">
        <v>0.04</v>
      </c>
      <c r="Z217" s="65">
        <v>0.04</v>
      </c>
      <c r="AA217" s="65">
        <v>0.03</v>
      </c>
      <c r="AB217" s="65">
        <v>0.03</v>
      </c>
      <c r="AC217" s="65">
        <v>0.03</v>
      </c>
      <c r="AD217" s="65">
        <v>0.03</v>
      </c>
      <c r="CJ217" s="52">
        <f t="shared" ref="CJ217:DJ217" si="201">ROUND($CJ33*E217,0)</f>
        <v>0</v>
      </c>
      <c r="CK217" s="52">
        <f t="shared" si="201"/>
        <v>0</v>
      </c>
      <c r="CL217" s="52">
        <f t="shared" si="201"/>
        <v>0</v>
      </c>
      <c r="CM217" s="52">
        <f t="shared" si="201"/>
        <v>0</v>
      </c>
      <c r="CN217" s="52">
        <f t="shared" si="201"/>
        <v>0</v>
      </c>
      <c r="CO217" s="52">
        <f t="shared" si="201"/>
        <v>0</v>
      </c>
      <c r="CP217" s="52">
        <f t="shared" si="201"/>
        <v>0</v>
      </c>
      <c r="CQ217" s="52">
        <f t="shared" si="201"/>
        <v>0</v>
      </c>
      <c r="CR217" s="52">
        <f t="shared" si="201"/>
        <v>0</v>
      </c>
      <c r="CS217" s="52">
        <f t="shared" si="201"/>
        <v>1</v>
      </c>
      <c r="CT217" s="52">
        <f t="shared" si="201"/>
        <v>1</v>
      </c>
      <c r="CU217" s="52">
        <f t="shared" si="201"/>
        <v>1</v>
      </c>
      <c r="CV217" s="52">
        <f t="shared" si="201"/>
        <v>1</v>
      </c>
      <c r="CW217" s="52">
        <f t="shared" si="201"/>
        <v>1</v>
      </c>
      <c r="CX217" s="52">
        <f t="shared" si="201"/>
        <v>1</v>
      </c>
      <c r="CY217" s="52">
        <f t="shared" si="201"/>
        <v>1</v>
      </c>
      <c r="CZ217" s="52">
        <f t="shared" si="201"/>
        <v>1</v>
      </c>
      <c r="DA217" s="52">
        <f t="shared" si="201"/>
        <v>1</v>
      </c>
      <c r="DB217" s="52">
        <f t="shared" si="201"/>
        <v>1</v>
      </c>
      <c r="DC217" s="52">
        <f t="shared" si="201"/>
        <v>1</v>
      </c>
      <c r="DD217" s="52">
        <f t="shared" si="201"/>
        <v>1</v>
      </c>
      <c r="DE217" s="52">
        <f t="shared" si="201"/>
        <v>1</v>
      </c>
      <c r="DF217" s="52">
        <f t="shared" si="201"/>
        <v>0</v>
      </c>
      <c r="DG217" s="52">
        <f t="shared" si="201"/>
        <v>0</v>
      </c>
      <c r="DH217" s="52">
        <f t="shared" si="201"/>
        <v>0</v>
      </c>
      <c r="DI217" s="52">
        <f t="shared" si="201"/>
        <v>0</v>
      </c>
      <c r="DJ217" s="52">
        <f t="shared" si="201"/>
        <v>0</v>
      </c>
    </row>
    <row r="218" ht="15.75" customHeight="1">
      <c r="B218" s="52" t="s">
        <v>1792</v>
      </c>
      <c r="C218" s="52">
        <v>27.0</v>
      </c>
      <c r="D218" s="52">
        <v>0.0</v>
      </c>
      <c r="E218" s="65">
        <v>0.07</v>
      </c>
      <c r="F218" s="65">
        <v>0.07</v>
      </c>
      <c r="G218" s="65">
        <v>0.07</v>
      </c>
      <c r="H218" s="65">
        <v>0.07</v>
      </c>
      <c r="I218" s="65">
        <v>0.07</v>
      </c>
      <c r="J218" s="65">
        <v>0.07</v>
      </c>
      <c r="K218" s="65">
        <v>0.07</v>
      </c>
      <c r="L218" s="65">
        <v>0.07</v>
      </c>
      <c r="M218" s="65">
        <v>0.07</v>
      </c>
      <c r="N218" s="65">
        <v>0.03</v>
      </c>
      <c r="O218" s="65">
        <v>0.03</v>
      </c>
      <c r="P218" s="65">
        <v>0.03</v>
      </c>
      <c r="Q218" s="65">
        <v>0.03</v>
      </c>
      <c r="R218" s="65">
        <v>0.03</v>
      </c>
      <c r="S218" s="65">
        <v>0.03</v>
      </c>
      <c r="T218" s="65">
        <v>0.03</v>
      </c>
      <c r="U218" s="65">
        <v>0.02</v>
      </c>
      <c r="V218" s="65">
        <v>0.02</v>
      </c>
      <c r="W218" s="65">
        <v>0.02</v>
      </c>
      <c r="X218" s="65">
        <v>0.02</v>
      </c>
      <c r="Y218" s="65">
        <v>0.02</v>
      </c>
      <c r="Z218" s="65">
        <v>0.02</v>
      </c>
      <c r="AA218" s="65">
        <v>0.02</v>
      </c>
      <c r="AB218" s="65">
        <v>0.02</v>
      </c>
      <c r="AC218" s="58"/>
      <c r="AD218" s="58"/>
      <c r="CK218" s="52">
        <f t="shared" ref="CK218:DJ218" si="202">ROUND($CK27*E218,0)</f>
        <v>110</v>
      </c>
      <c r="CL218" s="52">
        <f t="shared" si="202"/>
        <v>110</v>
      </c>
      <c r="CM218" s="52">
        <f t="shared" si="202"/>
        <v>110</v>
      </c>
      <c r="CN218" s="52">
        <f t="shared" si="202"/>
        <v>110</v>
      </c>
      <c r="CO218" s="52">
        <f t="shared" si="202"/>
        <v>110</v>
      </c>
      <c r="CP218" s="52">
        <f t="shared" si="202"/>
        <v>110</v>
      </c>
      <c r="CQ218" s="52">
        <f t="shared" si="202"/>
        <v>110</v>
      </c>
      <c r="CR218" s="52">
        <f t="shared" si="202"/>
        <v>110</v>
      </c>
      <c r="CS218" s="52">
        <f t="shared" si="202"/>
        <v>110</v>
      </c>
      <c r="CT218" s="52">
        <f t="shared" si="202"/>
        <v>47</v>
      </c>
      <c r="CU218" s="52">
        <f t="shared" si="202"/>
        <v>47</v>
      </c>
      <c r="CV218" s="52">
        <f t="shared" si="202"/>
        <v>47</v>
      </c>
      <c r="CW218" s="52">
        <f t="shared" si="202"/>
        <v>47</v>
      </c>
      <c r="CX218" s="52">
        <f t="shared" si="202"/>
        <v>47</v>
      </c>
      <c r="CY218" s="52">
        <f t="shared" si="202"/>
        <v>47</v>
      </c>
      <c r="CZ218" s="52">
        <f t="shared" si="202"/>
        <v>47</v>
      </c>
      <c r="DA218" s="52">
        <f t="shared" si="202"/>
        <v>31</v>
      </c>
      <c r="DB218" s="52">
        <f t="shared" si="202"/>
        <v>31</v>
      </c>
      <c r="DC218" s="52">
        <f t="shared" si="202"/>
        <v>31</v>
      </c>
      <c r="DD218" s="52">
        <f t="shared" si="202"/>
        <v>31</v>
      </c>
      <c r="DE218" s="52">
        <f t="shared" si="202"/>
        <v>31</v>
      </c>
      <c r="DF218" s="52">
        <f t="shared" si="202"/>
        <v>31</v>
      </c>
      <c r="DG218" s="52">
        <f t="shared" si="202"/>
        <v>31</v>
      </c>
      <c r="DH218" s="52">
        <f t="shared" si="202"/>
        <v>31</v>
      </c>
      <c r="DI218" s="52">
        <f t="shared" si="202"/>
        <v>0</v>
      </c>
      <c r="DJ218" s="52">
        <f t="shared" si="202"/>
        <v>0</v>
      </c>
    </row>
    <row r="219" ht="15.75" customHeight="1">
      <c r="B219" s="52" t="s">
        <v>1792</v>
      </c>
      <c r="C219" s="52">
        <v>27.0</v>
      </c>
      <c r="D219" s="52" t="s">
        <v>1785</v>
      </c>
      <c r="E219" s="65">
        <v>0.02</v>
      </c>
      <c r="F219" s="65">
        <v>0.02</v>
      </c>
      <c r="G219" s="65">
        <v>0.02</v>
      </c>
      <c r="H219" s="65">
        <v>0.02</v>
      </c>
      <c r="I219" s="65">
        <v>0.08</v>
      </c>
      <c r="J219" s="65">
        <v>0.08</v>
      </c>
      <c r="K219" s="65">
        <v>0.07</v>
      </c>
      <c r="L219" s="65">
        <v>0.07</v>
      </c>
      <c r="M219" s="65">
        <v>0.06</v>
      </c>
      <c r="N219" s="65">
        <v>0.06</v>
      </c>
      <c r="O219" s="65">
        <v>0.05</v>
      </c>
      <c r="P219" s="65">
        <v>0.05</v>
      </c>
      <c r="Q219" s="65">
        <v>0.05</v>
      </c>
      <c r="R219" s="65">
        <v>0.04</v>
      </c>
      <c r="S219" s="65">
        <v>0.04</v>
      </c>
      <c r="T219" s="65">
        <v>0.04</v>
      </c>
      <c r="U219" s="65">
        <v>0.04</v>
      </c>
      <c r="V219" s="65">
        <v>0.03</v>
      </c>
      <c r="W219" s="65">
        <v>0.03</v>
      </c>
      <c r="X219" s="65">
        <v>0.03</v>
      </c>
      <c r="Y219" s="65">
        <v>0.03</v>
      </c>
      <c r="Z219" s="65">
        <v>0.03</v>
      </c>
      <c r="AA219" s="65">
        <v>0.02</v>
      </c>
      <c r="AB219" s="65">
        <v>0.02</v>
      </c>
      <c r="AC219" s="58"/>
      <c r="AD219" s="58"/>
      <c r="CK219" s="52">
        <f t="shared" ref="CK219:DJ219" si="203">ROUND($CK28*E219,0)</f>
        <v>3</v>
      </c>
      <c r="CL219" s="52">
        <f t="shared" si="203"/>
        <v>3</v>
      </c>
      <c r="CM219" s="52">
        <f t="shared" si="203"/>
        <v>3</v>
      </c>
      <c r="CN219" s="52">
        <f t="shared" si="203"/>
        <v>3</v>
      </c>
      <c r="CO219" s="52">
        <f t="shared" si="203"/>
        <v>13</v>
      </c>
      <c r="CP219" s="52">
        <f t="shared" si="203"/>
        <v>13</v>
      </c>
      <c r="CQ219" s="52">
        <f t="shared" si="203"/>
        <v>11</v>
      </c>
      <c r="CR219" s="52">
        <f t="shared" si="203"/>
        <v>11</v>
      </c>
      <c r="CS219" s="52">
        <f t="shared" si="203"/>
        <v>10</v>
      </c>
      <c r="CT219" s="52">
        <f t="shared" si="203"/>
        <v>10</v>
      </c>
      <c r="CU219" s="52">
        <f t="shared" si="203"/>
        <v>8</v>
      </c>
      <c r="CV219" s="52">
        <f t="shared" si="203"/>
        <v>8</v>
      </c>
      <c r="CW219" s="52">
        <f t="shared" si="203"/>
        <v>8</v>
      </c>
      <c r="CX219" s="52">
        <f t="shared" si="203"/>
        <v>6</v>
      </c>
      <c r="CY219" s="52">
        <f t="shared" si="203"/>
        <v>6</v>
      </c>
      <c r="CZ219" s="52">
        <f t="shared" si="203"/>
        <v>6</v>
      </c>
      <c r="DA219" s="52">
        <f t="shared" si="203"/>
        <v>6</v>
      </c>
      <c r="DB219" s="52">
        <f t="shared" si="203"/>
        <v>5</v>
      </c>
      <c r="DC219" s="52">
        <f t="shared" si="203"/>
        <v>5</v>
      </c>
      <c r="DD219" s="52">
        <f t="shared" si="203"/>
        <v>5</v>
      </c>
      <c r="DE219" s="52">
        <f t="shared" si="203"/>
        <v>5</v>
      </c>
      <c r="DF219" s="52">
        <f t="shared" si="203"/>
        <v>5</v>
      </c>
      <c r="DG219" s="52">
        <f t="shared" si="203"/>
        <v>3</v>
      </c>
      <c r="DH219" s="52">
        <f t="shared" si="203"/>
        <v>3</v>
      </c>
      <c r="DI219" s="52">
        <f t="shared" si="203"/>
        <v>0</v>
      </c>
      <c r="DJ219" s="52">
        <f t="shared" si="203"/>
        <v>0</v>
      </c>
    </row>
    <row r="220" ht="15.75" customHeight="1">
      <c r="B220" s="52" t="s">
        <v>1792</v>
      </c>
      <c r="C220" s="52">
        <v>27.0</v>
      </c>
      <c r="D220" s="52" t="s">
        <v>1786</v>
      </c>
      <c r="E220" s="58"/>
      <c r="F220" s="58"/>
      <c r="G220" s="58"/>
      <c r="H220" s="65">
        <v>0.08</v>
      </c>
      <c r="I220" s="65">
        <v>0.08</v>
      </c>
      <c r="J220" s="65">
        <v>0.07</v>
      </c>
      <c r="K220" s="65">
        <v>0.07</v>
      </c>
      <c r="L220" s="65">
        <v>0.06</v>
      </c>
      <c r="M220" s="65">
        <v>0.06</v>
      </c>
      <c r="N220" s="65">
        <v>0.05</v>
      </c>
      <c r="O220" s="65">
        <v>0.05</v>
      </c>
      <c r="P220" s="65">
        <v>0.05</v>
      </c>
      <c r="Q220" s="65">
        <v>0.04</v>
      </c>
      <c r="R220" s="65">
        <v>0.04</v>
      </c>
      <c r="S220" s="65">
        <v>0.04</v>
      </c>
      <c r="T220" s="65">
        <v>0.04</v>
      </c>
      <c r="U220" s="65">
        <v>0.03</v>
      </c>
      <c r="V220" s="65">
        <v>0.03</v>
      </c>
      <c r="W220" s="65">
        <v>0.03</v>
      </c>
      <c r="X220" s="65">
        <v>0.03</v>
      </c>
      <c r="Y220" s="65">
        <v>0.03</v>
      </c>
      <c r="Z220" s="65">
        <v>0.02</v>
      </c>
      <c r="AA220" s="65">
        <v>0.02</v>
      </c>
      <c r="AB220" s="65">
        <v>0.03</v>
      </c>
      <c r="AC220" s="65">
        <v>0.03</v>
      </c>
      <c r="AD220" s="65">
        <v>0.02</v>
      </c>
      <c r="CK220" s="52">
        <f t="shared" ref="CK220:DJ220" si="204">ROUND($CK29*E220,0)</f>
        <v>0</v>
      </c>
      <c r="CL220" s="52">
        <f t="shared" si="204"/>
        <v>0</v>
      </c>
      <c r="CM220" s="52">
        <f t="shared" si="204"/>
        <v>0</v>
      </c>
      <c r="CN220" s="52">
        <f t="shared" si="204"/>
        <v>23</v>
      </c>
      <c r="CO220" s="52">
        <f t="shared" si="204"/>
        <v>23</v>
      </c>
      <c r="CP220" s="52">
        <f t="shared" si="204"/>
        <v>20</v>
      </c>
      <c r="CQ220" s="52">
        <f t="shared" si="204"/>
        <v>20</v>
      </c>
      <c r="CR220" s="52">
        <f t="shared" si="204"/>
        <v>17</v>
      </c>
      <c r="CS220" s="52">
        <f t="shared" si="204"/>
        <v>17</v>
      </c>
      <c r="CT220" s="52">
        <f t="shared" si="204"/>
        <v>14</v>
      </c>
      <c r="CU220" s="52">
        <f t="shared" si="204"/>
        <v>14</v>
      </c>
      <c r="CV220" s="52">
        <f t="shared" si="204"/>
        <v>14</v>
      </c>
      <c r="CW220" s="52">
        <f t="shared" si="204"/>
        <v>12</v>
      </c>
      <c r="CX220" s="52">
        <f t="shared" si="204"/>
        <v>12</v>
      </c>
      <c r="CY220" s="52">
        <f t="shared" si="204"/>
        <v>12</v>
      </c>
      <c r="CZ220" s="52">
        <f t="shared" si="204"/>
        <v>12</v>
      </c>
      <c r="DA220" s="52">
        <f t="shared" si="204"/>
        <v>9</v>
      </c>
      <c r="DB220" s="52">
        <f t="shared" si="204"/>
        <v>9</v>
      </c>
      <c r="DC220" s="52">
        <f t="shared" si="204"/>
        <v>9</v>
      </c>
      <c r="DD220" s="52">
        <f t="shared" si="204"/>
        <v>9</v>
      </c>
      <c r="DE220" s="52">
        <f t="shared" si="204"/>
        <v>9</v>
      </c>
      <c r="DF220" s="52">
        <f t="shared" si="204"/>
        <v>6</v>
      </c>
      <c r="DG220" s="52">
        <f t="shared" si="204"/>
        <v>6</v>
      </c>
      <c r="DH220" s="52">
        <f t="shared" si="204"/>
        <v>9</v>
      </c>
      <c r="DI220" s="52">
        <f t="shared" si="204"/>
        <v>9</v>
      </c>
      <c r="DJ220" s="52">
        <f t="shared" si="204"/>
        <v>6</v>
      </c>
    </row>
    <row r="221" ht="15.75" customHeight="1">
      <c r="B221" s="52" t="s">
        <v>1792</v>
      </c>
      <c r="C221" s="52">
        <v>27.0</v>
      </c>
      <c r="D221" s="52" t="s">
        <v>1787</v>
      </c>
      <c r="E221" s="58"/>
      <c r="F221" s="58"/>
      <c r="G221" s="58"/>
      <c r="H221" s="58"/>
      <c r="I221" s="58"/>
      <c r="J221" s="65">
        <v>0.08</v>
      </c>
      <c r="K221" s="65">
        <v>0.08</v>
      </c>
      <c r="L221" s="65">
        <v>0.07</v>
      </c>
      <c r="M221" s="65">
        <v>0.07</v>
      </c>
      <c r="N221" s="65">
        <v>0.06</v>
      </c>
      <c r="O221" s="65">
        <v>0.06</v>
      </c>
      <c r="P221" s="65">
        <v>0.05</v>
      </c>
      <c r="Q221" s="65">
        <v>0.05</v>
      </c>
      <c r="R221" s="65">
        <v>0.05</v>
      </c>
      <c r="S221" s="65">
        <v>0.04</v>
      </c>
      <c r="T221" s="65">
        <v>0.04</v>
      </c>
      <c r="U221" s="65">
        <v>0.04</v>
      </c>
      <c r="V221" s="65">
        <v>0.04</v>
      </c>
      <c r="W221" s="65">
        <v>0.03</v>
      </c>
      <c r="X221" s="65">
        <v>0.03</v>
      </c>
      <c r="Y221" s="65">
        <v>0.03</v>
      </c>
      <c r="Z221" s="65">
        <v>0.03</v>
      </c>
      <c r="AA221" s="65">
        <v>0.03</v>
      </c>
      <c r="AB221" s="65">
        <v>0.02</v>
      </c>
      <c r="AC221" s="65">
        <v>0.02</v>
      </c>
      <c r="AD221" s="65">
        <v>0.03</v>
      </c>
      <c r="CK221" s="52">
        <f t="shared" ref="CK221:DJ221" si="205">ROUND($CK30*E221,0)</f>
        <v>0</v>
      </c>
      <c r="CL221" s="52">
        <f t="shared" si="205"/>
        <v>0</v>
      </c>
      <c r="CM221" s="52">
        <f t="shared" si="205"/>
        <v>0</v>
      </c>
      <c r="CN221" s="52">
        <f t="shared" si="205"/>
        <v>0</v>
      </c>
      <c r="CO221" s="52">
        <f t="shared" si="205"/>
        <v>0</v>
      </c>
      <c r="CP221" s="52">
        <f t="shared" si="205"/>
        <v>5</v>
      </c>
      <c r="CQ221" s="52">
        <f t="shared" si="205"/>
        <v>5</v>
      </c>
      <c r="CR221" s="52">
        <f t="shared" si="205"/>
        <v>4</v>
      </c>
      <c r="CS221" s="52">
        <f t="shared" si="205"/>
        <v>4</v>
      </c>
      <c r="CT221" s="52">
        <f t="shared" si="205"/>
        <v>3</v>
      </c>
      <c r="CU221" s="52">
        <f t="shared" si="205"/>
        <v>3</v>
      </c>
      <c r="CV221" s="52">
        <f t="shared" si="205"/>
        <v>3</v>
      </c>
      <c r="CW221" s="52">
        <f t="shared" si="205"/>
        <v>3</v>
      </c>
      <c r="CX221" s="52">
        <f t="shared" si="205"/>
        <v>3</v>
      </c>
      <c r="CY221" s="52">
        <f t="shared" si="205"/>
        <v>2</v>
      </c>
      <c r="CZ221" s="52">
        <f t="shared" si="205"/>
        <v>2</v>
      </c>
      <c r="DA221" s="52">
        <f t="shared" si="205"/>
        <v>2</v>
      </c>
      <c r="DB221" s="52">
        <f t="shared" si="205"/>
        <v>2</v>
      </c>
      <c r="DC221" s="52">
        <f t="shared" si="205"/>
        <v>2</v>
      </c>
      <c r="DD221" s="52">
        <f t="shared" si="205"/>
        <v>2</v>
      </c>
      <c r="DE221" s="52">
        <f t="shared" si="205"/>
        <v>2</v>
      </c>
      <c r="DF221" s="52">
        <f t="shared" si="205"/>
        <v>2</v>
      </c>
      <c r="DG221" s="52">
        <f t="shared" si="205"/>
        <v>2</v>
      </c>
      <c r="DH221" s="52">
        <f t="shared" si="205"/>
        <v>1</v>
      </c>
      <c r="DI221" s="52">
        <f t="shared" si="205"/>
        <v>1</v>
      </c>
      <c r="DJ221" s="52">
        <f t="shared" si="205"/>
        <v>2</v>
      </c>
    </row>
    <row r="222" ht="15.75" customHeight="1">
      <c r="B222" s="52" t="s">
        <v>1792</v>
      </c>
      <c r="C222" s="52">
        <v>27.0</v>
      </c>
      <c r="D222" s="52" t="s">
        <v>1788</v>
      </c>
      <c r="E222" s="58"/>
      <c r="F222" s="58"/>
      <c r="G222" s="58"/>
      <c r="H222" s="58"/>
      <c r="I222" s="58"/>
      <c r="J222" s="58"/>
      <c r="K222" s="65">
        <v>0.08</v>
      </c>
      <c r="L222" s="65">
        <v>0.08</v>
      </c>
      <c r="M222" s="65">
        <v>0.07</v>
      </c>
      <c r="N222" s="65">
        <v>0.07</v>
      </c>
      <c r="O222" s="65">
        <v>0.06</v>
      </c>
      <c r="P222" s="65">
        <v>0.06</v>
      </c>
      <c r="Q222" s="65">
        <v>0.05</v>
      </c>
      <c r="R222" s="65">
        <v>0.05</v>
      </c>
      <c r="S222" s="65">
        <v>0.05</v>
      </c>
      <c r="T222" s="65">
        <v>0.04</v>
      </c>
      <c r="U222" s="65">
        <v>0.04</v>
      </c>
      <c r="V222" s="65">
        <v>0.04</v>
      </c>
      <c r="W222" s="65">
        <v>0.04</v>
      </c>
      <c r="X222" s="65">
        <v>0.03</v>
      </c>
      <c r="Y222" s="65">
        <v>0.03</v>
      </c>
      <c r="Z222" s="65">
        <v>0.03</v>
      </c>
      <c r="AA222" s="65">
        <v>0.03</v>
      </c>
      <c r="AB222" s="65">
        <v>0.03</v>
      </c>
      <c r="AC222" s="65">
        <v>0.02</v>
      </c>
      <c r="AD222" s="65">
        <v>0.02</v>
      </c>
      <c r="CK222" s="52">
        <f t="shared" ref="CK222:DJ222" si="206">ROUND($CK31*E222,0)</f>
        <v>0</v>
      </c>
      <c r="CL222" s="52">
        <f t="shared" si="206"/>
        <v>0</v>
      </c>
      <c r="CM222" s="52">
        <f t="shared" si="206"/>
        <v>0</v>
      </c>
      <c r="CN222" s="52">
        <f t="shared" si="206"/>
        <v>0</v>
      </c>
      <c r="CO222" s="52">
        <f t="shared" si="206"/>
        <v>0</v>
      </c>
      <c r="CP222" s="52">
        <f t="shared" si="206"/>
        <v>0</v>
      </c>
      <c r="CQ222" s="52">
        <f t="shared" si="206"/>
        <v>4</v>
      </c>
      <c r="CR222" s="52">
        <f t="shared" si="206"/>
        <v>4</v>
      </c>
      <c r="CS222" s="52">
        <f t="shared" si="206"/>
        <v>3</v>
      </c>
      <c r="CT222" s="52">
        <f t="shared" si="206"/>
        <v>3</v>
      </c>
      <c r="CU222" s="52">
        <f t="shared" si="206"/>
        <v>3</v>
      </c>
      <c r="CV222" s="52">
        <f t="shared" si="206"/>
        <v>3</v>
      </c>
      <c r="CW222" s="52">
        <f t="shared" si="206"/>
        <v>2</v>
      </c>
      <c r="CX222" s="52">
        <f t="shared" si="206"/>
        <v>2</v>
      </c>
      <c r="CY222" s="52">
        <f t="shared" si="206"/>
        <v>2</v>
      </c>
      <c r="CZ222" s="52">
        <f t="shared" si="206"/>
        <v>2</v>
      </c>
      <c r="DA222" s="52">
        <f t="shared" si="206"/>
        <v>2</v>
      </c>
      <c r="DB222" s="52">
        <f t="shared" si="206"/>
        <v>2</v>
      </c>
      <c r="DC222" s="52">
        <f t="shared" si="206"/>
        <v>2</v>
      </c>
      <c r="DD222" s="52">
        <f t="shared" si="206"/>
        <v>1</v>
      </c>
      <c r="DE222" s="52">
        <f t="shared" si="206"/>
        <v>1</v>
      </c>
      <c r="DF222" s="52">
        <f t="shared" si="206"/>
        <v>1</v>
      </c>
      <c r="DG222" s="52">
        <f t="shared" si="206"/>
        <v>1</v>
      </c>
      <c r="DH222" s="52">
        <f t="shared" si="206"/>
        <v>1</v>
      </c>
      <c r="DI222" s="52">
        <f t="shared" si="206"/>
        <v>1</v>
      </c>
      <c r="DJ222" s="52">
        <f t="shared" si="206"/>
        <v>1</v>
      </c>
    </row>
    <row r="223" ht="15.75" customHeight="1">
      <c r="B223" s="52" t="s">
        <v>1792</v>
      </c>
      <c r="C223" s="52">
        <v>27.0</v>
      </c>
      <c r="D223" s="52" t="s">
        <v>1789</v>
      </c>
      <c r="E223" s="58"/>
      <c r="F223" s="58"/>
      <c r="G223" s="58"/>
      <c r="H223" s="58"/>
      <c r="I223" s="58"/>
      <c r="J223" s="58"/>
      <c r="K223" s="58"/>
      <c r="L223" s="65">
        <v>0.08</v>
      </c>
      <c r="M223" s="65">
        <v>0.08</v>
      </c>
      <c r="N223" s="65">
        <v>0.07</v>
      </c>
      <c r="O223" s="65">
        <v>0.07</v>
      </c>
      <c r="P223" s="65">
        <v>0.06</v>
      </c>
      <c r="Q223" s="65">
        <v>0.06</v>
      </c>
      <c r="R223" s="65">
        <v>0.05</v>
      </c>
      <c r="S223" s="65">
        <v>0.05</v>
      </c>
      <c r="T223" s="65">
        <v>0.05</v>
      </c>
      <c r="U223" s="65">
        <v>0.04</v>
      </c>
      <c r="V223" s="65">
        <v>0.04</v>
      </c>
      <c r="W223" s="65">
        <v>0.04</v>
      </c>
      <c r="X223" s="65">
        <v>0.04</v>
      </c>
      <c r="Y223" s="65">
        <v>0.03</v>
      </c>
      <c r="Z223" s="65">
        <v>0.03</v>
      </c>
      <c r="AA223" s="65">
        <v>0.03</v>
      </c>
      <c r="AB223" s="65">
        <v>0.03</v>
      </c>
      <c r="AC223" s="65">
        <v>0.03</v>
      </c>
      <c r="AD223" s="65">
        <v>0.02</v>
      </c>
      <c r="CK223" s="52">
        <f t="shared" ref="CK223:DJ223" si="207">ROUND($CK32*E223,0)</f>
        <v>0</v>
      </c>
      <c r="CL223" s="52">
        <f t="shared" si="207"/>
        <v>0</v>
      </c>
      <c r="CM223" s="52">
        <f t="shared" si="207"/>
        <v>0</v>
      </c>
      <c r="CN223" s="52">
        <f t="shared" si="207"/>
        <v>0</v>
      </c>
      <c r="CO223" s="52">
        <f t="shared" si="207"/>
        <v>0</v>
      </c>
      <c r="CP223" s="52">
        <f t="shared" si="207"/>
        <v>0</v>
      </c>
      <c r="CQ223" s="52">
        <f t="shared" si="207"/>
        <v>0</v>
      </c>
      <c r="CR223" s="52">
        <f t="shared" si="207"/>
        <v>8</v>
      </c>
      <c r="CS223" s="52">
        <f t="shared" si="207"/>
        <v>8</v>
      </c>
      <c r="CT223" s="52">
        <f t="shared" si="207"/>
        <v>7</v>
      </c>
      <c r="CU223" s="52">
        <f t="shared" si="207"/>
        <v>7</v>
      </c>
      <c r="CV223" s="52">
        <f t="shared" si="207"/>
        <v>6</v>
      </c>
      <c r="CW223" s="52">
        <f t="shared" si="207"/>
        <v>6</v>
      </c>
      <c r="CX223" s="52">
        <f t="shared" si="207"/>
        <v>5</v>
      </c>
      <c r="CY223" s="52">
        <f t="shared" si="207"/>
        <v>5</v>
      </c>
      <c r="CZ223" s="52">
        <f t="shared" si="207"/>
        <v>5</v>
      </c>
      <c r="DA223" s="52">
        <f t="shared" si="207"/>
        <v>4</v>
      </c>
      <c r="DB223" s="52">
        <f t="shared" si="207"/>
        <v>4</v>
      </c>
      <c r="DC223" s="52">
        <f t="shared" si="207"/>
        <v>4</v>
      </c>
      <c r="DD223" s="52">
        <f t="shared" si="207"/>
        <v>4</v>
      </c>
      <c r="DE223" s="52">
        <f t="shared" si="207"/>
        <v>3</v>
      </c>
      <c r="DF223" s="52">
        <f t="shared" si="207"/>
        <v>3</v>
      </c>
      <c r="DG223" s="52">
        <f t="shared" si="207"/>
        <v>3</v>
      </c>
      <c r="DH223" s="52">
        <f t="shared" si="207"/>
        <v>3</v>
      </c>
      <c r="DI223" s="52">
        <f t="shared" si="207"/>
        <v>3</v>
      </c>
      <c r="DJ223" s="52">
        <f t="shared" si="207"/>
        <v>2</v>
      </c>
    </row>
    <row r="224" ht="15.75" customHeight="1">
      <c r="B224" s="52" t="s">
        <v>1792</v>
      </c>
      <c r="C224" s="52">
        <v>27.0</v>
      </c>
      <c r="D224" s="52" t="s">
        <v>1790</v>
      </c>
      <c r="E224" s="58"/>
      <c r="F224" s="58"/>
      <c r="G224" s="58"/>
      <c r="H224" s="58"/>
      <c r="I224" s="58"/>
      <c r="J224" s="58"/>
      <c r="K224" s="58"/>
      <c r="L224" s="58"/>
      <c r="M224" s="58"/>
      <c r="N224" s="65">
        <v>0.08</v>
      </c>
      <c r="O224" s="65">
        <v>0.08</v>
      </c>
      <c r="P224" s="65">
        <v>0.07</v>
      </c>
      <c r="Q224" s="65">
        <v>0.07</v>
      </c>
      <c r="R224" s="65">
        <v>0.06</v>
      </c>
      <c r="S224" s="65">
        <v>0.06</v>
      </c>
      <c r="T224" s="65">
        <v>0.05</v>
      </c>
      <c r="U224" s="65">
        <v>0.05</v>
      </c>
      <c r="V224" s="65">
        <v>0.05</v>
      </c>
      <c r="W224" s="65">
        <v>0.04</v>
      </c>
      <c r="X224" s="65">
        <v>0.04</v>
      </c>
      <c r="Y224" s="65">
        <v>0.04</v>
      </c>
      <c r="Z224" s="65">
        <v>0.04</v>
      </c>
      <c r="AA224" s="65">
        <v>0.03</v>
      </c>
      <c r="AB224" s="65">
        <v>0.03</v>
      </c>
      <c r="AC224" s="65">
        <v>0.03</v>
      </c>
      <c r="AD224" s="65">
        <v>0.03</v>
      </c>
      <c r="CK224" s="52">
        <f t="shared" ref="CK224:DJ224" si="208">ROUND($CK33*E224,0)</f>
        <v>0</v>
      </c>
      <c r="CL224" s="52">
        <f t="shared" si="208"/>
        <v>0</v>
      </c>
      <c r="CM224" s="52">
        <f t="shared" si="208"/>
        <v>0</v>
      </c>
      <c r="CN224" s="52">
        <f t="shared" si="208"/>
        <v>0</v>
      </c>
      <c r="CO224" s="52">
        <f t="shared" si="208"/>
        <v>0</v>
      </c>
      <c r="CP224" s="52">
        <f t="shared" si="208"/>
        <v>0</v>
      </c>
      <c r="CQ224" s="52">
        <f t="shared" si="208"/>
        <v>0</v>
      </c>
      <c r="CR224" s="52">
        <f t="shared" si="208"/>
        <v>0</v>
      </c>
      <c r="CS224" s="52">
        <f t="shared" si="208"/>
        <v>0</v>
      </c>
      <c r="CT224" s="52">
        <f t="shared" si="208"/>
        <v>10</v>
      </c>
      <c r="CU224" s="52">
        <f t="shared" si="208"/>
        <v>10</v>
      </c>
      <c r="CV224" s="52">
        <f t="shared" si="208"/>
        <v>9</v>
      </c>
      <c r="CW224" s="52">
        <f t="shared" si="208"/>
        <v>9</v>
      </c>
      <c r="CX224" s="52">
        <f t="shared" si="208"/>
        <v>8</v>
      </c>
      <c r="CY224" s="52">
        <f t="shared" si="208"/>
        <v>8</v>
      </c>
      <c r="CZ224" s="52">
        <f t="shared" si="208"/>
        <v>6</v>
      </c>
      <c r="DA224" s="52">
        <f t="shared" si="208"/>
        <v>6</v>
      </c>
      <c r="DB224" s="52">
        <f t="shared" si="208"/>
        <v>6</v>
      </c>
      <c r="DC224" s="52">
        <f t="shared" si="208"/>
        <v>5</v>
      </c>
      <c r="DD224" s="52">
        <f t="shared" si="208"/>
        <v>5</v>
      </c>
      <c r="DE224" s="52">
        <f t="shared" si="208"/>
        <v>5</v>
      </c>
      <c r="DF224" s="52">
        <f t="shared" si="208"/>
        <v>5</v>
      </c>
      <c r="DG224" s="52">
        <f t="shared" si="208"/>
        <v>4</v>
      </c>
      <c r="DH224" s="52">
        <f t="shared" si="208"/>
        <v>4</v>
      </c>
      <c r="DI224" s="52">
        <f t="shared" si="208"/>
        <v>4</v>
      </c>
      <c r="DJ224" s="52">
        <f t="shared" si="208"/>
        <v>4</v>
      </c>
    </row>
    <row r="225" ht="15.75" customHeight="1">
      <c r="B225" s="52" t="s">
        <v>1792</v>
      </c>
      <c r="C225" s="52">
        <v>28.0</v>
      </c>
      <c r="D225" s="52">
        <v>0.0</v>
      </c>
      <c r="E225" s="65">
        <v>0.07</v>
      </c>
      <c r="F225" s="65">
        <v>0.07</v>
      </c>
      <c r="G225" s="65">
        <v>0.07</v>
      </c>
      <c r="H225" s="65">
        <v>0.07</v>
      </c>
      <c r="I225" s="65">
        <v>0.07</v>
      </c>
      <c r="J225" s="65">
        <v>0.07</v>
      </c>
      <c r="K225" s="65">
        <v>0.07</v>
      </c>
      <c r="L225" s="65">
        <v>0.07</v>
      </c>
      <c r="M225" s="65">
        <v>0.07</v>
      </c>
      <c r="N225" s="65">
        <v>0.03</v>
      </c>
      <c r="O225" s="65">
        <v>0.03</v>
      </c>
      <c r="P225" s="65">
        <v>0.03</v>
      </c>
      <c r="Q225" s="65">
        <v>0.03</v>
      </c>
      <c r="R225" s="65">
        <v>0.03</v>
      </c>
      <c r="S225" s="65">
        <v>0.03</v>
      </c>
      <c r="T225" s="65">
        <v>0.03</v>
      </c>
      <c r="U225" s="65">
        <v>0.02</v>
      </c>
      <c r="V225" s="65">
        <v>0.02</v>
      </c>
      <c r="W225" s="65">
        <v>0.02</v>
      </c>
      <c r="X225" s="65">
        <v>0.02</v>
      </c>
      <c r="Y225" s="65">
        <v>0.02</v>
      </c>
      <c r="Z225" s="65">
        <v>0.02</v>
      </c>
      <c r="AA225" s="65">
        <v>0.02</v>
      </c>
      <c r="AB225" s="65">
        <v>0.02</v>
      </c>
      <c r="AC225" s="58"/>
      <c r="AD225" s="58"/>
      <c r="CL225" s="52">
        <f t="shared" ref="CL225:DJ225" si="209">ROUND($CL27*E225,0)</f>
        <v>14</v>
      </c>
      <c r="CM225" s="52">
        <f t="shared" si="209"/>
        <v>14</v>
      </c>
      <c r="CN225" s="52">
        <f t="shared" si="209"/>
        <v>14</v>
      </c>
      <c r="CO225" s="52">
        <f t="shared" si="209"/>
        <v>14</v>
      </c>
      <c r="CP225" s="52">
        <f t="shared" si="209"/>
        <v>14</v>
      </c>
      <c r="CQ225" s="52">
        <f t="shared" si="209"/>
        <v>14</v>
      </c>
      <c r="CR225" s="52">
        <f t="shared" si="209"/>
        <v>14</v>
      </c>
      <c r="CS225" s="52">
        <f t="shared" si="209"/>
        <v>14</v>
      </c>
      <c r="CT225" s="52">
        <f t="shared" si="209"/>
        <v>14</v>
      </c>
      <c r="CU225" s="52">
        <f t="shared" si="209"/>
        <v>6</v>
      </c>
      <c r="CV225" s="52">
        <f t="shared" si="209"/>
        <v>6</v>
      </c>
      <c r="CW225" s="52">
        <f t="shared" si="209"/>
        <v>6</v>
      </c>
      <c r="CX225" s="52">
        <f t="shared" si="209"/>
        <v>6</v>
      </c>
      <c r="CY225" s="52">
        <f t="shared" si="209"/>
        <v>6</v>
      </c>
      <c r="CZ225" s="52">
        <f t="shared" si="209"/>
        <v>6</v>
      </c>
      <c r="DA225" s="52">
        <f t="shared" si="209"/>
        <v>6</v>
      </c>
      <c r="DB225" s="52">
        <f t="shared" si="209"/>
        <v>4</v>
      </c>
      <c r="DC225" s="52">
        <f t="shared" si="209"/>
        <v>4</v>
      </c>
      <c r="DD225" s="52">
        <f t="shared" si="209"/>
        <v>4</v>
      </c>
      <c r="DE225" s="52">
        <f t="shared" si="209"/>
        <v>4</v>
      </c>
      <c r="DF225" s="52">
        <f t="shared" si="209"/>
        <v>4</v>
      </c>
      <c r="DG225" s="52">
        <f t="shared" si="209"/>
        <v>4</v>
      </c>
      <c r="DH225" s="52">
        <f t="shared" si="209"/>
        <v>4</v>
      </c>
      <c r="DI225" s="52">
        <f t="shared" si="209"/>
        <v>4</v>
      </c>
      <c r="DJ225" s="52">
        <f t="shared" si="209"/>
        <v>0</v>
      </c>
    </row>
    <row r="226" ht="15.75" customHeight="1">
      <c r="B226" s="52" t="s">
        <v>1792</v>
      </c>
      <c r="C226" s="52">
        <v>28.0</v>
      </c>
      <c r="D226" s="52" t="s">
        <v>1785</v>
      </c>
      <c r="E226" s="65">
        <v>0.02</v>
      </c>
      <c r="F226" s="65">
        <v>0.02</v>
      </c>
      <c r="G226" s="65">
        <v>0.02</v>
      </c>
      <c r="H226" s="65">
        <v>0.02</v>
      </c>
      <c r="I226" s="65">
        <v>0.08</v>
      </c>
      <c r="J226" s="65">
        <v>0.08</v>
      </c>
      <c r="K226" s="65">
        <v>0.07</v>
      </c>
      <c r="L226" s="65">
        <v>0.07</v>
      </c>
      <c r="M226" s="65">
        <v>0.06</v>
      </c>
      <c r="N226" s="65">
        <v>0.06</v>
      </c>
      <c r="O226" s="65">
        <v>0.05</v>
      </c>
      <c r="P226" s="65">
        <v>0.05</v>
      </c>
      <c r="Q226" s="65">
        <v>0.05</v>
      </c>
      <c r="R226" s="65">
        <v>0.04</v>
      </c>
      <c r="S226" s="65">
        <v>0.04</v>
      </c>
      <c r="T226" s="65">
        <v>0.04</v>
      </c>
      <c r="U226" s="65">
        <v>0.04</v>
      </c>
      <c r="V226" s="65">
        <v>0.03</v>
      </c>
      <c r="W226" s="65">
        <v>0.03</v>
      </c>
      <c r="X226" s="65">
        <v>0.03</v>
      </c>
      <c r="Y226" s="65">
        <v>0.03</v>
      </c>
      <c r="Z226" s="65">
        <v>0.03</v>
      </c>
      <c r="AA226" s="65">
        <v>0.02</v>
      </c>
      <c r="AB226" s="65">
        <v>0.02</v>
      </c>
      <c r="AC226" s="58"/>
      <c r="AD226" s="58"/>
      <c r="CL226" s="52">
        <f t="shared" ref="CL226:DJ226" si="210">ROUND($CL28*E226,0)</f>
        <v>0</v>
      </c>
      <c r="CM226" s="52">
        <f t="shared" si="210"/>
        <v>0</v>
      </c>
      <c r="CN226" s="52">
        <f t="shared" si="210"/>
        <v>0</v>
      </c>
      <c r="CO226" s="52">
        <f t="shared" si="210"/>
        <v>0</v>
      </c>
      <c r="CP226" s="52">
        <f t="shared" si="210"/>
        <v>2</v>
      </c>
      <c r="CQ226" s="52">
        <f t="shared" si="210"/>
        <v>2</v>
      </c>
      <c r="CR226" s="52">
        <f t="shared" si="210"/>
        <v>1</v>
      </c>
      <c r="CS226" s="52">
        <f t="shared" si="210"/>
        <v>1</v>
      </c>
      <c r="CT226" s="52">
        <f t="shared" si="210"/>
        <v>1</v>
      </c>
      <c r="CU226" s="52">
        <f t="shared" si="210"/>
        <v>1</v>
      </c>
      <c r="CV226" s="52">
        <f t="shared" si="210"/>
        <v>1</v>
      </c>
      <c r="CW226" s="52">
        <f t="shared" si="210"/>
        <v>1</v>
      </c>
      <c r="CX226" s="52">
        <f t="shared" si="210"/>
        <v>1</v>
      </c>
      <c r="CY226" s="52">
        <f t="shared" si="210"/>
        <v>1</v>
      </c>
      <c r="CZ226" s="52">
        <f t="shared" si="210"/>
        <v>1</v>
      </c>
      <c r="DA226" s="52">
        <f t="shared" si="210"/>
        <v>1</v>
      </c>
      <c r="DB226" s="52">
        <f t="shared" si="210"/>
        <v>1</v>
      </c>
      <c r="DC226" s="52">
        <f t="shared" si="210"/>
        <v>1</v>
      </c>
      <c r="DD226" s="52">
        <f t="shared" si="210"/>
        <v>1</v>
      </c>
      <c r="DE226" s="52">
        <f t="shared" si="210"/>
        <v>1</v>
      </c>
      <c r="DF226" s="52">
        <f t="shared" si="210"/>
        <v>1</v>
      </c>
      <c r="DG226" s="52">
        <f t="shared" si="210"/>
        <v>1</v>
      </c>
      <c r="DH226" s="52">
        <f t="shared" si="210"/>
        <v>0</v>
      </c>
      <c r="DI226" s="52">
        <f t="shared" si="210"/>
        <v>0</v>
      </c>
      <c r="DJ226" s="52">
        <f t="shared" si="210"/>
        <v>0</v>
      </c>
    </row>
    <row r="227" ht="15.75" customHeight="1">
      <c r="B227" s="52" t="s">
        <v>1792</v>
      </c>
      <c r="C227" s="52">
        <v>28.0</v>
      </c>
      <c r="D227" s="52" t="s">
        <v>1786</v>
      </c>
      <c r="E227" s="58"/>
      <c r="F227" s="58"/>
      <c r="G227" s="58"/>
      <c r="H227" s="65">
        <v>0.08</v>
      </c>
      <c r="I227" s="65">
        <v>0.08</v>
      </c>
      <c r="J227" s="65">
        <v>0.07</v>
      </c>
      <c r="K227" s="65">
        <v>0.07</v>
      </c>
      <c r="L227" s="65">
        <v>0.06</v>
      </c>
      <c r="M227" s="65">
        <v>0.06</v>
      </c>
      <c r="N227" s="65">
        <v>0.05</v>
      </c>
      <c r="O227" s="65">
        <v>0.05</v>
      </c>
      <c r="P227" s="65">
        <v>0.05</v>
      </c>
      <c r="Q227" s="65">
        <v>0.04</v>
      </c>
      <c r="R227" s="65">
        <v>0.04</v>
      </c>
      <c r="S227" s="65">
        <v>0.04</v>
      </c>
      <c r="T227" s="65">
        <v>0.04</v>
      </c>
      <c r="U227" s="65">
        <v>0.03</v>
      </c>
      <c r="V227" s="65">
        <v>0.03</v>
      </c>
      <c r="W227" s="65">
        <v>0.03</v>
      </c>
      <c r="X227" s="65">
        <v>0.03</v>
      </c>
      <c r="Y227" s="65">
        <v>0.03</v>
      </c>
      <c r="Z227" s="65">
        <v>0.02</v>
      </c>
      <c r="AA227" s="65">
        <v>0.02</v>
      </c>
      <c r="AB227" s="65">
        <v>0.03</v>
      </c>
      <c r="AC227" s="65">
        <v>0.03</v>
      </c>
      <c r="AD227" s="65">
        <v>0.02</v>
      </c>
      <c r="CL227" s="52">
        <f t="shared" ref="CL227:DJ227" si="211">ROUND($CL29*E227,0)</f>
        <v>0</v>
      </c>
      <c r="CM227" s="52">
        <f t="shared" si="211"/>
        <v>0</v>
      </c>
      <c r="CN227" s="52">
        <f t="shared" si="211"/>
        <v>0</v>
      </c>
      <c r="CO227" s="52">
        <f t="shared" si="211"/>
        <v>3</v>
      </c>
      <c r="CP227" s="52">
        <f t="shared" si="211"/>
        <v>3</v>
      </c>
      <c r="CQ227" s="52">
        <f t="shared" si="211"/>
        <v>3</v>
      </c>
      <c r="CR227" s="52">
        <f t="shared" si="211"/>
        <v>3</v>
      </c>
      <c r="CS227" s="52">
        <f t="shared" si="211"/>
        <v>2</v>
      </c>
      <c r="CT227" s="52">
        <f t="shared" si="211"/>
        <v>2</v>
      </c>
      <c r="CU227" s="52">
        <f t="shared" si="211"/>
        <v>2</v>
      </c>
      <c r="CV227" s="52">
        <f t="shared" si="211"/>
        <v>2</v>
      </c>
      <c r="CW227" s="52">
        <f t="shared" si="211"/>
        <v>2</v>
      </c>
      <c r="CX227" s="52">
        <f t="shared" si="211"/>
        <v>1</v>
      </c>
      <c r="CY227" s="52">
        <f t="shared" si="211"/>
        <v>1</v>
      </c>
      <c r="CZ227" s="52">
        <f t="shared" si="211"/>
        <v>1</v>
      </c>
      <c r="DA227" s="52">
        <f t="shared" si="211"/>
        <v>1</v>
      </c>
      <c r="DB227" s="52">
        <f t="shared" si="211"/>
        <v>1</v>
      </c>
      <c r="DC227" s="52">
        <f t="shared" si="211"/>
        <v>1</v>
      </c>
      <c r="DD227" s="52">
        <f t="shared" si="211"/>
        <v>1</v>
      </c>
      <c r="DE227" s="52">
        <f t="shared" si="211"/>
        <v>1</v>
      </c>
      <c r="DF227" s="52">
        <f t="shared" si="211"/>
        <v>1</v>
      </c>
      <c r="DG227" s="52">
        <f t="shared" si="211"/>
        <v>1</v>
      </c>
      <c r="DH227" s="52">
        <f t="shared" si="211"/>
        <v>1</v>
      </c>
      <c r="DI227" s="52">
        <f t="shared" si="211"/>
        <v>1</v>
      </c>
      <c r="DJ227" s="52">
        <f t="shared" si="211"/>
        <v>1</v>
      </c>
    </row>
    <row r="228" ht="15.75" customHeight="1">
      <c r="B228" s="52" t="s">
        <v>1792</v>
      </c>
      <c r="C228" s="52">
        <v>28.0</v>
      </c>
      <c r="D228" s="52" t="s">
        <v>1787</v>
      </c>
      <c r="E228" s="58"/>
      <c r="F228" s="58"/>
      <c r="G228" s="58"/>
      <c r="H228" s="58"/>
      <c r="I228" s="58"/>
      <c r="J228" s="65">
        <v>0.08</v>
      </c>
      <c r="K228" s="65">
        <v>0.08</v>
      </c>
      <c r="L228" s="65">
        <v>0.07</v>
      </c>
      <c r="M228" s="65">
        <v>0.07</v>
      </c>
      <c r="N228" s="65">
        <v>0.06</v>
      </c>
      <c r="O228" s="65">
        <v>0.06</v>
      </c>
      <c r="P228" s="65">
        <v>0.05</v>
      </c>
      <c r="Q228" s="65">
        <v>0.05</v>
      </c>
      <c r="R228" s="65">
        <v>0.05</v>
      </c>
      <c r="S228" s="65">
        <v>0.04</v>
      </c>
      <c r="T228" s="65">
        <v>0.04</v>
      </c>
      <c r="U228" s="65">
        <v>0.04</v>
      </c>
      <c r="V228" s="65">
        <v>0.04</v>
      </c>
      <c r="W228" s="65">
        <v>0.03</v>
      </c>
      <c r="X228" s="65">
        <v>0.03</v>
      </c>
      <c r="Y228" s="65">
        <v>0.03</v>
      </c>
      <c r="Z228" s="65">
        <v>0.03</v>
      </c>
      <c r="AA228" s="65">
        <v>0.03</v>
      </c>
      <c r="AB228" s="65">
        <v>0.02</v>
      </c>
      <c r="AC228" s="65">
        <v>0.02</v>
      </c>
      <c r="AD228" s="65">
        <v>0.03</v>
      </c>
      <c r="CL228" s="52">
        <f t="shared" ref="CL228:DJ228" si="212">ROUND($CL30*E228,0)</f>
        <v>0</v>
      </c>
      <c r="CM228" s="52">
        <f t="shared" si="212"/>
        <v>0</v>
      </c>
      <c r="CN228" s="52">
        <f t="shared" si="212"/>
        <v>0</v>
      </c>
      <c r="CO228" s="52">
        <f t="shared" si="212"/>
        <v>0</v>
      </c>
      <c r="CP228" s="52">
        <f t="shared" si="212"/>
        <v>0</v>
      </c>
      <c r="CQ228" s="52">
        <f t="shared" si="212"/>
        <v>1</v>
      </c>
      <c r="CR228" s="52">
        <f t="shared" si="212"/>
        <v>1</v>
      </c>
      <c r="CS228" s="52">
        <f t="shared" si="212"/>
        <v>0</v>
      </c>
      <c r="CT228" s="52">
        <f t="shared" si="212"/>
        <v>0</v>
      </c>
      <c r="CU228" s="52">
        <f t="shared" si="212"/>
        <v>0</v>
      </c>
      <c r="CV228" s="52">
        <f t="shared" si="212"/>
        <v>0</v>
      </c>
      <c r="CW228" s="52">
        <f t="shared" si="212"/>
        <v>0</v>
      </c>
      <c r="CX228" s="52">
        <f t="shared" si="212"/>
        <v>0</v>
      </c>
      <c r="CY228" s="52">
        <f t="shared" si="212"/>
        <v>0</v>
      </c>
      <c r="CZ228" s="52">
        <f t="shared" si="212"/>
        <v>0</v>
      </c>
      <c r="DA228" s="52">
        <f t="shared" si="212"/>
        <v>0</v>
      </c>
      <c r="DB228" s="52">
        <f t="shared" si="212"/>
        <v>0</v>
      </c>
      <c r="DC228" s="52">
        <f t="shared" si="212"/>
        <v>0</v>
      </c>
      <c r="DD228" s="52">
        <f t="shared" si="212"/>
        <v>0</v>
      </c>
      <c r="DE228" s="52">
        <f t="shared" si="212"/>
        <v>0</v>
      </c>
      <c r="DF228" s="52">
        <f t="shared" si="212"/>
        <v>0</v>
      </c>
      <c r="DG228" s="52">
        <f t="shared" si="212"/>
        <v>0</v>
      </c>
      <c r="DH228" s="52">
        <f t="shared" si="212"/>
        <v>0</v>
      </c>
      <c r="DI228" s="52">
        <f t="shared" si="212"/>
        <v>0</v>
      </c>
      <c r="DJ228" s="52">
        <f t="shared" si="212"/>
        <v>0</v>
      </c>
    </row>
    <row r="229" ht="15.75" customHeight="1">
      <c r="B229" s="52" t="s">
        <v>1792</v>
      </c>
      <c r="C229" s="52">
        <v>28.0</v>
      </c>
      <c r="D229" s="52" t="s">
        <v>1788</v>
      </c>
      <c r="E229" s="58"/>
      <c r="F229" s="58"/>
      <c r="G229" s="58"/>
      <c r="H229" s="58"/>
      <c r="I229" s="58"/>
      <c r="J229" s="58"/>
      <c r="K229" s="65">
        <v>0.08</v>
      </c>
      <c r="L229" s="65">
        <v>0.08</v>
      </c>
      <c r="M229" s="65">
        <v>0.07</v>
      </c>
      <c r="N229" s="65">
        <v>0.07</v>
      </c>
      <c r="O229" s="65">
        <v>0.06</v>
      </c>
      <c r="P229" s="65">
        <v>0.06</v>
      </c>
      <c r="Q229" s="65">
        <v>0.05</v>
      </c>
      <c r="R229" s="65">
        <v>0.05</v>
      </c>
      <c r="S229" s="65">
        <v>0.05</v>
      </c>
      <c r="T229" s="65">
        <v>0.04</v>
      </c>
      <c r="U229" s="65">
        <v>0.04</v>
      </c>
      <c r="V229" s="65">
        <v>0.04</v>
      </c>
      <c r="W229" s="65">
        <v>0.04</v>
      </c>
      <c r="X229" s="65">
        <v>0.03</v>
      </c>
      <c r="Y229" s="65">
        <v>0.03</v>
      </c>
      <c r="Z229" s="65">
        <v>0.03</v>
      </c>
      <c r="AA229" s="65">
        <v>0.03</v>
      </c>
      <c r="AB229" s="65">
        <v>0.03</v>
      </c>
      <c r="AC229" s="65">
        <v>0.02</v>
      </c>
      <c r="AD229" s="65">
        <v>0.02</v>
      </c>
      <c r="CL229" s="52">
        <f t="shared" ref="CL229:DJ229" si="213">ROUND($CL31*E229,0)</f>
        <v>0</v>
      </c>
      <c r="CM229" s="52">
        <f t="shared" si="213"/>
        <v>0</v>
      </c>
      <c r="CN229" s="52">
        <f t="shared" si="213"/>
        <v>0</v>
      </c>
      <c r="CO229" s="52">
        <f t="shared" si="213"/>
        <v>0</v>
      </c>
      <c r="CP229" s="52">
        <f t="shared" si="213"/>
        <v>0</v>
      </c>
      <c r="CQ229" s="52">
        <f t="shared" si="213"/>
        <v>0</v>
      </c>
      <c r="CR229" s="52">
        <f t="shared" si="213"/>
        <v>0</v>
      </c>
      <c r="CS229" s="52">
        <f t="shared" si="213"/>
        <v>0</v>
      </c>
      <c r="CT229" s="52">
        <f t="shared" si="213"/>
        <v>0</v>
      </c>
      <c r="CU229" s="52">
        <f t="shared" si="213"/>
        <v>0</v>
      </c>
      <c r="CV229" s="52">
        <f t="shared" si="213"/>
        <v>0</v>
      </c>
      <c r="CW229" s="52">
        <f t="shared" si="213"/>
        <v>0</v>
      </c>
      <c r="CX229" s="52">
        <f t="shared" si="213"/>
        <v>0</v>
      </c>
      <c r="CY229" s="52">
        <f t="shared" si="213"/>
        <v>0</v>
      </c>
      <c r="CZ229" s="52">
        <f t="shared" si="213"/>
        <v>0</v>
      </c>
      <c r="DA229" s="52">
        <f t="shared" si="213"/>
        <v>0</v>
      </c>
      <c r="DB229" s="52">
        <f t="shared" si="213"/>
        <v>0</v>
      </c>
      <c r="DC229" s="52">
        <f t="shared" si="213"/>
        <v>0</v>
      </c>
      <c r="DD229" s="52">
        <f t="shared" si="213"/>
        <v>0</v>
      </c>
      <c r="DE229" s="52">
        <f t="shared" si="213"/>
        <v>0</v>
      </c>
      <c r="DF229" s="52">
        <f t="shared" si="213"/>
        <v>0</v>
      </c>
      <c r="DG229" s="52">
        <f t="shared" si="213"/>
        <v>0</v>
      </c>
      <c r="DH229" s="52">
        <f t="shared" si="213"/>
        <v>0</v>
      </c>
      <c r="DI229" s="52">
        <f t="shared" si="213"/>
        <v>0</v>
      </c>
      <c r="DJ229" s="52">
        <f t="shared" si="213"/>
        <v>0</v>
      </c>
    </row>
    <row r="230" ht="15.75" customHeight="1">
      <c r="B230" s="52" t="s">
        <v>1792</v>
      </c>
      <c r="C230" s="52">
        <v>28.0</v>
      </c>
      <c r="D230" s="52" t="s">
        <v>1789</v>
      </c>
      <c r="E230" s="58"/>
      <c r="F230" s="58"/>
      <c r="G230" s="58"/>
      <c r="H230" s="58"/>
      <c r="I230" s="58"/>
      <c r="J230" s="58"/>
      <c r="K230" s="58"/>
      <c r="L230" s="65">
        <v>0.08</v>
      </c>
      <c r="M230" s="65">
        <v>0.08</v>
      </c>
      <c r="N230" s="65">
        <v>0.07</v>
      </c>
      <c r="O230" s="65">
        <v>0.07</v>
      </c>
      <c r="P230" s="65">
        <v>0.06</v>
      </c>
      <c r="Q230" s="65">
        <v>0.06</v>
      </c>
      <c r="R230" s="65">
        <v>0.05</v>
      </c>
      <c r="S230" s="65">
        <v>0.05</v>
      </c>
      <c r="T230" s="65">
        <v>0.05</v>
      </c>
      <c r="U230" s="65">
        <v>0.04</v>
      </c>
      <c r="V230" s="65">
        <v>0.04</v>
      </c>
      <c r="W230" s="65">
        <v>0.04</v>
      </c>
      <c r="X230" s="65">
        <v>0.04</v>
      </c>
      <c r="Y230" s="65">
        <v>0.03</v>
      </c>
      <c r="Z230" s="65">
        <v>0.03</v>
      </c>
      <c r="AA230" s="65">
        <v>0.03</v>
      </c>
      <c r="AB230" s="65">
        <v>0.03</v>
      </c>
      <c r="AC230" s="65">
        <v>0.03</v>
      </c>
      <c r="AD230" s="65">
        <v>0.02</v>
      </c>
      <c r="CL230" s="52">
        <f t="shared" ref="CL230:DJ230" si="214">ROUND($CL32*E230,0)</f>
        <v>0</v>
      </c>
      <c r="CM230" s="52">
        <f t="shared" si="214"/>
        <v>0</v>
      </c>
      <c r="CN230" s="52">
        <f t="shared" si="214"/>
        <v>0</v>
      </c>
      <c r="CO230" s="52">
        <f t="shared" si="214"/>
        <v>0</v>
      </c>
      <c r="CP230" s="52">
        <f t="shared" si="214"/>
        <v>0</v>
      </c>
      <c r="CQ230" s="52">
        <f t="shared" si="214"/>
        <v>0</v>
      </c>
      <c r="CR230" s="52">
        <f t="shared" si="214"/>
        <v>0</v>
      </c>
      <c r="CS230" s="52">
        <f t="shared" si="214"/>
        <v>1</v>
      </c>
      <c r="CT230" s="52">
        <f t="shared" si="214"/>
        <v>1</v>
      </c>
      <c r="CU230" s="52">
        <f t="shared" si="214"/>
        <v>1</v>
      </c>
      <c r="CV230" s="52">
        <f t="shared" si="214"/>
        <v>1</v>
      </c>
      <c r="CW230" s="52">
        <f t="shared" si="214"/>
        <v>1</v>
      </c>
      <c r="CX230" s="52">
        <f t="shared" si="214"/>
        <v>1</v>
      </c>
      <c r="CY230" s="52">
        <f t="shared" si="214"/>
        <v>1</v>
      </c>
      <c r="CZ230" s="52">
        <f t="shared" si="214"/>
        <v>1</v>
      </c>
      <c r="DA230" s="52">
        <f t="shared" si="214"/>
        <v>1</v>
      </c>
      <c r="DB230" s="52">
        <f t="shared" si="214"/>
        <v>0</v>
      </c>
      <c r="DC230" s="52">
        <f t="shared" si="214"/>
        <v>0</v>
      </c>
      <c r="DD230" s="52">
        <f t="shared" si="214"/>
        <v>0</v>
      </c>
      <c r="DE230" s="52">
        <f t="shared" si="214"/>
        <v>0</v>
      </c>
      <c r="DF230" s="52">
        <f t="shared" si="214"/>
        <v>0</v>
      </c>
      <c r="DG230" s="52">
        <f t="shared" si="214"/>
        <v>0</v>
      </c>
      <c r="DH230" s="52">
        <f t="shared" si="214"/>
        <v>0</v>
      </c>
      <c r="DI230" s="52">
        <f t="shared" si="214"/>
        <v>0</v>
      </c>
      <c r="DJ230" s="52">
        <f t="shared" si="214"/>
        <v>0</v>
      </c>
    </row>
    <row r="231" ht="15.75" customHeight="1">
      <c r="B231" s="52" t="s">
        <v>1792</v>
      </c>
      <c r="C231" s="52">
        <v>28.0</v>
      </c>
      <c r="D231" s="52" t="s">
        <v>1790</v>
      </c>
      <c r="E231" s="58"/>
      <c r="F231" s="58"/>
      <c r="G231" s="58"/>
      <c r="H231" s="58"/>
      <c r="I231" s="58"/>
      <c r="J231" s="58"/>
      <c r="K231" s="58"/>
      <c r="L231" s="58"/>
      <c r="M231" s="58"/>
      <c r="N231" s="65">
        <v>0.08</v>
      </c>
      <c r="O231" s="65">
        <v>0.08</v>
      </c>
      <c r="P231" s="65">
        <v>0.07</v>
      </c>
      <c r="Q231" s="65">
        <v>0.07</v>
      </c>
      <c r="R231" s="65">
        <v>0.06</v>
      </c>
      <c r="S231" s="65">
        <v>0.06</v>
      </c>
      <c r="T231" s="65">
        <v>0.05</v>
      </c>
      <c r="U231" s="65">
        <v>0.05</v>
      </c>
      <c r="V231" s="65">
        <v>0.05</v>
      </c>
      <c r="W231" s="65">
        <v>0.04</v>
      </c>
      <c r="X231" s="65">
        <v>0.04</v>
      </c>
      <c r="Y231" s="65">
        <v>0.04</v>
      </c>
      <c r="Z231" s="65">
        <v>0.04</v>
      </c>
      <c r="AA231" s="65">
        <v>0.03</v>
      </c>
      <c r="AB231" s="65">
        <v>0.03</v>
      </c>
      <c r="AC231" s="65">
        <v>0.03</v>
      </c>
      <c r="AD231" s="65">
        <v>0.03</v>
      </c>
      <c r="CL231" s="52">
        <f t="shared" ref="CL231:DJ231" si="215">ROUND($CL33*E231,0)</f>
        <v>0</v>
      </c>
      <c r="CM231" s="52">
        <f t="shared" si="215"/>
        <v>0</v>
      </c>
      <c r="CN231" s="52">
        <f t="shared" si="215"/>
        <v>0</v>
      </c>
      <c r="CO231" s="52">
        <f t="shared" si="215"/>
        <v>0</v>
      </c>
      <c r="CP231" s="52">
        <f t="shared" si="215"/>
        <v>0</v>
      </c>
      <c r="CQ231" s="52">
        <f t="shared" si="215"/>
        <v>0</v>
      </c>
      <c r="CR231" s="52">
        <f t="shared" si="215"/>
        <v>0</v>
      </c>
      <c r="CS231" s="52">
        <f t="shared" si="215"/>
        <v>0</v>
      </c>
      <c r="CT231" s="52">
        <f t="shared" si="215"/>
        <v>0</v>
      </c>
      <c r="CU231" s="52">
        <f t="shared" si="215"/>
        <v>1</v>
      </c>
      <c r="CV231" s="52">
        <f t="shared" si="215"/>
        <v>1</v>
      </c>
      <c r="CW231" s="52">
        <f t="shared" si="215"/>
        <v>1</v>
      </c>
      <c r="CX231" s="52">
        <f t="shared" si="215"/>
        <v>1</v>
      </c>
      <c r="CY231" s="52">
        <f t="shared" si="215"/>
        <v>1</v>
      </c>
      <c r="CZ231" s="52">
        <f t="shared" si="215"/>
        <v>1</v>
      </c>
      <c r="DA231" s="52">
        <f t="shared" si="215"/>
        <v>1</v>
      </c>
      <c r="DB231" s="52">
        <f t="shared" si="215"/>
        <v>1</v>
      </c>
      <c r="DC231" s="52">
        <f t="shared" si="215"/>
        <v>1</v>
      </c>
      <c r="DD231" s="52">
        <f t="shared" si="215"/>
        <v>1</v>
      </c>
      <c r="DE231" s="52">
        <f t="shared" si="215"/>
        <v>1</v>
      </c>
      <c r="DF231" s="52">
        <f t="shared" si="215"/>
        <v>1</v>
      </c>
      <c r="DG231" s="52">
        <f t="shared" si="215"/>
        <v>1</v>
      </c>
      <c r="DH231" s="52">
        <f t="shared" si="215"/>
        <v>0</v>
      </c>
      <c r="DI231" s="52">
        <f t="shared" si="215"/>
        <v>0</v>
      </c>
      <c r="DJ231" s="52">
        <f t="shared" si="215"/>
        <v>0</v>
      </c>
    </row>
    <row r="232" ht="15.75" customHeight="1">
      <c r="B232" s="52" t="s">
        <v>1792</v>
      </c>
      <c r="C232" s="52">
        <v>29.0</v>
      </c>
      <c r="D232" s="52">
        <v>0.0</v>
      </c>
      <c r="E232" s="65">
        <v>0.07</v>
      </c>
      <c r="F232" s="65">
        <v>0.07</v>
      </c>
      <c r="G232" s="65">
        <v>0.07</v>
      </c>
      <c r="H232" s="65">
        <v>0.07</v>
      </c>
      <c r="I232" s="65">
        <v>0.07</v>
      </c>
      <c r="J232" s="65">
        <v>0.07</v>
      </c>
      <c r="K232" s="65">
        <v>0.07</v>
      </c>
      <c r="L232" s="65">
        <v>0.07</v>
      </c>
      <c r="M232" s="65">
        <v>0.07</v>
      </c>
      <c r="N232" s="65">
        <v>0.03</v>
      </c>
      <c r="O232" s="65">
        <v>0.03</v>
      </c>
      <c r="P232" s="65">
        <v>0.03</v>
      </c>
      <c r="Q232" s="65">
        <v>0.03</v>
      </c>
      <c r="R232" s="65">
        <v>0.03</v>
      </c>
      <c r="S232" s="65">
        <v>0.03</v>
      </c>
      <c r="T232" s="65">
        <v>0.03</v>
      </c>
      <c r="U232" s="65">
        <v>0.02</v>
      </c>
      <c r="V232" s="65">
        <v>0.02</v>
      </c>
      <c r="W232" s="65">
        <v>0.02</v>
      </c>
      <c r="X232" s="65">
        <v>0.02</v>
      </c>
      <c r="Y232" s="65">
        <v>0.02</v>
      </c>
      <c r="Z232" s="65">
        <v>0.02</v>
      </c>
      <c r="AA232" s="65">
        <v>0.02</v>
      </c>
      <c r="AB232" s="65">
        <v>0.02</v>
      </c>
      <c r="AC232" s="58"/>
      <c r="AD232" s="58"/>
      <c r="CM232" s="52">
        <f t="shared" ref="CM232:DJ232" si="216">ROUND($CM27*E232,0)</f>
        <v>14</v>
      </c>
      <c r="CN232" s="52">
        <f t="shared" si="216"/>
        <v>14</v>
      </c>
      <c r="CO232" s="52">
        <f t="shared" si="216"/>
        <v>14</v>
      </c>
      <c r="CP232" s="52">
        <f t="shared" si="216"/>
        <v>14</v>
      </c>
      <c r="CQ232" s="52">
        <f t="shared" si="216"/>
        <v>14</v>
      </c>
      <c r="CR232" s="52">
        <f t="shared" si="216"/>
        <v>14</v>
      </c>
      <c r="CS232" s="52">
        <f t="shared" si="216"/>
        <v>14</v>
      </c>
      <c r="CT232" s="52">
        <f t="shared" si="216"/>
        <v>14</v>
      </c>
      <c r="CU232" s="52">
        <f t="shared" si="216"/>
        <v>14</v>
      </c>
      <c r="CV232" s="52">
        <f t="shared" si="216"/>
        <v>6</v>
      </c>
      <c r="CW232" s="52">
        <f t="shared" si="216"/>
        <v>6</v>
      </c>
      <c r="CX232" s="52">
        <f t="shared" si="216"/>
        <v>6</v>
      </c>
      <c r="CY232" s="52">
        <f t="shared" si="216"/>
        <v>6</v>
      </c>
      <c r="CZ232" s="52">
        <f t="shared" si="216"/>
        <v>6</v>
      </c>
      <c r="DA232" s="52">
        <f t="shared" si="216"/>
        <v>6</v>
      </c>
      <c r="DB232" s="52">
        <f t="shared" si="216"/>
        <v>6</v>
      </c>
      <c r="DC232" s="52">
        <f t="shared" si="216"/>
        <v>4</v>
      </c>
      <c r="DD232" s="52">
        <f t="shared" si="216"/>
        <v>4</v>
      </c>
      <c r="DE232" s="52">
        <f t="shared" si="216"/>
        <v>4</v>
      </c>
      <c r="DF232" s="52">
        <f t="shared" si="216"/>
        <v>4</v>
      </c>
      <c r="DG232" s="52">
        <f t="shared" si="216"/>
        <v>4</v>
      </c>
      <c r="DH232" s="52">
        <f t="shared" si="216"/>
        <v>4</v>
      </c>
      <c r="DI232" s="52">
        <f t="shared" si="216"/>
        <v>4</v>
      </c>
      <c r="DJ232" s="52">
        <f t="shared" si="216"/>
        <v>4</v>
      </c>
    </row>
    <row r="233" ht="15.75" customHeight="1">
      <c r="B233" s="52" t="s">
        <v>1792</v>
      </c>
      <c r="C233" s="52">
        <v>29.0</v>
      </c>
      <c r="D233" s="52" t="s">
        <v>1785</v>
      </c>
      <c r="E233" s="65">
        <v>0.02</v>
      </c>
      <c r="F233" s="65">
        <v>0.02</v>
      </c>
      <c r="G233" s="65">
        <v>0.02</v>
      </c>
      <c r="H233" s="65">
        <v>0.02</v>
      </c>
      <c r="I233" s="65">
        <v>0.08</v>
      </c>
      <c r="J233" s="65">
        <v>0.08</v>
      </c>
      <c r="K233" s="65">
        <v>0.07</v>
      </c>
      <c r="L233" s="65">
        <v>0.07</v>
      </c>
      <c r="M233" s="65">
        <v>0.06</v>
      </c>
      <c r="N233" s="65">
        <v>0.06</v>
      </c>
      <c r="O233" s="65">
        <v>0.05</v>
      </c>
      <c r="P233" s="65">
        <v>0.05</v>
      </c>
      <c r="Q233" s="65">
        <v>0.05</v>
      </c>
      <c r="R233" s="65">
        <v>0.04</v>
      </c>
      <c r="S233" s="65">
        <v>0.04</v>
      </c>
      <c r="T233" s="65">
        <v>0.04</v>
      </c>
      <c r="U233" s="65">
        <v>0.04</v>
      </c>
      <c r="V233" s="65">
        <v>0.03</v>
      </c>
      <c r="W233" s="65">
        <v>0.03</v>
      </c>
      <c r="X233" s="65">
        <v>0.03</v>
      </c>
      <c r="Y233" s="65">
        <v>0.03</v>
      </c>
      <c r="Z233" s="65">
        <v>0.03</v>
      </c>
      <c r="AA233" s="65">
        <v>0.02</v>
      </c>
      <c r="AB233" s="65">
        <v>0.02</v>
      </c>
      <c r="AC233" s="58"/>
      <c r="AD233" s="58"/>
      <c r="CM233" s="52">
        <f t="shared" ref="CM233:DJ233" si="217">ROUND($CM28*E233,0)</f>
        <v>0</v>
      </c>
      <c r="CN233" s="52">
        <f t="shared" si="217"/>
        <v>0</v>
      </c>
      <c r="CO233" s="52">
        <f t="shared" si="217"/>
        <v>0</v>
      </c>
      <c r="CP233" s="52">
        <f t="shared" si="217"/>
        <v>0</v>
      </c>
      <c r="CQ233" s="52">
        <f t="shared" si="217"/>
        <v>2</v>
      </c>
      <c r="CR233" s="52">
        <f t="shared" si="217"/>
        <v>2</v>
      </c>
      <c r="CS233" s="52">
        <f t="shared" si="217"/>
        <v>1</v>
      </c>
      <c r="CT233" s="52">
        <f t="shared" si="217"/>
        <v>1</v>
      </c>
      <c r="CU233" s="52">
        <f t="shared" si="217"/>
        <v>1</v>
      </c>
      <c r="CV233" s="52">
        <f t="shared" si="217"/>
        <v>1</v>
      </c>
      <c r="CW233" s="52">
        <f t="shared" si="217"/>
        <v>1</v>
      </c>
      <c r="CX233" s="52">
        <f t="shared" si="217"/>
        <v>1</v>
      </c>
      <c r="CY233" s="52">
        <f t="shared" si="217"/>
        <v>1</v>
      </c>
      <c r="CZ233" s="52">
        <f t="shared" si="217"/>
        <v>1</v>
      </c>
      <c r="DA233" s="52">
        <f t="shared" si="217"/>
        <v>1</v>
      </c>
      <c r="DB233" s="52">
        <f t="shared" si="217"/>
        <v>1</v>
      </c>
      <c r="DC233" s="52">
        <f t="shared" si="217"/>
        <v>1</v>
      </c>
      <c r="DD233" s="52">
        <f t="shared" si="217"/>
        <v>1</v>
      </c>
      <c r="DE233" s="52">
        <f t="shared" si="217"/>
        <v>1</v>
      </c>
      <c r="DF233" s="52">
        <f t="shared" si="217"/>
        <v>1</v>
      </c>
      <c r="DG233" s="52">
        <f t="shared" si="217"/>
        <v>1</v>
      </c>
      <c r="DH233" s="52">
        <f t="shared" si="217"/>
        <v>1</v>
      </c>
      <c r="DI233" s="52">
        <f t="shared" si="217"/>
        <v>0</v>
      </c>
      <c r="DJ233" s="52">
        <f t="shared" si="217"/>
        <v>0</v>
      </c>
    </row>
    <row r="234" ht="15.75" customHeight="1">
      <c r="B234" s="52" t="s">
        <v>1792</v>
      </c>
      <c r="C234" s="52">
        <v>29.0</v>
      </c>
      <c r="D234" s="52" t="s">
        <v>1786</v>
      </c>
      <c r="E234" s="58"/>
      <c r="F234" s="58"/>
      <c r="G234" s="58"/>
      <c r="H234" s="65">
        <v>0.08</v>
      </c>
      <c r="I234" s="65">
        <v>0.08</v>
      </c>
      <c r="J234" s="65">
        <v>0.07</v>
      </c>
      <c r="K234" s="65">
        <v>0.07</v>
      </c>
      <c r="L234" s="65">
        <v>0.06</v>
      </c>
      <c r="M234" s="65">
        <v>0.06</v>
      </c>
      <c r="N234" s="65">
        <v>0.05</v>
      </c>
      <c r="O234" s="65">
        <v>0.05</v>
      </c>
      <c r="P234" s="65">
        <v>0.05</v>
      </c>
      <c r="Q234" s="65">
        <v>0.04</v>
      </c>
      <c r="R234" s="65">
        <v>0.04</v>
      </c>
      <c r="S234" s="65">
        <v>0.04</v>
      </c>
      <c r="T234" s="65">
        <v>0.04</v>
      </c>
      <c r="U234" s="65">
        <v>0.03</v>
      </c>
      <c r="V234" s="65">
        <v>0.03</v>
      </c>
      <c r="W234" s="65">
        <v>0.03</v>
      </c>
      <c r="X234" s="65">
        <v>0.03</v>
      </c>
      <c r="Y234" s="65">
        <v>0.03</v>
      </c>
      <c r="Z234" s="65">
        <v>0.02</v>
      </c>
      <c r="AA234" s="65">
        <v>0.02</v>
      </c>
      <c r="AB234" s="65">
        <v>0.03</v>
      </c>
      <c r="AC234" s="65">
        <v>0.03</v>
      </c>
      <c r="AD234" s="65">
        <v>0.02</v>
      </c>
      <c r="CM234" s="52">
        <f t="shared" ref="CM234:DJ234" si="218">ROUND($CM29*E234,0)</f>
        <v>0</v>
      </c>
      <c r="CN234" s="52">
        <f t="shared" si="218"/>
        <v>0</v>
      </c>
      <c r="CO234" s="52">
        <f t="shared" si="218"/>
        <v>0</v>
      </c>
      <c r="CP234" s="52">
        <f t="shared" si="218"/>
        <v>3</v>
      </c>
      <c r="CQ234" s="52">
        <f t="shared" si="218"/>
        <v>3</v>
      </c>
      <c r="CR234" s="52">
        <f t="shared" si="218"/>
        <v>3</v>
      </c>
      <c r="CS234" s="52">
        <f t="shared" si="218"/>
        <v>3</v>
      </c>
      <c r="CT234" s="52">
        <f t="shared" si="218"/>
        <v>2</v>
      </c>
      <c r="CU234" s="52">
        <f t="shared" si="218"/>
        <v>2</v>
      </c>
      <c r="CV234" s="52">
        <f t="shared" si="218"/>
        <v>2</v>
      </c>
      <c r="CW234" s="52">
        <f t="shared" si="218"/>
        <v>2</v>
      </c>
      <c r="CX234" s="52">
        <f t="shared" si="218"/>
        <v>2</v>
      </c>
      <c r="CY234" s="52">
        <f t="shared" si="218"/>
        <v>1</v>
      </c>
      <c r="CZ234" s="52">
        <f t="shared" si="218"/>
        <v>1</v>
      </c>
      <c r="DA234" s="52">
        <f t="shared" si="218"/>
        <v>1</v>
      </c>
      <c r="DB234" s="52">
        <f t="shared" si="218"/>
        <v>1</v>
      </c>
      <c r="DC234" s="52">
        <f t="shared" si="218"/>
        <v>1</v>
      </c>
      <c r="DD234" s="52">
        <f t="shared" si="218"/>
        <v>1</v>
      </c>
      <c r="DE234" s="52">
        <f t="shared" si="218"/>
        <v>1</v>
      </c>
      <c r="DF234" s="52">
        <f t="shared" si="218"/>
        <v>1</v>
      </c>
      <c r="DG234" s="52">
        <f t="shared" si="218"/>
        <v>1</v>
      </c>
      <c r="DH234" s="52">
        <f t="shared" si="218"/>
        <v>1</v>
      </c>
      <c r="DI234" s="52">
        <f t="shared" si="218"/>
        <v>1</v>
      </c>
      <c r="DJ234" s="52">
        <f t="shared" si="218"/>
        <v>1</v>
      </c>
    </row>
    <row r="235" ht="15.75" customHeight="1">
      <c r="B235" s="52" t="s">
        <v>1792</v>
      </c>
      <c r="C235" s="52">
        <v>29.0</v>
      </c>
      <c r="D235" s="52" t="s">
        <v>1787</v>
      </c>
      <c r="E235" s="58"/>
      <c r="F235" s="58"/>
      <c r="G235" s="58"/>
      <c r="H235" s="58"/>
      <c r="I235" s="58"/>
      <c r="J235" s="65">
        <v>0.08</v>
      </c>
      <c r="K235" s="65">
        <v>0.08</v>
      </c>
      <c r="L235" s="65">
        <v>0.07</v>
      </c>
      <c r="M235" s="65">
        <v>0.07</v>
      </c>
      <c r="N235" s="65">
        <v>0.06</v>
      </c>
      <c r="O235" s="65">
        <v>0.06</v>
      </c>
      <c r="P235" s="65">
        <v>0.05</v>
      </c>
      <c r="Q235" s="65">
        <v>0.05</v>
      </c>
      <c r="R235" s="65">
        <v>0.05</v>
      </c>
      <c r="S235" s="65">
        <v>0.04</v>
      </c>
      <c r="T235" s="65">
        <v>0.04</v>
      </c>
      <c r="U235" s="65">
        <v>0.04</v>
      </c>
      <c r="V235" s="65">
        <v>0.04</v>
      </c>
      <c r="W235" s="65">
        <v>0.03</v>
      </c>
      <c r="X235" s="65">
        <v>0.03</v>
      </c>
      <c r="Y235" s="65">
        <v>0.03</v>
      </c>
      <c r="Z235" s="65">
        <v>0.03</v>
      </c>
      <c r="AA235" s="65">
        <v>0.03</v>
      </c>
      <c r="AB235" s="65">
        <v>0.02</v>
      </c>
      <c r="AC235" s="65">
        <v>0.02</v>
      </c>
      <c r="AD235" s="65">
        <v>0.03</v>
      </c>
      <c r="CM235" s="52">
        <f t="shared" ref="CM235:DJ235" si="219">ROUND($CM30*E235,0)</f>
        <v>0</v>
      </c>
      <c r="CN235" s="52">
        <f t="shared" si="219"/>
        <v>0</v>
      </c>
      <c r="CO235" s="52">
        <f t="shared" si="219"/>
        <v>0</v>
      </c>
      <c r="CP235" s="52">
        <f t="shared" si="219"/>
        <v>0</v>
      </c>
      <c r="CQ235" s="52">
        <f t="shared" si="219"/>
        <v>0</v>
      </c>
      <c r="CR235" s="52">
        <f t="shared" si="219"/>
        <v>1</v>
      </c>
      <c r="CS235" s="52">
        <f t="shared" si="219"/>
        <v>1</v>
      </c>
      <c r="CT235" s="52">
        <f t="shared" si="219"/>
        <v>0</v>
      </c>
      <c r="CU235" s="52">
        <f t="shared" si="219"/>
        <v>0</v>
      </c>
      <c r="CV235" s="52">
        <f t="shared" si="219"/>
        <v>0</v>
      </c>
      <c r="CW235" s="52">
        <f t="shared" si="219"/>
        <v>0</v>
      </c>
      <c r="CX235" s="52">
        <f t="shared" si="219"/>
        <v>0</v>
      </c>
      <c r="CY235" s="52">
        <f t="shared" si="219"/>
        <v>0</v>
      </c>
      <c r="CZ235" s="52">
        <f t="shared" si="219"/>
        <v>0</v>
      </c>
      <c r="DA235" s="52">
        <f t="shared" si="219"/>
        <v>0</v>
      </c>
      <c r="DB235" s="52">
        <f t="shared" si="219"/>
        <v>0</v>
      </c>
      <c r="DC235" s="52">
        <f t="shared" si="219"/>
        <v>0</v>
      </c>
      <c r="DD235" s="52">
        <f t="shared" si="219"/>
        <v>0</v>
      </c>
      <c r="DE235" s="52">
        <f t="shared" si="219"/>
        <v>0</v>
      </c>
      <c r="DF235" s="52">
        <f t="shared" si="219"/>
        <v>0</v>
      </c>
      <c r="DG235" s="52">
        <f t="shared" si="219"/>
        <v>0</v>
      </c>
      <c r="DH235" s="52">
        <f t="shared" si="219"/>
        <v>0</v>
      </c>
      <c r="DI235" s="52">
        <f t="shared" si="219"/>
        <v>0</v>
      </c>
      <c r="DJ235" s="52">
        <f t="shared" si="219"/>
        <v>0</v>
      </c>
    </row>
    <row r="236" ht="15.75" customHeight="1">
      <c r="B236" s="52" t="s">
        <v>1792</v>
      </c>
      <c r="C236" s="52">
        <v>29.0</v>
      </c>
      <c r="D236" s="52" t="s">
        <v>1788</v>
      </c>
      <c r="E236" s="58"/>
      <c r="F236" s="58"/>
      <c r="G236" s="58"/>
      <c r="H236" s="58"/>
      <c r="I236" s="58"/>
      <c r="J236" s="58"/>
      <c r="K236" s="65">
        <v>0.08</v>
      </c>
      <c r="L236" s="65">
        <v>0.08</v>
      </c>
      <c r="M236" s="65">
        <v>0.07</v>
      </c>
      <c r="N236" s="65">
        <v>0.07</v>
      </c>
      <c r="O236" s="65">
        <v>0.06</v>
      </c>
      <c r="P236" s="65">
        <v>0.06</v>
      </c>
      <c r="Q236" s="65">
        <v>0.05</v>
      </c>
      <c r="R236" s="65">
        <v>0.05</v>
      </c>
      <c r="S236" s="65">
        <v>0.05</v>
      </c>
      <c r="T236" s="65">
        <v>0.04</v>
      </c>
      <c r="U236" s="65">
        <v>0.04</v>
      </c>
      <c r="V236" s="65">
        <v>0.04</v>
      </c>
      <c r="W236" s="65">
        <v>0.04</v>
      </c>
      <c r="X236" s="65">
        <v>0.03</v>
      </c>
      <c r="Y236" s="65">
        <v>0.03</v>
      </c>
      <c r="Z236" s="65">
        <v>0.03</v>
      </c>
      <c r="AA236" s="65">
        <v>0.03</v>
      </c>
      <c r="AB236" s="65">
        <v>0.03</v>
      </c>
      <c r="AC236" s="65">
        <v>0.02</v>
      </c>
      <c r="AD236" s="65">
        <v>0.02</v>
      </c>
      <c r="CM236" s="52">
        <f t="shared" ref="CM236:DJ236" si="220">ROUND($CM31*E236,0)</f>
        <v>0</v>
      </c>
      <c r="CN236" s="52">
        <f t="shared" si="220"/>
        <v>0</v>
      </c>
      <c r="CO236" s="52">
        <f t="shared" si="220"/>
        <v>0</v>
      </c>
      <c r="CP236" s="52">
        <f t="shared" si="220"/>
        <v>0</v>
      </c>
      <c r="CQ236" s="52">
        <f t="shared" si="220"/>
        <v>0</v>
      </c>
      <c r="CR236" s="52">
        <f t="shared" si="220"/>
        <v>0</v>
      </c>
      <c r="CS236" s="52">
        <f t="shared" si="220"/>
        <v>0</v>
      </c>
      <c r="CT236" s="52">
        <f t="shared" si="220"/>
        <v>0</v>
      </c>
      <c r="CU236" s="52">
        <f t="shared" si="220"/>
        <v>0</v>
      </c>
      <c r="CV236" s="52">
        <f t="shared" si="220"/>
        <v>0</v>
      </c>
      <c r="CW236" s="52">
        <f t="shared" si="220"/>
        <v>0</v>
      </c>
      <c r="CX236" s="52">
        <f t="shared" si="220"/>
        <v>0</v>
      </c>
      <c r="CY236" s="52">
        <f t="shared" si="220"/>
        <v>0</v>
      </c>
      <c r="CZ236" s="52">
        <f t="shared" si="220"/>
        <v>0</v>
      </c>
      <c r="DA236" s="52">
        <f t="shared" si="220"/>
        <v>0</v>
      </c>
      <c r="DB236" s="52">
        <f t="shared" si="220"/>
        <v>0</v>
      </c>
      <c r="DC236" s="52">
        <f t="shared" si="220"/>
        <v>0</v>
      </c>
      <c r="DD236" s="52">
        <f t="shared" si="220"/>
        <v>0</v>
      </c>
      <c r="DE236" s="52">
        <f t="shared" si="220"/>
        <v>0</v>
      </c>
      <c r="DF236" s="52">
        <f t="shared" si="220"/>
        <v>0</v>
      </c>
      <c r="DG236" s="52">
        <f t="shared" si="220"/>
        <v>0</v>
      </c>
      <c r="DH236" s="52">
        <f t="shared" si="220"/>
        <v>0</v>
      </c>
      <c r="DI236" s="52">
        <f t="shared" si="220"/>
        <v>0</v>
      </c>
      <c r="DJ236" s="52">
        <f t="shared" si="220"/>
        <v>0</v>
      </c>
    </row>
    <row r="237" ht="15.75" customHeight="1">
      <c r="B237" s="52" t="s">
        <v>1792</v>
      </c>
      <c r="C237" s="52">
        <v>29.0</v>
      </c>
      <c r="D237" s="52" t="s">
        <v>1789</v>
      </c>
      <c r="E237" s="58"/>
      <c r="F237" s="58"/>
      <c r="G237" s="58"/>
      <c r="H237" s="58"/>
      <c r="I237" s="58"/>
      <c r="J237" s="58"/>
      <c r="K237" s="58"/>
      <c r="L237" s="65">
        <v>0.08</v>
      </c>
      <c r="M237" s="65">
        <v>0.08</v>
      </c>
      <c r="N237" s="65">
        <v>0.07</v>
      </c>
      <c r="O237" s="65">
        <v>0.07</v>
      </c>
      <c r="P237" s="65">
        <v>0.06</v>
      </c>
      <c r="Q237" s="65">
        <v>0.06</v>
      </c>
      <c r="R237" s="65">
        <v>0.05</v>
      </c>
      <c r="S237" s="65">
        <v>0.05</v>
      </c>
      <c r="T237" s="65">
        <v>0.05</v>
      </c>
      <c r="U237" s="65">
        <v>0.04</v>
      </c>
      <c r="V237" s="65">
        <v>0.04</v>
      </c>
      <c r="W237" s="65">
        <v>0.04</v>
      </c>
      <c r="X237" s="65">
        <v>0.04</v>
      </c>
      <c r="Y237" s="65">
        <v>0.03</v>
      </c>
      <c r="Z237" s="65">
        <v>0.03</v>
      </c>
      <c r="AA237" s="65">
        <v>0.03</v>
      </c>
      <c r="AB237" s="65">
        <v>0.03</v>
      </c>
      <c r="AC237" s="65">
        <v>0.03</v>
      </c>
      <c r="AD237" s="65">
        <v>0.02</v>
      </c>
      <c r="CM237" s="52">
        <f t="shared" ref="CM237:DJ237" si="221">ROUND($CM32*E237,0)</f>
        <v>0</v>
      </c>
      <c r="CN237" s="52">
        <f t="shared" si="221"/>
        <v>0</v>
      </c>
      <c r="CO237" s="52">
        <f t="shared" si="221"/>
        <v>0</v>
      </c>
      <c r="CP237" s="52">
        <f t="shared" si="221"/>
        <v>0</v>
      </c>
      <c r="CQ237" s="52">
        <f t="shared" si="221"/>
        <v>0</v>
      </c>
      <c r="CR237" s="52">
        <f t="shared" si="221"/>
        <v>0</v>
      </c>
      <c r="CS237" s="52">
        <f t="shared" si="221"/>
        <v>0</v>
      </c>
      <c r="CT237" s="52">
        <f t="shared" si="221"/>
        <v>1</v>
      </c>
      <c r="CU237" s="52">
        <f t="shared" si="221"/>
        <v>1</v>
      </c>
      <c r="CV237" s="52">
        <f t="shared" si="221"/>
        <v>1</v>
      </c>
      <c r="CW237" s="52">
        <f t="shared" si="221"/>
        <v>1</v>
      </c>
      <c r="CX237" s="52">
        <f t="shared" si="221"/>
        <v>1</v>
      </c>
      <c r="CY237" s="52">
        <f t="shared" si="221"/>
        <v>1</v>
      </c>
      <c r="CZ237" s="52">
        <f t="shared" si="221"/>
        <v>1</v>
      </c>
      <c r="DA237" s="52">
        <f t="shared" si="221"/>
        <v>1</v>
      </c>
      <c r="DB237" s="52">
        <f t="shared" si="221"/>
        <v>1</v>
      </c>
      <c r="DC237" s="52">
        <f t="shared" si="221"/>
        <v>0</v>
      </c>
      <c r="DD237" s="52">
        <f t="shared" si="221"/>
        <v>0</v>
      </c>
      <c r="DE237" s="52">
        <f t="shared" si="221"/>
        <v>0</v>
      </c>
      <c r="DF237" s="52">
        <f t="shared" si="221"/>
        <v>0</v>
      </c>
      <c r="DG237" s="52">
        <f t="shared" si="221"/>
        <v>0</v>
      </c>
      <c r="DH237" s="52">
        <f t="shared" si="221"/>
        <v>0</v>
      </c>
      <c r="DI237" s="52">
        <f t="shared" si="221"/>
        <v>0</v>
      </c>
      <c r="DJ237" s="52">
        <f t="shared" si="221"/>
        <v>0</v>
      </c>
    </row>
    <row r="238" ht="15.75" customHeight="1">
      <c r="B238" s="52" t="s">
        <v>1792</v>
      </c>
      <c r="C238" s="52">
        <v>29.0</v>
      </c>
      <c r="D238" s="52" t="s">
        <v>1790</v>
      </c>
      <c r="E238" s="58"/>
      <c r="F238" s="58"/>
      <c r="G238" s="58"/>
      <c r="H238" s="58"/>
      <c r="I238" s="58"/>
      <c r="J238" s="58"/>
      <c r="K238" s="58"/>
      <c r="L238" s="58"/>
      <c r="M238" s="58"/>
      <c r="N238" s="65">
        <v>0.08</v>
      </c>
      <c r="O238" s="65">
        <v>0.08</v>
      </c>
      <c r="P238" s="65">
        <v>0.07</v>
      </c>
      <c r="Q238" s="65">
        <v>0.07</v>
      </c>
      <c r="R238" s="65">
        <v>0.06</v>
      </c>
      <c r="S238" s="65">
        <v>0.06</v>
      </c>
      <c r="T238" s="65">
        <v>0.05</v>
      </c>
      <c r="U238" s="65">
        <v>0.05</v>
      </c>
      <c r="V238" s="65">
        <v>0.05</v>
      </c>
      <c r="W238" s="65">
        <v>0.04</v>
      </c>
      <c r="X238" s="65">
        <v>0.04</v>
      </c>
      <c r="Y238" s="65">
        <v>0.04</v>
      </c>
      <c r="Z238" s="65">
        <v>0.04</v>
      </c>
      <c r="AA238" s="65">
        <v>0.03</v>
      </c>
      <c r="AB238" s="65">
        <v>0.03</v>
      </c>
      <c r="AC238" s="65">
        <v>0.03</v>
      </c>
      <c r="AD238" s="65">
        <v>0.03</v>
      </c>
      <c r="CM238" s="52">
        <f t="shared" ref="CM238:DJ238" si="222">ROUND($CM33*E238,0)</f>
        <v>0</v>
      </c>
      <c r="CN238" s="52">
        <f t="shared" si="222"/>
        <v>0</v>
      </c>
      <c r="CO238" s="52">
        <f t="shared" si="222"/>
        <v>0</v>
      </c>
      <c r="CP238" s="52">
        <f t="shared" si="222"/>
        <v>0</v>
      </c>
      <c r="CQ238" s="52">
        <f t="shared" si="222"/>
        <v>0</v>
      </c>
      <c r="CR238" s="52">
        <f t="shared" si="222"/>
        <v>0</v>
      </c>
      <c r="CS238" s="52">
        <f t="shared" si="222"/>
        <v>0</v>
      </c>
      <c r="CT238" s="52">
        <f t="shared" si="222"/>
        <v>0</v>
      </c>
      <c r="CU238" s="52">
        <f t="shared" si="222"/>
        <v>0</v>
      </c>
      <c r="CV238" s="52">
        <f t="shared" si="222"/>
        <v>1</v>
      </c>
      <c r="CW238" s="52">
        <f t="shared" si="222"/>
        <v>1</v>
      </c>
      <c r="CX238" s="52">
        <f t="shared" si="222"/>
        <v>1</v>
      </c>
      <c r="CY238" s="52">
        <f t="shared" si="222"/>
        <v>1</v>
      </c>
      <c r="CZ238" s="52">
        <f t="shared" si="222"/>
        <v>1</v>
      </c>
      <c r="DA238" s="52">
        <f t="shared" si="222"/>
        <v>1</v>
      </c>
      <c r="DB238" s="52">
        <f t="shared" si="222"/>
        <v>1</v>
      </c>
      <c r="DC238" s="52">
        <f t="shared" si="222"/>
        <v>1</v>
      </c>
      <c r="DD238" s="52">
        <f t="shared" si="222"/>
        <v>1</v>
      </c>
      <c r="DE238" s="52">
        <f t="shared" si="222"/>
        <v>1</v>
      </c>
      <c r="DF238" s="52">
        <f t="shared" si="222"/>
        <v>1</v>
      </c>
      <c r="DG238" s="52">
        <f t="shared" si="222"/>
        <v>1</v>
      </c>
      <c r="DH238" s="52">
        <f t="shared" si="222"/>
        <v>1</v>
      </c>
      <c r="DI238" s="52">
        <f t="shared" si="222"/>
        <v>0</v>
      </c>
      <c r="DJ238" s="52">
        <f t="shared" si="222"/>
        <v>0</v>
      </c>
    </row>
    <row r="239" ht="15.75" customHeight="1">
      <c r="B239" s="52" t="s">
        <v>1792</v>
      </c>
      <c r="C239" s="52">
        <v>30.0</v>
      </c>
      <c r="D239" s="52">
        <v>0.0</v>
      </c>
      <c r="E239" s="65">
        <v>0.07</v>
      </c>
      <c r="F239" s="65">
        <v>0.07</v>
      </c>
      <c r="G239" s="65">
        <v>0.07</v>
      </c>
      <c r="H239" s="65">
        <v>0.07</v>
      </c>
      <c r="I239" s="65">
        <v>0.07</v>
      </c>
      <c r="J239" s="65">
        <v>0.07</v>
      </c>
      <c r="K239" s="65">
        <v>0.07</v>
      </c>
      <c r="L239" s="65">
        <v>0.07</v>
      </c>
      <c r="M239" s="65">
        <v>0.07</v>
      </c>
      <c r="N239" s="65">
        <v>0.03</v>
      </c>
      <c r="O239" s="65">
        <v>0.03</v>
      </c>
      <c r="P239" s="65">
        <v>0.03</v>
      </c>
      <c r="Q239" s="65">
        <v>0.03</v>
      </c>
      <c r="R239" s="65">
        <v>0.03</v>
      </c>
      <c r="S239" s="65">
        <v>0.03</v>
      </c>
      <c r="T239" s="65">
        <v>0.03</v>
      </c>
      <c r="U239" s="65">
        <v>0.02</v>
      </c>
      <c r="V239" s="65">
        <v>0.02</v>
      </c>
      <c r="W239" s="65">
        <v>0.02</v>
      </c>
      <c r="X239" s="65">
        <v>0.02</v>
      </c>
      <c r="Y239" s="65">
        <v>0.02</v>
      </c>
      <c r="Z239" s="65">
        <v>0.02</v>
      </c>
      <c r="AA239" s="65">
        <v>0.02</v>
      </c>
      <c r="AB239" s="65">
        <v>0.02</v>
      </c>
      <c r="AC239" s="58"/>
      <c r="AD239" s="58"/>
      <c r="CN239" s="52">
        <f t="shared" ref="CN239:DJ239" si="223">ROUND($CN27*E239,0)</f>
        <v>7</v>
      </c>
      <c r="CO239" s="52">
        <f t="shared" si="223"/>
        <v>7</v>
      </c>
      <c r="CP239" s="52">
        <f t="shared" si="223"/>
        <v>7</v>
      </c>
      <c r="CQ239" s="52">
        <f t="shared" si="223"/>
        <v>7</v>
      </c>
      <c r="CR239" s="52">
        <f t="shared" si="223"/>
        <v>7</v>
      </c>
      <c r="CS239" s="52">
        <f t="shared" si="223"/>
        <v>7</v>
      </c>
      <c r="CT239" s="52">
        <f t="shared" si="223"/>
        <v>7</v>
      </c>
      <c r="CU239" s="52">
        <f t="shared" si="223"/>
        <v>7</v>
      </c>
      <c r="CV239" s="52">
        <f t="shared" si="223"/>
        <v>7</v>
      </c>
      <c r="CW239" s="52">
        <f t="shared" si="223"/>
        <v>3</v>
      </c>
      <c r="CX239" s="52">
        <f t="shared" si="223"/>
        <v>3</v>
      </c>
      <c r="CY239" s="52">
        <f t="shared" si="223"/>
        <v>3</v>
      </c>
      <c r="CZ239" s="52">
        <f t="shared" si="223"/>
        <v>3</v>
      </c>
      <c r="DA239" s="52">
        <f t="shared" si="223"/>
        <v>3</v>
      </c>
      <c r="DB239" s="52">
        <f t="shared" si="223"/>
        <v>3</v>
      </c>
      <c r="DC239" s="52">
        <f t="shared" si="223"/>
        <v>3</v>
      </c>
      <c r="DD239" s="52">
        <f t="shared" si="223"/>
        <v>2</v>
      </c>
      <c r="DE239" s="52">
        <f t="shared" si="223"/>
        <v>2</v>
      </c>
      <c r="DF239" s="52">
        <f t="shared" si="223"/>
        <v>2</v>
      </c>
      <c r="DG239" s="52">
        <f t="shared" si="223"/>
        <v>2</v>
      </c>
      <c r="DH239" s="52">
        <f t="shared" si="223"/>
        <v>2</v>
      </c>
      <c r="DI239" s="52">
        <f t="shared" si="223"/>
        <v>2</v>
      </c>
      <c r="DJ239" s="52">
        <f t="shared" si="223"/>
        <v>2</v>
      </c>
    </row>
    <row r="240" ht="15.75" customHeight="1">
      <c r="B240" s="52" t="s">
        <v>1792</v>
      </c>
      <c r="C240" s="52">
        <v>30.0</v>
      </c>
      <c r="D240" s="52" t="s">
        <v>1785</v>
      </c>
      <c r="E240" s="65">
        <v>0.02</v>
      </c>
      <c r="F240" s="65">
        <v>0.02</v>
      </c>
      <c r="G240" s="65">
        <v>0.02</v>
      </c>
      <c r="H240" s="65">
        <v>0.02</v>
      </c>
      <c r="I240" s="65">
        <v>0.08</v>
      </c>
      <c r="J240" s="65">
        <v>0.08</v>
      </c>
      <c r="K240" s="65">
        <v>0.07</v>
      </c>
      <c r="L240" s="65">
        <v>0.07</v>
      </c>
      <c r="M240" s="65">
        <v>0.06</v>
      </c>
      <c r="N240" s="65">
        <v>0.06</v>
      </c>
      <c r="O240" s="65">
        <v>0.05</v>
      </c>
      <c r="P240" s="65">
        <v>0.05</v>
      </c>
      <c r="Q240" s="65">
        <v>0.05</v>
      </c>
      <c r="R240" s="65">
        <v>0.04</v>
      </c>
      <c r="S240" s="65">
        <v>0.04</v>
      </c>
      <c r="T240" s="65">
        <v>0.04</v>
      </c>
      <c r="U240" s="65">
        <v>0.04</v>
      </c>
      <c r="V240" s="65">
        <v>0.03</v>
      </c>
      <c r="W240" s="65">
        <v>0.03</v>
      </c>
      <c r="X240" s="65">
        <v>0.03</v>
      </c>
      <c r="Y240" s="65">
        <v>0.03</v>
      </c>
      <c r="Z240" s="65">
        <v>0.03</v>
      </c>
      <c r="AA240" s="65">
        <v>0.02</v>
      </c>
      <c r="AB240" s="65">
        <v>0.02</v>
      </c>
      <c r="AC240" s="58"/>
      <c r="AD240" s="58"/>
      <c r="CN240" s="52">
        <f t="shared" ref="CN240:DJ240" si="224">ROUND($CN28*E240,0)</f>
        <v>0</v>
      </c>
      <c r="CO240" s="52">
        <f t="shared" si="224"/>
        <v>0</v>
      </c>
      <c r="CP240" s="52">
        <f t="shared" si="224"/>
        <v>0</v>
      </c>
      <c r="CQ240" s="52">
        <f t="shared" si="224"/>
        <v>0</v>
      </c>
      <c r="CR240" s="52">
        <f t="shared" si="224"/>
        <v>1</v>
      </c>
      <c r="CS240" s="52">
        <f t="shared" si="224"/>
        <v>1</v>
      </c>
      <c r="CT240" s="52">
        <f t="shared" si="224"/>
        <v>1</v>
      </c>
      <c r="CU240" s="52">
        <f t="shared" si="224"/>
        <v>1</v>
      </c>
      <c r="CV240" s="52">
        <f t="shared" si="224"/>
        <v>1</v>
      </c>
      <c r="CW240" s="52">
        <f t="shared" si="224"/>
        <v>1</v>
      </c>
      <c r="CX240" s="52">
        <f t="shared" si="224"/>
        <v>1</v>
      </c>
      <c r="CY240" s="52">
        <f t="shared" si="224"/>
        <v>1</v>
      </c>
      <c r="CZ240" s="52">
        <f t="shared" si="224"/>
        <v>1</v>
      </c>
      <c r="DA240" s="52">
        <f t="shared" si="224"/>
        <v>0</v>
      </c>
      <c r="DB240" s="52">
        <f t="shared" si="224"/>
        <v>0</v>
      </c>
      <c r="DC240" s="52">
        <f t="shared" si="224"/>
        <v>0</v>
      </c>
      <c r="DD240" s="52">
        <f t="shared" si="224"/>
        <v>0</v>
      </c>
      <c r="DE240" s="52">
        <f t="shared" si="224"/>
        <v>0</v>
      </c>
      <c r="DF240" s="52">
        <f t="shared" si="224"/>
        <v>0</v>
      </c>
      <c r="DG240" s="52">
        <f t="shared" si="224"/>
        <v>0</v>
      </c>
      <c r="DH240" s="52">
        <f t="shared" si="224"/>
        <v>0</v>
      </c>
      <c r="DI240" s="52">
        <f t="shared" si="224"/>
        <v>0</v>
      </c>
      <c r="DJ240" s="52">
        <f t="shared" si="224"/>
        <v>0</v>
      </c>
    </row>
    <row r="241" ht="15.75" customHeight="1">
      <c r="B241" s="52" t="s">
        <v>1792</v>
      </c>
      <c r="C241" s="52">
        <v>30.0</v>
      </c>
      <c r="D241" s="52" t="s">
        <v>1786</v>
      </c>
      <c r="E241" s="58"/>
      <c r="F241" s="58"/>
      <c r="G241" s="58"/>
      <c r="H241" s="65">
        <v>0.08</v>
      </c>
      <c r="I241" s="65">
        <v>0.08</v>
      </c>
      <c r="J241" s="65">
        <v>0.07</v>
      </c>
      <c r="K241" s="65">
        <v>0.07</v>
      </c>
      <c r="L241" s="65">
        <v>0.06</v>
      </c>
      <c r="M241" s="65">
        <v>0.06</v>
      </c>
      <c r="N241" s="65">
        <v>0.05</v>
      </c>
      <c r="O241" s="65">
        <v>0.05</v>
      </c>
      <c r="P241" s="65">
        <v>0.05</v>
      </c>
      <c r="Q241" s="65">
        <v>0.04</v>
      </c>
      <c r="R241" s="65">
        <v>0.04</v>
      </c>
      <c r="S241" s="65">
        <v>0.04</v>
      </c>
      <c r="T241" s="65">
        <v>0.04</v>
      </c>
      <c r="U241" s="65">
        <v>0.03</v>
      </c>
      <c r="V241" s="65">
        <v>0.03</v>
      </c>
      <c r="W241" s="65">
        <v>0.03</v>
      </c>
      <c r="X241" s="65">
        <v>0.03</v>
      </c>
      <c r="Y241" s="65">
        <v>0.03</v>
      </c>
      <c r="Z241" s="65">
        <v>0.02</v>
      </c>
      <c r="AA241" s="65">
        <v>0.02</v>
      </c>
      <c r="AB241" s="65">
        <v>0.03</v>
      </c>
      <c r="AC241" s="65">
        <v>0.03</v>
      </c>
      <c r="AD241" s="65">
        <v>0.02</v>
      </c>
      <c r="CN241" s="52">
        <f t="shared" ref="CN241:DJ241" si="225">ROUND($CN29*E241,0)</f>
        <v>0</v>
      </c>
      <c r="CO241" s="52">
        <f t="shared" si="225"/>
        <v>0</v>
      </c>
      <c r="CP241" s="52">
        <f t="shared" si="225"/>
        <v>0</v>
      </c>
      <c r="CQ241" s="52">
        <f t="shared" si="225"/>
        <v>1</v>
      </c>
      <c r="CR241" s="52">
        <f t="shared" si="225"/>
        <v>1</v>
      </c>
      <c r="CS241" s="52">
        <f t="shared" si="225"/>
        <v>1</v>
      </c>
      <c r="CT241" s="52">
        <f t="shared" si="225"/>
        <v>1</v>
      </c>
      <c r="CU241" s="52">
        <f t="shared" si="225"/>
        <v>1</v>
      </c>
      <c r="CV241" s="52">
        <f t="shared" si="225"/>
        <v>1</v>
      </c>
      <c r="CW241" s="52">
        <f t="shared" si="225"/>
        <v>1</v>
      </c>
      <c r="CX241" s="52">
        <f t="shared" si="225"/>
        <v>1</v>
      </c>
      <c r="CY241" s="52">
        <f t="shared" si="225"/>
        <v>1</v>
      </c>
      <c r="CZ241" s="52">
        <f t="shared" si="225"/>
        <v>1</v>
      </c>
      <c r="DA241" s="52">
        <f t="shared" si="225"/>
        <v>1</v>
      </c>
      <c r="DB241" s="52">
        <f t="shared" si="225"/>
        <v>1</v>
      </c>
      <c r="DC241" s="52">
        <f t="shared" si="225"/>
        <v>1</v>
      </c>
      <c r="DD241" s="52">
        <f t="shared" si="225"/>
        <v>1</v>
      </c>
      <c r="DE241" s="52">
        <f t="shared" si="225"/>
        <v>1</v>
      </c>
      <c r="DF241" s="52">
        <f t="shared" si="225"/>
        <v>1</v>
      </c>
      <c r="DG241" s="52">
        <f t="shared" si="225"/>
        <v>1</v>
      </c>
      <c r="DH241" s="52">
        <f t="shared" si="225"/>
        <v>1</v>
      </c>
      <c r="DI241" s="52">
        <f t="shared" si="225"/>
        <v>0</v>
      </c>
      <c r="DJ241" s="52">
        <f t="shared" si="225"/>
        <v>0</v>
      </c>
    </row>
    <row r="242" ht="15.75" customHeight="1">
      <c r="B242" s="52" t="s">
        <v>1792</v>
      </c>
      <c r="C242" s="52">
        <v>30.0</v>
      </c>
      <c r="D242" s="52" t="s">
        <v>1787</v>
      </c>
      <c r="E242" s="58"/>
      <c r="F242" s="58"/>
      <c r="G242" s="58"/>
      <c r="H242" s="58"/>
      <c r="I242" s="58"/>
      <c r="J242" s="65">
        <v>0.08</v>
      </c>
      <c r="K242" s="65">
        <v>0.08</v>
      </c>
      <c r="L242" s="65">
        <v>0.07</v>
      </c>
      <c r="M242" s="65">
        <v>0.07</v>
      </c>
      <c r="N242" s="65">
        <v>0.06</v>
      </c>
      <c r="O242" s="65">
        <v>0.06</v>
      </c>
      <c r="P242" s="65">
        <v>0.05</v>
      </c>
      <c r="Q242" s="65">
        <v>0.05</v>
      </c>
      <c r="R242" s="65">
        <v>0.05</v>
      </c>
      <c r="S242" s="65">
        <v>0.04</v>
      </c>
      <c r="T242" s="65">
        <v>0.04</v>
      </c>
      <c r="U242" s="65">
        <v>0.04</v>
      </c>
      <c r="V242" s="65">
        <v>0.04</v>
      </c>
      <c r="W242" s="65">
        <v>0.03</v>
      </c>
      <c r="X242" s="65">
        <v>0.03</v>
      </c>
      <c r="Y242" s="65">
        <v>0.03</v>
      </c>
      <c r="Z242" s="65">
        <v>0.03</v>
      </c>
      <c r="AA242" s="65">
        <v>0.03</v>
      </c>
      <c r="AB242" s="65">
        <v>0.02</v>
      </c>
      <c r="AC242" s="65">
        <v>0.02</v>
      </c>
      <c r="AD242" s="65">
        <v>0.03</v>
      </c>
      <c r="CN242" s="52">
        <f t="shared" ref="CN242:DJ242" si="226">ROUND($CN30*E242,0)</f>
        <v>0</v>
      </c>
      <c r="CO242" s="52">
        <f t="shared" si="226"/>
        <v>0</v>
      </c>
      <c r="CP242" s="52">
        <f t="shared" si="226"/>
        <v>0</v>
      </c>
      <c r="CQ242" s="52">
        <f t="shared" si="226"/>
        <v>0</v>
      </c>
      <c r="CR242" s="52">
        <f t="shared" si="226"/>
        <v>0</v>
      </c>
      <c r="CS242" s="52">
        <f t="shared" si="226"/>
        <v>0</v>
      </c>
      <c r="CT242" s="52">
        <f t="shared" si="226"/>
        <v>0</v>
      </c>
      <c r="CU242" s="52">
        <f t="shared" si="226"/>
        <v>0</v>
      </c>
      <c r="CV242" s="52">
        <f t="shared" si="226"/>
        <v>0</v>
      </c>
      <c r="CW242" s="52">
        <f t="shared" si="226"/>
        <v>0</v>
      </c>
      <c r="CX242" s="52">
        <f t="shared" si="226"/>
        <v>0</v>
      </c>
      <c r="CY242" s="52">
        <f t="shared" si="226"/>
        <v>0</v>
      </c>
      <c r="CZ242" s="52">
        <f t="shared" si="226"/>
        <v>0</v>
      </c>
      <c r="DA242" s="52">
        <f t="shared" si="226"/>
        <v>0</v>
      </c>
      <c r="DB242" s="52">
        <f t="shared" si="226"/>
        <v>0</v>
      </c>
      <c r="DC242" s="52">
        <f t="shared" si="226"/>
        <v>0</v>
      </c>
      <c r="DD242" s="52">
        <f t="shared" si="226"/>
        <v>0</v>
      </c>
      <c r="DE242" s="52">
        <f t="shared" si="226"/>
        <v>0</v>
      </c>
      <c r="DF242" s="52">
        <f t="shared" si="226"/>
        <v>0</v>
      </c>
      <c r="DG242" s="52">
        <f t="shared" si="226"/>
        <v>0</v>
      </c>
      <c r="DH242" s="52">
        <f t="shared" si="226"/>
        <v>0</v>
      </c>
      <c r="DI242" s="52">
        <f t="shared" si="226"/>
        <v>0</v>
      </c>
      <c r="DJ242" s="52">
        <f t="shared" si="226"/>
        <v>0</v>
      </c>
    </row>
    <row r="243" ht="15.75" customHeight="1">
      <c r="B243" s="52" t="s">
        <v>1792</v>
      </c>
      <c r="C243" s="52">
        <v>30.0</v>
      </c>
      <c r="D243" s="52" t="s">
        <v>1788</v>
      </c>
      <c r="E243" s="58"/>
      <c r="F243" s="58"/>
      <c r="G243" s="58"/>
      <c r="H243" s="58"/>
      <c r="I243" s="58"/>
      <c r="J243" s="58"/>
      <c r="K243" s="65">
        <v>0.08</v>
      </c>
      <c r="L243" s="65">
        <v>0.08</v>
      </c>
      <c r="M243" s="65">
        <v>0.07</v>
      </c>
      <c r="N243" s="65">
        <v>0.07</v>
      </c>
      <c r="O243" s="65">
        <v>0.06</v>
      </c>
      <c r="P243" s="65">
        <v>0.06</v>
      </c>
      <c r="Q243" s="65">
        <v>0.05</v>
      </c>
      <c r="R243" s="65">
        <v>0.05</v>
      </c>
      <c r="S243" s="65">
        <v>0.05</v>
      </c>
      <c r="T243" s="65">
        <v>0.04</v>
      </c>
      <c r="U243" s="65">
        <v>0.04</v>
      </c>
      <c r="V243" s="65">
        <v>0.04</v>
      </c>
      <c r="W243" s="65">
        <v>0.04</v>
      </c>
      <c r="X243" s="65">
        <v>0.03</v>
      </c>
      <c r="Y243" s="65">
        <v>0.03</v>
      </c>
      <c r="Z243" s="65">
        <v>0.03</v>
      </c>
      <c r="AA243" s="65">
        <v>0.03</v>
      </c>
      <c r="AB243" s="65">
        <v>0.03</v>
      </c>
      <c r="AC243" s="65">
        <v>0.02</v>
      </c>
      <c r="AD243" s="65">
        <v>0.02</v>
      </c>
      <c r="CN243" s="52">
        <f t="shared" ref="CN243:DJ243" si="227">ROUND($CN31*E243,0)</f>
        <v>0</v>
      </c>
      <c r="CO243" s="52">
        <f t="shared" si="227"/>
        <v>0</v>
      </c>
      <c r="CP243" s="52">
        <f t="shared" si="227"/>
        <v>0</v>
      </c>
      <c r="CQ243" s="52">
        <f t="shared" si="227"/>
        <v>0</v>
      </c>
      <c r="CR243" s="52">
        <f t="shared" si="227"/>
        <v>0</v>
      </c>
      <c r="CS243" s="52">
        <f t="shared" si="227"/>
        <v>0</v>
      </c>
      <c r="CT243" s="52">
        <f t="shared" si="227"/>
        <v>0</v>
      </c>
      <c r="CU243" s="52">
        <f t="shared" si="227"/>
        <v>0</v>
      </c>
      <c r="CV243" s="52">
        <f t="shared" si="227"/>
        <v>0</v>
      </c>
      <c r="CW243" s="52">
        <f t="shared" si="227"/>
        <v>0</v>
      </c>
      <c r="CX243" s="52">
        <f t="shared" si="227"/>
        <v>0</v>
      </c>
      <c r="CY243" s="52">
        <f t="shared" si="227"/>
        <v>0</v>
      </c>
      <c r="CZ243" s="52">
        <f t="shared" si="227"/>
        <v>0</v>
      </c>
      <c r="DA243" s="52">
        <f t="shared" si="227"/>
        <v>0</v>
      </c>
      <c r="DB243" s="52">
        <f t="shared" si="227"/>
        <v>0</v>
      </c>
      <c r="DC243" s="52">
        <f t="shared" si="227"/>
        <v>0</v>
      </c>
      <c r="DD243" s="52">
        <f t="shared" si="227"/>
        <v>0</v>
      </c>
      <c r="DE243" s="52">
        <f t="shared" si="227"/>
        <v>0</v>
      </c>
      <c r="DF243" s="52">
        <f t="shared" si="227"/>
        <v>0</v>
      </c>
      <c r="DG243" s="52">
        <f t="shared" si="227"/>
        <v>0</v>
      </c>
      <c r="DH243" s="52">
        <f t="shared" si="227"/>
        <v>0</v>
      </c>
      <c r="DI243" s="52">
        <f t="shared" si="227"/>
        <v>0</v>
      </c>
      <c r="DJ243" s="52">
        <f t="shared" si="227"/>
        <v>0</v>
      </c>
    </row>
    <row r="244" ht="15.75" customHeight="1">
      <c r="B244" s="52" t="s">
        <v>1792</v>
      </c>
      <c r="C244" s="52">
        <v>30.0</v>
      </c>
      <c r="D244" s="52" t="s">
        <v>1789</v>
      </c>
      <c r="E244" s="58"/>
      <c r="F244" s="58"/>
      <c r="G244" s="58"/>
      <c r="H244" s="58"/>
      <c r="I244" s="58"/>
      <c r="J244" s="58"/>
      <c r="K244" s="58"/>
      <c r="L244" s="65">
        <v>0.08</v>
      </c>
      <c r="M244" s="65">
        <v>0.08</v>
      </c>
      <c r="N244" s="65">
        <v>0.07</v>
      </c>
      <c r="O244" s="65">
        <v>0.07</v>
      </c>
      <c r="P244" s="65">
        <v>0.06</v>
      </c>
      <c r="Q244" s="65">
        <v>0.06</v>
      </c>
      <c r="R244" s="65">
        <v>0.05</v>
      </c>
      <c r="S244" s="65">
        <v>0.05</v>
      </c>
      <c r="T244" s="65">
        <v>0.05</v>
      </c>
      <c r="U244" s="65">
        <v>0.04</v>
      </c>
      <c r="V244" s="65">
        <v>0.04</v>
      </c>
      <c r="W244" s="65">
        <v>0.04</v>
      </c>
      <c r="X244" s="65">
        <v>0.04</v>
      </c>
      <c r="Y244" s="65">
        <v>0.03</v>
      </c>
      <c r="Z244" s="65">
        <v>0.03</v>
      </c>
      <c r="AA244" s="65">
        <v>0.03</v>
      </c>
      <c r="AB244" s="65">
        <v>0.03</v>
      </c>
      <c r="AC244" s="65">
        <v>0.03</v>
      </c>
      <c r="AD244" s="65">
        <v>0.02</v>
      </c>
      <c r="CN244" s="52">
        <f t="shared" ref="CN244:DJ244" si="228">ROUND($CN32*E244,0)</f>
        <v>0</v>
      </c>
      <c r="CO244" s="52">
        <f t="shared" si="228"/>
        <v>0</v>
      </c>
      <c r="CP244" s="52">
        <f t="shared" si="228"/>
        <v>0</v>
      </c>
      <c r="CQ244" s="52">
        <f t="shared" si="228"/>
        <v>0</v>
      </c>
      <c r="CR244" s="52">
        <f t="shared" si="228"/>
        <v>0</v>
      </c>
      <c r="CS244" s="52">
        <f t="shared" si="228"/>
        <v>0</v>
      </c>
      <c r="CT244" s="52">
        <f t="shared" si="228"/>
        <v>0</v>
      </c>
      <c r="CU244" s="52">
        <f t="shared" si="228"/>
        <v>0</v>
      </c>
      <c r="CV244" s="52">
        <f t="shared" si="228"/>
        <v>0</v>
      </c>
      <c r="CW244" s="52">
        <f t="shared" si="228"/>
        <v>0</v>
      </c>
      <c r="CX244" s="52">
        <f t="shared" si="228"/>
        <v>0</v>
      </c>
      <c r="CY244" s="52">
        <f t="shared" si="228"/>
        <v>0</v>
      </c>
      <c r="CZ244" s="52">
        <f t="shared" si="228"/>
        <v>0</v>
      </c>
      <c r="DA244" s="52">
        <f t="shared" si="228"/>
        <v>0</v>
      </c>
      <c r="DB244" s="52">
        <f t="shared" si="228"/>
        <v>0</v>
      </c>
      <c r="DC244" s="52">
        <f t="shared" si="228"/>
        <v>0</v>
      </c>
      <c r="DD244" s="52">
        <f t="shared" si="228"/>
        <v>0</v>
      </c>
      <c r="DE244" s="52">
        <f t="shared" si="228"/>
        <v>0</v>
      </c>
      <c r="DF244" s="52">
        <f t="shared" si="228"/>
        <v>0</v>
      </c>
      <c r="DG244" s="52">
        <f t="shared" si="228"/>
        <v>0</v>
      </c>
      <c r="DH244" s="52">
        <f t="shared" si="228"/>
        <v>0</v>
      </c>
      <c r="DI244" s="52">
        <f t="shared" si="228"/>
        <v>0</v>
      </c>
      <c r="DJ244" s="52">
        <f t="shared" si="228"/>
        <v>0</v>
      </c>
    </row>
    <row r="245" ht="15.75" customHeight="1">
      <c r="B245" s="52" t="s">
        <v>1792</v>
      </c>
      <c r="C245" s="52">
        <v>30.0</v>
      </c>
      <c r="D245" s="52" t="s">
        <v>1790</v>
      </c>
      <c r="E245" s="58"/>
      <c r="F245" s="58"/>
      <c r="G245" s="58"/>
      <c r="H245" s="58"/>
      <c r="I245" s="58"/>
      <c r="J245" s="58"/>
      <c r="K245" s="58"/>
      <c r="L245" s="58"/>
      <c r="M245" s="58"/>
      <c r="N245" s="65">
        <v>0.08</v>
      </c>
      <c r="O245" s="65">
        <v>0.08</v>
      </c>
      <c r="P245" s="65">
        <v>0.07</v>
      </c>
      <c r="Q245" s="65">
        <v>0.07</v>
      </c>
      <c r="R245" s="65">
        <v>0.06</v>
      </c>
      <c r="S245" s="65">
        <v>0.06</v>
      </c>
      <c r="T245" s="65">
        <v>0.05</v>
      </c>
      <c r="U245" s="65">
        <v>0.05</v>
      </c>
      <c r="V245" s="65">
        <v>0.05</v>
      </c>
      <c r="W245" s="65">
        <v>0.04</v>
      </c>
      <c r="X245" s="65">
        <v>0.04</v>
      </c>
      <c r="Y245" s="65">
        <v>0.04</v>
      </c>
      <c r="Z245" s="65">
        <v>0.04</v>
      </c>
      <c r="AA245" s="65">
        <v>0.03</v>
      </c>
      <c r="AB245" s="65">
        <v>0.03</v>
      </c>
      <c r="AC245" s="65">
        <v>0.03</v>
      </c>
      <c r="AD245" s="65">
        <v>0.03</v>
      </c>
      <c r="CN245" s="52">
        <f t="shared" ref="CN245:DJ245" si="229">ROUND($CN33*E245,0)</f>
        <v>0</v>
      </c>
      <c r="CO245" s="52">
        <f t="shared" si="229"/>
        <v>0</v>
      </c>
      <c r="CP245" s="52">
        <f t="shared" si="229"/>
        <v>0</v>
      </c>
      <c r="CQ245" s="52">
        <f t="shared" si="229"/>
        <v>0</v>
      </c>
      <c r="CR245" s="52">
        <f t="shared" si="229"/>
        <v>0</v>
      </c>
      <c r="CS245" s="52">
        <f t="shared" si="229"/>
        <v>0</v>
      </c>
      <c r="CT245" s="52">
        <f t="shared" si="229"/>
        <v>0</v>
      </c>
      <c r="CU245" s="52">
        <f t="shared" si="229"/>
        <v>0</v>
      </c>
      <c r="CV245" s="52">
        <f t="shared" si="229"/>
        <v>0</v>
      </c>
      <c r="CW245" s="52">
        <f t="shared" si="229"/>
        <v>1</v>
      </c>
      <c r="CX245" s="52">
        <f t="shared" si="229"/>
        <v>1</v>
      </c>
      <c r="CY245" s="52">
        <f t="shared" si="229"/>
        <v>1</v>
      </c>
      <c r="CZ245" s="52">
        <f t="shared" si="229"/>
        <v>1</v>
      </c>
      <c r="DA245" s="52">
        <f t="shared" si="229"/>
        <v>0</v>
      </c>
      <c r="DB245" s="52">
        <f t="shared" si="229"/>
        <v>0</v>
      </c>
      <c r="DC245" s="52">
        <f t="shared" si="229"/>
        <v>0</v>
      </c>
      <c r="DD245" s="52">
        <f t="shared" si="229"/>
        <v>0</v>
      </c>
      <c r="DE245" s="52">
        <f t="shared" si="229"/>
        <v>0</v>
      </c>
      <c r="DF245" s="52">
        <f t="shared" si="229"/>
        <v>0</v>
      </c>
      <c r="DG245" s="52">
        <f t="shared" si="229"/>
        <v>0</v>
      </c>
      <c r="DH245" s="52">
        <f t="shared" si="229"/>
        <v>0</v>
      </c>
      <c r="DI245" s="52">
        <f t="shared" si="229"/>
        <v>0</v>
      </c>
      <c r="DJ245" s="52">
        <f t="shared" si="229"/>
        <v>0</v>
      </c>
    </row>
    <row r="246" ht="15.75" customHeight="1">
      <c r="B246" s="52" t="s">
        <v>1792</v>
      </c>
      <c r="C246" s="52">
        <v>31.0</v>
      </c>
      <c r="D246" s="52">
        <v>0.0</v>
      </c>
      <c r="E246" s="65">
        <v>0.07</v>
      </c>
      <c r="F246" s="65">
        <v>0.07</v>
      </c>
      <c r="G246" s="65">
        <v>0.07</v>
      </c>
      <c r="H246" s="65">
        <v>0.07</v>
      </c>
      <c r="I246" s="65">
        <v>0.07</v>
      </c>
      <c r="J246" s="65">
        <v>0.07</v>
      </c>
      <c r="K246" s="65">
        <v>0.07</v>
      </c>
      <c r="L246" s="65">
        <v>0.07</v>
      </c>
      <c r="M246" s="65">
        <v>0.07</v>
      </c>
      <c r="N246" s="65">
        <v>0.03</v>
      </c>
      <c r="O246" s="65">
        <v>0.03</v>
      </c>
      <c r="P246" s="65">
        <v>0.03</v>
      </c>
      <c r="Q246" s="65">
        <v>0.03</v>
      </c>
      <c r="R246" s="65">
        <v>0.03</v>
      </c>
      <c r="S246" s="65">
        <v>0.03</v>
      </c>
      <c r="T246" s="65">
        <v>0.03</v>
      </c>
      <c r="U246" s="65">
        <v>0.02</v>
      </c>
      <c r="V246" s="65">
        <v>0.02</v>
      </c>
      <c r="W246" s="65">
        <v>0.02</v>
      </c>
      <c r="X246" s="65">
        <v>0.02</v>
      </c>
      <c r="Y246" s="65">
        <v>0.02</v>
      </c>
      <c r="Z246" s="65">
        <v>0.02</v>
      </c>
      <c r="AA246" s="65">
        <v>0.02</v>
      </c>
      <c r="AB246" s="65">
        <v>0.02</v>
      </c>
      <c r="AC246" s="58"/>
      <c r="AD246" s="58"/>
      <c r="CO246" s="52">
        <f t="shared" ref="CO246:DJ246" si="230">ROUND($CO27*E246,0)</f>
        <v>27</v>
      </c>
      <c r="CP246" s="52">
        <f t="shared" si="230"/>
        <v>27</v>
      </c>
      <c r="CQ246" s="52">
        <f t="shared" si="230"/>
        <v>27</v>
      </c>
      <c r="CR246" s="52">
        <f t="shared" si="230"/>
        <v>27</v>
      </c>
      <c r="CS246" s="52">
        <f t="shared" si="230"/>
        <v>27</v>
      </c>
      <c r="CT246" s="52">
        <f t="shared" si="230"/>
        <v>27</v>
      </c>
      <c r="CU246" s="52">
        <f t="shared" si="230"/>
        <v>27</v>
      </c>
      <c r="CV246" s="52">
        <f t="shared" si="230"/>
        <v>27</v>
      </c>
      <c r="CW246" s="52">
        <f t="shared" si="230"/>
        <v>27</v>
      </c>
      <c r="CX246" s="52">
        <f t="shared" si="230"/>
        <v>12</v>
      </c>
      <c r="CY246" s="52">
        <f t="shared" si="230"/>
        <v>12</v>
      </c>
      <c r="CZ246" s="52">
        <f t="shared" si="230"/>
        <v>12</v>
      </c>
      <c r="DA246" s="52">
        <f t="shared" si="230"/>
        <v>12</v>
      </c>
      <c r="DB246" s="52">
        <f t="shared" si="230"/>
        <v>12</v>
      </c>
      <c r="DC246" s="52">
        <f t="shared" si="230"/>
        <v>12</v>
      </c>
      <c r="DD246" s="52">
        <f t="shared" si="230"/>
        <v>12</v>
      </c>
      <c r="DE246" s="52">
        <f t="shared" si="230"/>
        <v>8</v>
      </c>
      <c r="DF246" s="52">
        <f t="shared" si="230"/>
        <v>8</v>
      </c>
      <c r="DG246" s="52">
        <f t="shared" si="230"/>
        <v>8</v>
      </c>
      <c r="DH246" s="52">
        <f t="shared" si="230"/>
        <v>8</v>
      </c>
      <c r="DI246" s="52">
        <f t="shared" si="230"/>
        <v>8</v>
      </c>
      <c r="DJ246" s="52">
        <f t="shared" si="230"/>
        <v>8</v>
      </c>
    </row>
    <row r="247" ht="15.75" customHeight="1">
      <c r="B247" s="52" t="s">
        <v>1792</v>
      </c>
      <c r="C247" s="52">
        <v>31.0</v>
      </c>
      <c r="D247" s="52" t="s">
        <v>1785</v>
      </c>
      <c r="E247" s="65">
        <v>0.02</v>
      </c>
      <c r="F247" s="65">
        <v>0.02</v>
      </c>
      <c r="G247" s="65">
        <v>0.02</v>
      </c>
      <c r="H247" s="65">
        <v>0.02</v>
      </c>
      <c r="I247" s="65">
        <v>0.08</v>
      </c>
      <c r="J247" s="65">
        <v>0.08</v>
      </c>
      <c r="K247" s="65">
        <v>0.07</v>
      </c>
      <c r="L247" s="65">
        <v>0.07</v>
      </c>
      <c r="M247" s="65">
        <v>0.06</v>
      </c>
      <c r="N247" s="65">
        <v>0.06</v>
      </c>
      <c r="O247" s="65">
        <v>0.05</v>
      </c>
      <c r="P247" s="65">
        <v>0.05</v>
      </c>
      <c r="Q247" s="65">
        <v>0.05</v>
      </c>
      <c r="R247" s="65">
        <v>0.04</v>
      </c>
      <c r="S247" s="65">
        <v>0.04</v>
      </c>
      <c r="T247" s="65">
        <v>0.04</v>
      </c>
      <c r="U247" s="65">
        <v>0.04</v>
      </c>
      <c r="V247" s="65">
        <v>0.03</v>
      </c>
      <c r="W247" s="65">
        <v>0.03</v>
      </c>
      <c r="X247" s="65">
        <v>0.03</v>
      </c>
      <c r="Y247" s="65">
        <v>0.03</v>
      </c>
      <c r="Z247" s="65">
        <v>0.03</v>
      </c>
      <c r="AA247" s="65">
        <v>0.02</v>
      </c>
      <c r="AB247" s="65">
        <v>0.02</v>
      </c>
      <c r="AC247" s="58"/>
      <c r="AD247" s="58"/>
      <c r="CO247" s="52">
        <f t="shared" ref="CO247:DJ247" si="231">ROUND($CO28*E247,0)</f>
        <v>1</v>
      </c>
      <c r="CP247" s="52">
        <f t="shared" si="231"/>
        <v>1</v>
      </c>
      <c r="CQ247" s="52">
        <f t="shared" si="231"/>
        <v>1</v>
      </c>
      <c r="CR247" s="52">
        <f t="shared" si="231"/>
        <v>1</v>
      </c>
      <c r="CS247" s="52">
        <f t="shared" si="231"/>
        <v>3</v>
      </c>
      <c r="CT247" s="52">
        <f t="shared" si="231"/>
        <v>3</v>
      </c>
      <c r="CU247" s="52">
        <f t="shared" si="231"/>
        <v>3</v>
      </c>
      <c r="CV247" s="52">
        <f t="shared" si="231"/>
        <v>3</v>
      </c>
      <c r="CW247" s="52">
        <f t="shared" si="231"/>
        <v>2</v>
      </c>
      <c r="CX247" s="52">
        <f t="shared" si="231"/>
        <v>2</v>
      </c>
      <c r="CY247" s="52">
        <f t="shared" si="231"/>
        <v>2</v>
      </c>
      <c r="CZ247" s="52">
        <f t="shared" si="231"/>
        <v>2</v>
      </c>
      <c r="DA247" s="52">
        <f t="shared" si="231"/>
        <v>2</v>
      </c>
      <c r="DB247" s="52">
        <f t="shared" si="231"/>
        <v>2</v>
      </c>
      <c r="DC247" s="52">
        <f t="shared" si="231"/>
        <v>2</v>
      </c>
      <c r="DD247" s="52">
        <f t="shared" si="231"/>
        <v>2</v>
      </c>
      <c r="DE247" s="52">
        <f t="shared" si="231"/>
        <v>2</v>
      </c>
      <c r="DF247" s="52">
        <f t="shared" si="231"/>
        <v>1</v>
      </c>
      <c r="DG247" s="52">
        <f t="shared" si="231"/>
        <v>1</v>
      </c>
      <c r="DH247" s="52">
        <f t="shared" si="231"/>
        <v>1</v>
      </c>
      <c r="DI247" s="52">
        <f t="shared" si="231"/>
        <v>1</v>
      </c>
      <c r="DJ247" s="52">
        <f t="shared" si="231"/>
        <v>1</v>
      </c>
    </row>
    <row r="248" ht="15.75" customHeight="1">
      <c r="B248" s="52" t="s">
        <v>1792</v>
      </c>
      <c r="C248" s="52">
        <v>31.0</v>
      </c>
      <c r="D248" s="52" t="s">
        <v>1786</v>
      </c>
      <c r="E248" s="58"/>
      <c r="F248" s="58"/>
      <c r="G248" s="58"/>
      <c r="H248" s="65">
        <v>0.08</v>
      </c>
      <c r="I248" s="65">
        <v>0.08</v>
      </c>
      <c r="J248" s="65">
        <v>0.07</v>
      </c>
      <c r="K248" s="65">
        <v>0.07</v>
      </c>
      <c r="L248" s="65">
        <v>0.06</v>
      </c>
      <c r="M248" s="65">
        <v>0.06</v>
      </c>
      <c r="N248" s="65">
        <v>0.05</v>
      </c>
      <c r="O248" s="65">
        <v>0.05</v>
      </c>
      <c r="P248" s="65">
        <v>0.05</v>
      </c>
      <c r="Q248" s="65">
        <v>0.04</v>
      </c>
      <c r="R248" s="65">
        <v>0.04</v>
      </c>
      <c r="S248" s="65">
        <v>0.04</v>
      </c>
      <c r="T248" s="65">
        <v>0.04</v>
      </c>
      <c r="U248" s="65">
        <v>0.03</v>
      </c>
      <c r="V248" s="65">
        <v>0.03</v>
      </c>
      <c r="W248" s="65">
        <v>0.03</v>
      </c>
      <c r="X248" s="65">
        <v>0.03</v>
      </c>
      <c r="Y248" s="65">
        <v>0.03</v>
      </c>
      <c r="Z248" s="65">
        <v>0.02</v>
      </c>
      <c r="AA248" s="65">
        <v>0.02</v>
      </c>
      <c r="AB248" s="65">
        <v>0.03</v>
      </c>
      <c r="AC248" s="65">
        <v>0.03</v>
      </c>
      <c r="AD248" s="65">
        <v>0.02</v>
      </c>
      <c r="CO248" s="52">
        <f t="shared" ref="CO248:DJ248" si="232">ROUND($CO29*E248,0)</f>
        <v>0</v>
      </c>
      <c r="CP248" s="52">
        <f t="shared" si="232"/>
        <v>0</v>
      </c>
      <c r="CQ248" s="52">
        <f t="shared" si="232"/>
        <v>0</v>
      </c>
      <c r="CR248" s="52">
        <f t="shared" si="232"/>
        <v>6</v>
      </c>
      <c r="CS248" s="52">
        <f t="shared" si="232"/>
        <v>6</v>
      </c>
      <c r="CT248" s="52">
        <f t="shared" si="232"/>
        <v>5</v>
      </c>
      <c r="CU248" s="52">
        <f t="shared" si="232"/>
        <v>5</v>
      </c>
      <c r="CV248" s="52">
        <f t="shared" si="232"/>
        <v>4</v>
      </c>
      <c r="CW248" s="52">
        <f t="shared" si="232"/>
        <v>4</v>
      </c>
      <c r="CX248" s="52">
        <f t="shared" si="232"/>
        <v>4</v>
      </c>
      <c r="CY248" s="52">
        <f t="shared" si="232"/>
        <v>4</v>
      </c>
      <c r="CZ248" s="52">
        <f t="shared" si="232"/>
        <v>4</v>
      </c>
      <c r="DA248" s="52">
        <f t="shared" si="232"/>
        <v>3</v>
      </c>
      <c r="DB248" s="52">
        <f t="shared" si="232"/>
        <v>3</v>
      </c>
      <c r="DC248" s="52">
        <f t="shared" si="232"/>
        <v>3</v>
      </c>
      <c r="DD248" s="52">
        <f t="shared" si="232"/>
        <v>3</v>
      </c>
      <c r="DE248" s="52">
        <f t="shared" si="232"/>
        <v>2</v>
      </c>
      <c r="DF248" s="52">
        <f t="shared" si="232"/>
        <v>2</v>
      </c>
      <c r="DG248" s="52">
        <f t="shared" si="232"/>
        <v>2</v>
      </c>
      <c r="DH248" s="52">
        <f t="shared" si="232"/>
        <v>2</v>
      </c>
      <c r="DI248" s="52">
        <f t="shared" si="232"/>
        <v>2</v>
      </c>
      <c r="DJ248" s="52">
        <f t="shared" si="232"/>
        <v>1</v>
      </c>
    </row>
    <row r="249" ht="15.75" customHeight="1">
      <c r="B249" s="52" t="s">
        <v>1792</v>
      </c>
      <c r="C249" s="52">
        <v>31.0</v>
      </c>
      <c r="D249" s="52" t="s">
        <v>1787</v>
      </c>
      <c r="E249" s="58"/>
      <c r="F249" s="58"/>
      <c r="G249" s="58"/>
      <c r="H249" s="58"/>
      <c r="I249" s="58"/>
      <c r="J249" s="65">
        <v>0.08</v>
      </c>
      <c r="K249" s="65">
        <v>0.08</v>
      </c>
      <c r="L249" s="65">
        <v>0.07</v>
      </c>
      <c r="M249" s="65">
        <v>0.07</v>
      </c>
      <c r="N249" s="65">
        <v>0.06</v>
      </c>
      <c r="O249" s="65">
        <v>0.06</v>
      </c>
      <c r="P249" s="65">
        <v>0.05</v>
      </c>
      <c r="Q249" s="65">
        <v>0.05</v>
      </c>
      <c r="R249" s="65">
        <v>0.05</v>
      </c>
      <c r="S249" s="65">
        <v>0.04</v>
      </c>
      <c r="T249" s="65">
        <v>0.04</v>
      </c>
      <c r="U249" s="65">
        <v>0.04</v>
      </c>
      <c r="V249" s="65">
        <v>0.04</v>
      </c>
      <c r="W249" s="65">
        <v>0.03</v>
      </c>
      <c r="X249" s="65">
        <v>0.03</v>
      </c>
      <c r="Y249" s="65">
        <v>0.03</v>
      </c>
      <c r="Z249" s="65">
        <v>0.03</v>
      </c>
      <c r="AA249" s="65">
        <v>0.03</v>
      </c>
      <c r="AB249" s="65">
        <v>0.02</v>
      </c>
      <c r="AC249" s="65">
        <v>0.02</v>
      </c>
      <c r="AD249" s="65">
        <v>0.03</v>
      </c>
      <c r="CO249" s="52">
        <f t="shared" ref="CO249:DJ249" si="233">ROUND($CO30*E249,0)</f>
        <v>0</v>
      </c>
      <c r="CP249" s="52">
        <f t="shared" si="233"/>
        <v>0</v>
      </c>
      <c r="CQ249" s="52">
        <f t="shared" si="233"/>
        <v>0</v>
      </c>
      <c r="CR249" s="52">
        <f t="shared" si="233"/>
        <v>0</v>
      </c>
      <c r="CS249" s="52">
        <f t="shared" si="233"/>
        <v>0</v>
      </c>
      <c r="CT249" s="52">
        <f t="shared" si="233"/>
        <v>1</v>
      </c>
      <c r="CU249" s="52">
        <f t="shared" si="233"/>
        <v>1</v>
      </c>
      <c r="CV249" s="52">
        <f t="shared" si="233"/>
        <v>1</v>
      </c>
      <c r="CW249" s="52">
        <f t="shared" si="233"/>
        <v>1</v>
      </c>
      <c r="CX249" s="52">
        <f t="shared" si="233"/>
        <v>1</v>
      </c>
      <c r="CY249" s="52">
        <f t="shared" si="233"/>
        <v>1</v>
      </c>
      <c r="CZ249" s="52">
        <f t="shared" si="233"/>
        <v>1</v>
      </c>
      <c r="DA249" s="52">
        <f t="shared" si="233"/>
        <v>1</v>
      </c>
      <c r="DB249" s="52">
        <f t="shared" si="233"/>
        <v>1</v>
      </c>
      <c r="DC249" s="52">
        <f t="shared" si="233"/>
        <v>1</v>
      </c>
      <c r="DD249" s="52">
        <f t="shared" si="233"/>
        <v>1</v>
      </c>
      <c r="DE249" s="52">
        <f t="shared" si="233"/>
        <v>1</v>
      </c>
      <c r="DF249" s="52">
        <f t="shared" si="233"/>
        <v>1</v>
      </c>
      <c r="DG249" s="52">
        <f t="shared" si="233"/>
        <v>0</v>
      </c>
      <c r="DH249" s="52">
        <f t="shared" si="233"/>
        <v>0</v>
      </c>
      <c r="DI249" s="52">
        <f t="shared" si="233"/>
        <v>0</v>
      </c>
      <c r="DJ249" s="52">
        <f t="shared" si="233"/>
        <v>0</v>
      </c>
    </row>
    <row r="250" ht="15.75" customHeight="1">
      <c r="B250" s="52" t="s">
        <v>1792</v>
      </c>
      <c r="C250" s="52">
        <v>31.0</v>
      </c>
      <c r="D250" s="52" t="s">
        <v>1788</v>
      </c>
      <c r="E250" s="58"/>
      <c r="F250" s="58"/>
      <c r="G250" s="58"/>
      <c r="H250" s="58"/>
      <c r="I250" s="58"/>
      <c r="J250" s="58"/>
      <c r="K250" s="65">
        <v>0.08</v>
      </c>
      <c r="L250" s="65">
        <v>0.08</v>
      </c>
      <c r="M250" s="65">
        <v>0.07</v>
      </c>
      <c r="N250" s="65">
        <v>0.07</v>
      </c>
      <c r="O250" s="65">
        <v>0.06</v>
      </c>
      <c r="P250" s="65">
        <v>0.06</v>
      </c>
      <c r="Q250" s="65">
        <v>0.05</v>
      </c>
      <c r="R250" s="65">
        <v>0.05</v>
      </c>
      <c r="S250" s="65">
        <v>0.05</v>
      </c>
      <c r="T250" s="65">
        <v>0.04</v>
      </c>
      <c r="U250" s="65">
        <v>0.04</v>
      </c>
      <c r="V250" s="65">
        <v>0.04</v>
      </c>
      <c r="W250" s="65">
        <v>0.04</v>
      </c>
      <c r="X250" s="65">
        <v>0.03</v>
      </c>
      <c r="Y250" s="65">
        <v>0.03</v>
      </c>
      <c r="Z250" s="65">
        <v>0.03</v>
      </c>
      <c r="AA250" s="65">
        <v>0.03</v>
      </c>
      <c r="AB250" s="65">
        <v>0.03</v>
      </c>
      <c r="AC250" s="65">
        <v>0.02</v>
      </c>
      <c r="AD250" s="65">
        <v>0.02</v>
      </c>
      <c r="CO250" s="52">
        <f t="shared" ref="CO250:DJ250" si="234">ROUND($CO31*E250,0)</f>
        <v>0</v>
      </c>
      <c r="CP250" s="52">
        <f t="shared" si="234"/>
        <v>0</v>
      </c>
      <c r="CQ250" s="52">
        <f t="shared" si="234"/>
        <v>0</v>
      </c>
      <c r="CR250" s="52">
        <f t="shared" si="234"/>
        <v>0</v>
      </c>
      <c r="CS250" s="52">
        <f t="shared" si="234"/>
        <v>0</v>
      </c>
      <c r="CT250" s="52">
        <f t="shared" si="234"/>
        <v>0</v>
      </c>
      <c r="CU250" s="52">
        <f t="shared" si="234"/>
        <v>1</v>
      </c>
      <c r="CV250" s="52">
        <f t="shared" si="234"/>
        <v>1</v>
      </c>
      <c r="CW250" s="52">
        <f t="shared" si="234"/>
        <v>1</v>
      </c>
      <c r="CX250" s="52">
        <f t="shared" si="234"/>
        <v>1</v>
      </c>
      <c r="CY250" s="52">
        <f t="shared" si="234"/>
        <v>1</v>
      </c>
      <c r="CZ250" s="52">
        <f t="shared" si="234"/>
        <v>1</v>
      </c>
      <c r="DA250" s="52">
        <f t="shared" si="234"/>
        <v>1</v>
      </c>
      <c r="DB250" s="52">
        <f t="shared" si="234"/>
        <v>1</v>
      </c>
      <c r="DC250" s="52">
        <f t="shared" si="234"/>
        <v>1</v>
      </c>
      <c r="DD250" s="52">
        <f t="shared" si="234"/>
        <v>0</v>
      </c>
      <c r="DE250" s="52">
        <f t="shared" si="234"/>
        <v>0</v>
      </c>
      <c r="DF250" s="52">
        <f t="shared" si="234"/>
        <v>0</v>
      </c>
      <c r="DG250" s="52">
        <f t="shared" si="234"/>
        <v>0</v>
      </c>
      <c r="DH250" s="52">
        <f t="shared" si="234"/>
        <v>0</v>
      </c>
      <c r="DI250" s="52">
        <f t="shared" si="234"/>
        <v>0</v>
      </c>
      <c r="DJ250" s="52">
        <f t="shared" si="234"/>
        <v>0</v>
      </c>
    </row>
    <row r="251" ht="15.75" customHeight="1">
      <c r="B251" s="52" t="s">
        <v>1792</v>
      </c>
      <c r="C251" s="52">
        <v>31.0</v>
      </c>
      <c r="D251" s="52" t="s">
        <v>1789</v>
      </c>
      <c r="E251" s="58"/>
      <c r="F251" s="58"/>
      <c r="G251" s="58"/>
      <c r="H251" s="58"/>
      <c r="I251" s="58"/>
      <c r="J251" s="58"/>
      <c r="K251" s="58"/>
      <c r="L251" s="65">
        <v>0.08</v>
      </c>
      <c r="M251" s="65">
        <v>0.08</v>
      </c>
      <c r="N251" s="65">
        <v>0.07</v>
      </c>
      <c r="O251" s="65">
        <v>0.07</v>
      </c>
      <c r="P251" s="65">
        <v>0.06</v>
      </c>
      <c r="Q251" s="65">
        <v>0.06</v>
      </c>
      <c r="R251" s="65">
        <v>0.05</v>
      </c>
      <c r="S251" s="65">
        <v>0.05</v>
      </c>
      <c r="T251" s="65">
        <v>0.05</v>
      </c>
      <c r="U251" s="65">
        <v>0.04</v>
      </c>
      <c r="V251" s="65">
        <v>0.04</v>
      </c>
      <c r="W251" s="65">
        <v>0.04</v>
      </c>
      <c r="X251" s="65">
        <v>0.04</v>
      </c>
      <c r="Y251" s="65">
        <v>0.03</v>
      </c>
      <c r="Z251" s="65">
        <v>0.03</v>
      </c>
      <c r="AA251" s="65">
        <v>0.03</v>
      </c>
      <c r="AB251" s="65">
        <v>0.03</v>
      </c>
      <c r="AC251" s="65">
        <v>0.03</v>
      </c>
      <c r="AD251" s="65">
        <v>0.02</v>
      </c>
      <c r="CO251" s="52">
        <f t="shared" ref="CO251:DJ251" si="235">ROUND($CO32*E251,0)</f>
        <v>0</v>
      </c>
      <c r="CP251" s="52">
        <f t="shared" si="235"/>
        <v>0</v>
      </c>
      <c r="CQ251" s="52">
        <f t="shared" si="235"/>
        <v>0</v>
      </c>
      <c r="CR251" s="52">
        <f t="shared" si="235"/>
        <v>0</v>
      </c>
      <c r="CS251" s="52">
        <f t="shared" si="235"/>
        <v>0</v>
      </c>
      <c r="CT251" s="52">
        <f t="shared" si="235"/>
        <v>0</v>
      </c>
      <c r="CU251" s="52">
        <f t="shared" si="235"/>
        <v>0</v>
      </c>
      <c r="CV251" s="52">
        <f t="shared" si="235"/>
        <v>2</v>
      </c>
      <c r="CW251" s="52">
        <f t="shared" si="235"/>
        <v>2</v>
      </c>
      <c r="CX251" s="52">
        <f t="shared" si="235"/>
        <v>2</v>
      </c>
      <c r="CY251" s="52">
        <f t="shared" si="235"/>
        <v>2</v>
      </c>
      <c r="CZ251" s="52">
        <f t="shared" si="235"/>
        <v>1</v>
      </c>
      <c r="DA251" s="52">
        <f t="shared" si="235"/>
        <v>1</v>
      </c>
      <c r="DB251" s="52">
        <f t="shared" si="235"/>
        <v>1</v>
      </c>
      <c r="DC251" s="52">
        <f t="shared" si="235"/>
        <v>1</v>
      </c>
      <c r="DD251" s="52">
        <f t="shared" si="235"/>
        <v>1</v>
      </c>
      <c r="DE251" s="52">
        <f t="shared" si="235"/>
        <v>1</v>
      </c>
      <c r="DF251" s="52">
        <f t="shared" si="235"/>
        <v>1</v>
      </c>
      <c r="DG251" s="52">
        <f t="shared" si="235"/>
        <v>1</v>
      </c>
      <c r="DH251" s="52">
        <f t="shared" si="235"/>
        <v>1</v>
      </c>
      <c r="DI251" s="52">
        <f t="shared" si="235"/>
        <v>1</v>
      </c>
      <c r="DJ251" s="52">
        <f t="shared" si="235"/>
        <v>1</v>
      </c>
    </row>
    <row r="252" ht="15.75" customHeight="1">
      <c r="B252" s="52" t="s">
        <v>1792</v>
      </c>
      <c r="C252" s="52">
        <v>31.0</v>
      </c>
      <c r="D252" s="52" t="s">
        <v>1790</v>
      </c>
      <c r="E252" s="58"/>
      <c r="F252" s="58"/>
      <c r="G252" s="58"/>
      <c r="H252" s="58"/>
      <c r="I252" s="58"/>
      <c r="J252" s="58"/>
      <c r="K252" s="58"/>
      <c r="L252" s="58"/>
      <c r="M252" s="58"/>
      <c r="N252" s="65">
        <v>0.08</v>
      </c>
      <c r="O252" s="65">
        <v>0.08</v>
      </c>
      <c r="P252" s="65">
        <v>0.07</v>
      </c>
      <c r="Q252" s="65">
        <v>0.07</v>
      </c>
      <c r="R252" s="65">
        <v>0.06</v>
      </c>
      <c r="S252" s="65">
        <v>0.06</v>
      </c>
      <c r="T252" s="65">
        <v>0.05</v>
      </c>
      <c r="U252" s="65">
        <v>0.05</v>
      </c>
      <c r="V252" s="65">
        <v>0.05</v>
      </c>
      <c r="W252" s="65">
        <v>0.04</v>
      </c>
      <c r="X252" s="65">
        <v>0.04</v>
      </c>
      <c r="Y252" s="65">
        <v>0.04</v>
      </c>
      <c r="Z252" s="65">
        <v>0.04</v>
      </c>
      <c r="AA252" s="65">
        <v>0.03</v>
      </c>
      <c r="AB252" s="65">
        <v>0.03</v>
      </c>
      <c r="AC252" s="65">
        <v>0.03</v>
      </c>
      <c r="AD252" s="65">
        <v>0.03</v>
      </c>
      <c r="CO252" s="52">
        <f t="shared" ref="CO252:DJ252" si="236">ROUND($CO33*E252,0)</f>
        <v>0</v>
      </c>
      <c r="CP252" s="52">
        <f t="shared" si="236"/>
        <v>0</v>
      </c>
      <c r="CQ252" s="52">
        <f t="shared" si="236"/>
        <v>0</v>
      </c>
      <c r="CR252" s="52">
        <f t="shared" si="236"/>
        <v>0</v>
      </c>
      <c r="CS252" s="52">
        <f t="shared" si="236"/>
        <v>0</v>
      </c>
      <c r="CT252" s="52">
        <f t="shared" si="236"/>
        <v>0</v>
      </c>
      <c r="CU252" s="52">
        <f t="shared" si="236"/>
        <v>0</v>
      </c>
      <c r="CV252" s="52">
        <f t="shared" si="236"/>
        <v>0</v>
      </c>
      <c r="CW252" s="52">
        <f t="shared" si="236"/>
        <v>0</v>
      </c>
      <c r="CX252" s="52">
        <f t="shared" si="236"/>
        <v>3</v>
      </c>
      <c r="CY252" s="52">
        <f t="shared" si="236"/>
        <v>3</v>
      </c>
      <c r="CZ252" s="52">
        <f t="shared" si="236"/>
        <v>2</v>
      </c>
      <c r="DA252" s="52">
        <f t="shared" si="236"/>
        <v>2</v>
      </c>
      <c r="DB252" s="52">
        <f t="shared" si="236"/>
        <v>2</v>
      </c>
      <c r="DC252" s="52">
        <f t="shared" si="236"/>
        <v>2</v>
      </c>
      <c r="DD252" s="52">
        <f t="shared" si="236"/>
        <v>2</v>
      </c>
      <c r="DE252" s="52">
        <f t="shared" si="236"/>
        <v>2</v>
      </c>
      <c r="DF252" s="52">
        <f t="shared" si="236"/>
        <v>2</v>
      </c>
      <c r="DG252" s="52">
        <f t="shared" si="236"/>
        <v>1</v>
      </c>
      <c r="DH252" s="52">
        <f t="shared" si="236"/>
        <v>1</v>
      </c>
      <c r="DI252" s="52">
        <f t="shared" si="236"/>
        <v>1</v>
      </c>
      <c r="DJ252" s="52">
        <f t="shared" si="236"/>
        <v>1</v>
      </c>
    </row>
    <row r="253" ht="15.75" customHeight="1">
      <c r="B253" s="52" t="s">
        <v>1792</v>
      </c>
      <c r="C253" s="52">
        <v>32.0</v>
      </c>
      <c r="D253" s="52">
        <v>0.0</v>
      </c>
      <c r="E253" s="65">
        <v>0.07</v>
      </c>
      <c r="F253" s="65">
        <v>0.07</v>
      </c>
      <c r="G253" s="65">
        <v>0.07</v>
      </c>
      <c r="H253" s="65">
        <v>0.07</v>
      </c>
      <c r="I253" s="65">
        <v>0.07</v>
      </c>
      <c r="J253" s="65">
        <v>0.07</v>
      </c>
      <c r="K253" s="65">
        <v>0.07</v>
      </c>
      <c r="L253" s="65">
        <v>0.07</v>
      </c>
      <c r="M253" s="65">
        <v>0.07</v>
      </c>
      <c r="N253" s="65">
        <v>0.03</v>
      </c>
      <c r="O253" s="65">
        <v>0.03</v>
      </c>
      <c r="P253" s="65">
        <v>0.03</v>
      </c>
      <c r="Q253" s="65">
        <v>0.03</v>
      </c>
      <c r="R253" s="65">
        <v>0.03</v>
      </c>
      <c r="S253" s="65">
        <v>0.03</v>
      </c>
      <c r="T253" s="65">
        <v>0.03</v>
      </c>
      <c r="U253" s="65">
        <v>0.02</v>
      </c>
      <c r="V253" s="65">
        <v>0.02</v>
      </c>
      <c r="W253" s="65">
        <v>0.02</v>
      </c>
      <c r="X253" s="65">
        <v>0.02</v>
      </c>
      <c r="Y253" s="65">
        <v>0.02</v>
      </c>
      <c r="Z253" s="65">
        <v>0.02</v>
      </c>
      <c r="AA253" s="65">
        <v>0.02</v>
      </c>
      <c r="AB253" s="65">
        <v>0.02</v>
      </c>
      <c r="AC253" s="58"/>
      <c r="AD253" s="58"/>
      <c r="CP253" s="52">
        <f t="shared" ref="CP253:DJ253" si="237">ROUND($CP27*E253,0)</f>
        <v>7</v>
      </c>
      <c r="CQ253" s="52">
        <f t="shared" si="237"/>
        <v>7</v>
      </c>
      <c r="CR253" s="52">
        <f t="shared" si="237"/>
        <v>7</v>
      </c>
      <c r="CS253" s="52">
        <f t="shared" si="237"/>
        <v>7</v>
      </c>
      <c r="CT253" s="52">
        <f t="shared" si="237"/>
        <v>7</v>
      </c>
      <c r="CU253" s="52">
        <f t="shared" si="237"/>
        <v>7</v>
      </c>
      <c r="CV253" s="52">
        <f t="shared" si="237"/>
        <v>7</v>
      </c>
      <c r="CW253" s="52">
        <f t="shared" si="237"/>
        <v>7</v>
      </c>
      <c r="CX253" s="52">
        <f t="shared" si="237"/>
        <v>7</v>
      </c>
      <c r="CY253" s="52">
        <f t="shared" si="237"/>
        <v>3</v>
      </c>
      <c r="CZ253" s="52">
        <f t="shared" si="237"/>
        <v>3</v>
      </c>
      <c r="DA253" s="52">
        <f t="shared" si="237"/>
        <v>3</v>
      </c>
      <c r="DB253" s="52">
        <f t="shared" si="237"/>
        <v>3</v>
      </c>
      <c r="DC253" s="52">
        <f t="shared" si="237"/>
        <v>3</v>
      </c>
      <c r="DD253" s="52">
        <f t="shared" si="237"/>
        <v>3</v>
      </c>
      <c r="DE253" s="52">
        <f t="shared" si="237"/>
        <v>3</v>
      </c>
      <c r="DF253" s="52">
        <f t="shared" si="237"/>
        <v>2</v>
      </c>
      <c r="DG253" s="52">
        <f t="shared" si="237"/>
        <v>2</v>
      </c>
      <c r="DH253" s="52">
        <f t="shared" si="237"/>
        <v>2</v>
      </c>
      <c r="DI253" s="52">
        <f t="shared" si="237"/>
        <v>2</v>
      </c>
      <c r="DJ253" s="52">
        <f t="shared" si="237"/>
        <v>2</v>
      </c>
    </row>
    <row r="254" ht="15.75" customHeight="1">
      <c r="B254" s="52" t="s">
        <v>1792</v>
      </c>
      <c r="C254" s="52">
        <v>32.0</v>
      </c>
      <c r="D254" s="52" t="s">
        <v>1785</v>
      </c>
      <c r="E254" s="65">
        <v>0.02</v>
      </c>
      <c r="F254" s="65">
        <v>0.02</v>
      </c>
      <c r="G254" s="65">
        <v>0.02</v>
      </c>
      <c r="H254" s="65">
        <v>0.02</v>
      </c>
      <c r="I254" s="65">
        <v>0.08</v>
      </c>
      <c r="J254" s="65">
        <v>0.08</v>
      </c>
      <c r="K254" s="65">
        <v>0.07</v>
      </c>
      <c r="L254" s="65">
        <v>0.07</v>
      </c>
      <c r="M254" s="65">
        <v>0.06</v>
      </c>
      <c r="N254" s="65">
        <v>0.06</v>
      </c>
      <c r="O254" s="65">
        <v>0.05</v>
      </c>
      <c r="P254" s="65">
        <v>0.05</v>
      </c>
      <c r="Q254" s="65">
        <v>0.05</v>
      </c>
      <c r="R254" s="65">
        <v>0.04</v>
      </c>
      <c r="S254" s="65">
        <v>0.04</v>
      </c>
      <c r="T254" s="65">
        <v>0.04</v>
      </c>
      <c r="U254" s="65">
        <v>0.04</v>
      </c>
      <c r="V254" s="65">
        <v>0.03</v>
      </c>
      <c r="W254" s="65">
        <v>0.03</v>
      </c>
      <c r="X254" s="65">
        <v>0.03</v>
      </c>
      <c r="Y254" s="65">
        <v>0.03</v>
      </c>
      <c r="Z254" s="65">
        <v>0.03</v>
      </c>
      <c r="AA254" s="65">
        <v>0.02</v>
      </c>
      <c r="AB254" s="65">
        <v>0.02</v>
      </c>
      <c r="AC254" s="58"/>
      <c r="AD254" s="58"/>
      <c r="CP254" s="52">
        <f t="shared" ref="CP254:DJ254" si="238">ROUND($CP28*E254,0)</f>
        <v>0</v>
      </c>
      <c r="CQ254" s="52">
        <f t="shared" si="238"/>
        <v>0</v>
      </c>
      <c r="CR254" s="52">
        <f t="shared" si="238"/>
        <v>0</v>
      </c>
      <c r="CS254" s="52">
        <f t="shared" si="238"/>
        <v>0</v>
      </c>
      <c r="CT254" s="52">
        <f t="shared" si="238"/>
        <v>1</v>
      </c>
      <c r="CU254" s="52">
        <f t="shared" si="238"/>
        <v>1</v>
      </c>
      <c r="CV254" s="52">
        <f t="shared" si="238"/>
        <v>1</v>
      </c>
      <c r="CW254" s="52">
        <f t="shared" si="238"/>
        <v>1</v>
      </c>
      <c r="CX254" s="52">
        <f t="shared" si="238"/>
        <v>1</v>
      </c>
      <c r="CY254" s="52">
        <f t="shared" si="238"/>
        <v>1</v>
      </c>
      <c r="CZ254" s="52">
        <f t="shared" si="238"/>
        <v>1</v>
      </c>
      <c r="DA254" s="52">
        <f t="shared" si="238"/>
        <v>1</v>
      </c>
      <c r="DB254" s="52">
        <f t="shared" si="238"/>
        <v>1</v>
      </c>
      <c r="DC254" s="52">
        <f t="shared" si="238"/>
        <v>0</v>
      </c>
      <c r="DD254" s="52">
        <f t="shared" si="238"/>
        <v>0</v>
      </c>
      <c r="DE254" s="52">
        <f t="shared" si="238"/>
        <v>0</v>
      </c>
      <c r="DF254" s="52">
        <f t="shared" si="238"/>
        <v>0</v>
      </c>
      <c r="DG254" s="52">
        <f t="shared" si="238"/>
        <v>0</v>
      </c>
      <c r="DH254" s="52">
        <f t="shared" si="238"/>
        <v>0</v>
      </c>
      <c r="DI254" s="52">
        <f t="shared" si="238"/>
        <v>0</v>
      </c>
      <c r="DJ254" s="52">
        <f t="shared" si="238"/>
        <v>0</v>
      </c>
    </row>
    <row r="255" ht="15.75" customHeight="1">
      <c r="B255" s="52" t="s">
        <v>1792</v>
      </c>
      <c r="C255" s="52">
        <v>32.0</v>
      </c>
      <c r="D255" s="52" t="s">
        <v>1786</v>
      </c>
      <c r="E255" s="58"/>
      <c r="F255" s="58"/>
      <c r="G255" s="58"/>
      <c r="H255" s="65">
        <v>0.08</v>
      </c>
      <c r="I255" s="65">
        <v>0.08</v>
      </c>
      <c r="J255" s="65">
        <v>0.07</v>
      </c>
      <c r="K255" s="65">
        <v>0.07</v>
      </c>
      <c r="L255" s="65">
        <v>0.06</v>
      </c>
      <c r="M255" s="65">
        <v>0.06</v>
      </c>
      <c r="N255" s="65">
        <v>0.05</v>
      </c>
      <c r="O255" s="65">
        <v>0.05</v>
      </c>
      <c r="P255" s="65">
        <v>0.05</v>
      </c>
      <c r="Q255" s="65">
        <v>0.04</v>
      </c>
      <c r="R255" s="65">
        <v>0.04</v>
      </c>
      <c r="S255" s="65">
        <v>0.04</v>
      </c>
      <c r="T255" s="65">
        <v>0.04</v>
      </c>
      <c r="U255" s="65">
        <v>0.03</v>
      </c>
      <c r="V255" s="65">
        <v>0.03</v>
      </c>
      <c r="W255" s="65">
        <v>0.03</v>
      </c>
      <c r="X255" s="65">
        <v>0.03</v>
      </c>
      <c r="Y255" s="65">
        <v>0.03</v>
      </c>
      <c r="Z255" s="65">
        <v>0.02</v>
      </c>
      <c r="AA255" s="65">
        <v>0.02</v>
      </c>
      <c r="AB255" s="65">
        <v>0.03</v>
      </c>
      <c r="AC255" s="65">
        <v>0.03</v>
      </c>
      <c r="AD255" s="65">
        <v>0.02</v>
      </c>
      <c r="CP255" s="52">
        <f t="shared" ref="CP255:DJ255" si="239">ROUND($CP29*E255,0)</f>
        <v>0</v>
      </c>
      <c r="CQ255" s="52">
        <f t="shared" si="239"/>
        <v>0</v>
      </c>
      <c r="CR255" s="52">
        <f t="shared" si="239"/>
        <v>0</v>
      </c>
      <c r="CS255" s="52">
        <f t="shared" si="239"/>
        <v>1</v>
      </c>
      <c r="CT255" s="52">
        <f t="shared" si="239"/>
        <v>1</v>
      </c>
      <c r="CU255" s="52">
        <f t="shared" si="239"/>
        <v>1</v>
      </c>
      <c r="CV255" s="52">
        <f t="shared" si="239"/>
        <v>1</v>
      </c>
      <c r="CW255" s="52">
        <f t="shared" si="239"/>
        <v>1</v>
      </c>
      <c r="CX255" s="52">
        <f t="shared" si="239"/>
        <v>1</v>
      </c>
      <c r="CY255" s="52">
        <f t="shared" si="239"/>
        <v>1</v>
      </c>
      <c r="CZ255" s="52">
        <f t="shared" si="239"/>
        <v>1</v>
      </c>
      <c r="DA255" s="52">
        <f t="shared" si="239"/>
        <v>1</v>
      </c>
      <c r="DB255" s="52">
        <f t="shared" si="239"/>
        <v>1</v>
      </c>
      <c r="DC255" s="52">
        <f t="shared" si="239"/>
        <v>1</v>
      </c>
      <c r="DD255" s="52">
        <f t="shared" si="239"/>
        <v>1</v>
      </c>
      <c r="DE255" s="52">
        <f t="shared" si="239"/>
        <v>1</v>
      </c>
      <c r="DF255" s="52">
        <f t="shared" si="239"/>
        <v>1</v>
      </c>
      <c r="DG255" s="52">
        <f t="shared" si="239"/>
        <v>1</v>
      </c>
      <c r="DH255" s="52">
        <f t="shared" si="239"/>
        <v>1</v>
      </c>
      <c r="DI255" s="52">
        <f t="shared" si="239"/>
        <v>1</v>
      </c>
      <c r="DJ255" s="52">
        <f t="shared" si="239"/>
        <v>1</v>
      </c>
    </row>
    <row r="256" ht="15.75" customHeight="1">
      <c r="B256" s="52" t="s">
        <v>1792</v>
      </c>
      <c r="C256" s="52">
        <v>32.0</v>
      </c>
      <c r="D256" s="52" t="s">
        <v>1787</v>
      </c>
      <c r="E256" s="58"/>
      <c r="F256" s="58"/>
      <c r="G256" s="58"/>
      <c r="H256" s="58"/>
      <c r="I256" s="58"/>
      <c r="J256" s="65">
        <v>0.08</v>
      </c>
      <c r="K256" s="65">
        <v>0.08</v>
      </c>
      <c r="L256" s="65">
        <v>0.07</v>
      </c>
      <c r="M256" s="65">
        <v>0.07</v>
      </c>
      <c r="N256" s="65">
        <v>0.06</v>
      </c>
      <c r="O256" s="65">
        <v>0.06</v>
      </c>
      <c r="P256" s="65">
        <v>0.05</v>
      </c>
      <c r="Q256" s="65">
        <v>0.05</v>
      </c>
      <c r="R256" s="65">
        <v>0.05</v>
      </c>
      <c r="S256" s="65">
        <v>0.04</v>
      </c>
      <c r="T256" s="65">
        <v>0.04</v>
      </c>
      <c r="U256" s="65">
        <v>0.04</v>
      </c>
      <c r="V256" s="65">
        <v>0.04</v>
      </c>
      <c r="W256" s="65">
        <v>0.03</v>
      </c>
      <c r="X256" s="65">
        <v>0.03</v>
      </c>
      <c r="Y256" s="65">
        <v>0.03</v>
      </c>
      <c r="Z256" s="65">
        <v>0.03</v>
      </c>
      <c r="AA256" s="65">
        <v>0.03</v>
      </c>
      <c r="AB256" s="65">
        <v>0.02</v>
      </c>
      <c r="AC256" s="65">
        <v>0.02</v>
      </c>
      <c r="AD256" s="65">
        <v>0.03</v>
      </c>
      <c r="CP256" s="52">
        <f t="shared" ref="CP256:DJ256" si="240">ROUND($CP30*E256,0)</f>
        <v>0</v>
      </c>
      <c r="CQ256" s="52">
        <f t="shared" si="240"/>
        <v>0</v>
      </c>
      <c r="CR256" s="52">
        <f t="shared" si="240"/>
        <v>0</v>
      </c>
      <c r="CS256" s="52">
        <f t="shared" si="240"/>
        <v>0</v>
      </c>
      <c r="CT256" s="52">
        <f t="shared" si="240"/>
        <v>0</v>
      </c>
      <c r="CU256" s="52">
        <f t="shared" si="240"/>
        <v>0</v>
      </c>
      <c r="CV256" s="52">
        <f t="shared" si="240"/>
        <v>0</v>
      </c>
      <c r="CW256" s="52">
        <f t="shared" si="240"/>
        <v>0</v>
      </c>
      <c r="CX256" s="52">
        <f t="shared" si="240"/>
        <v>0</v>
      </c>
      <c r="CY256" s="52">
        <f t="shared" si="240"/>
        <v>0</v>
      </c>
      <c r="CZ256" s="52">
        <f t="shared" si="240"/>
        <v>0</v>
      </c>
      <c r="DA256" s="52">
        <f t="shared" si="240"/>
        <v>0</v>
      </c>
      <c r="DB256" s="52">
        <f t="shared" si="240"/>
        <v>0</v>
      </c>
      <c r="DC256" s="52">
        <f t="shared" si="240"/>
        <v>0</v>
      </c>
      <c r="DD256" s="52">
        <f t="shared" si="240"/>
        <v>0</v>
      </c>
      <c r="DE256" s="52">
        <f t="shared" si="240"/>
        <v>0</v>
      </c>
      <c r="DF256" s="52">
        <f t="shared" si="240"/>
        <v>0</v>
      </c>
      <c r="DG256" s="52">
        <f t="shared" si="240"/>
        <v>0</v>
      </c>
      <c r="DH256" s="52">
        <f t="shared" si="240"/>
        <v>0</v>
      </c>
      <c r="DI256" s="52">
        <f t="shared" si="240"/>
        <v>0</v>
      </c>
      <c r="DJ256" s="52">
        <f t="shared" si="240"/>
        <v>0</v>
      </c>
    </row>
    <row r="257" ht="15.75" customHeight="1">
      <c r="B257" s="52" t="s">
        <v>1792</v>
      </c>
      <c r="C257" s="52">
        <v>32.0</v>
      </c>
      <c r="D257" s="52" t="s">
        <v>1788</v>
      </c>
      <c r="E257" s="58"/>
      <c r="F257" s="58"/>
      <c r="G257" s="58"/>
      <c r="H257" s="58"/>
      <c r="I257" s="58"/>
      <c r="J257" s="58"/>
      <c r="K257" s="65">
        <v>0.08</v>
      </c>
      <c r="L257" s="65">
        <v>0.08</v>
      </c>
      <c r="M257" s="65">
        <v>0.07</v>
      </c>
      <c r="N257" s="65">
        <v>0.07</v>
      </c>
      <c r="O257" s="65">
        <v>0.06</v>
      </c>
      <c r="P257" s="65">
        <v>0.06</v>
      </c>
      <c r="Q257" s="65">
        <v>0.05</v>
      </c>
      <c r="R257" s="65">
        <v>0.05</v>
      </c>
      <c r="S257" s="65">
        <v>0.05</v>
      </c>
      <c r="T257" s="65">
        <v>0.04</v>
      </c>
      <c r="U257" s="65">
        <v>0.04</v>
      </c>
      <c r="V257" s="65">
        <v>0.04</v>
      </c>
      <c r="W257" s="65">
        <v>0.04</v>
      </c>
      <c r="X257" s="65">
        <v>0.03</v>
      </c>
      <c r="Y257" s="65">
        <v>0.03</v>
      </c>
      <c r="Z257" s="65">
        <v>0.03</v>
      </c>
      <c r="AA257" s="65">
        <v>0.03</v>
      </c>
      <c r="AB257" s="65">
        <v>0.03</v>
      </c>
      <c r="AC257" s="65">
        <v>0.02</v>
      </c>
      <c r="AD257" s="65">
        <v>0.02</v>
      </c>
      <c r="CP257" s="52">
        <f t="shared" ref="CP257:DJ257" si="241">ROUND($CP31*E257,0)</f>
        <v>0</v>
      </c>
      <c r="CQ257" s="52">
        <f t="shared" si="241"/>
        <v>0</v>
      </c>
      <c r="CR257" s="52">
        <f t="shared" si="241"/>
        <v>0</v>
      </c>
      <c r="CS257" s="52">
        <f t="shared" si="241"/>
        <v>0</v>
      </c>
      <c r="CT257" s="52">
        <f t="shared" si="241"/>
        <v>0</v>
      </c>
      <c r="CU257" s="52">
        <f t="shared" si="241"/>
        <v>0</v>
      </c>
      <c r="CV257" s="52">
        <f t="shared" si="241"/>
        <v>0</v>
      </c>
      <c r="CW257" s="52">
        <f t="shared" si="241"/>
        <v>0</v>
      </c>
      <c r="CX257" s="52">
        <f t="shared" si="241"/>
        <v>0</v>
      </c>
      <c r="CY257" s="52">
        <f t="shared" si="241"/>
        <v>0</v>
      </c>
      <c r="CZ257" s="52">
        <f t="shared" si="241"/>
        <v>0</v>
      </c>
      <c r="DA257" s="52">
        <f t="shared" si="241"/>
        <v>0</v>
      </c>
      <c r="DB257" s="52">
        <f t="shared" si="241"/>
        <v>0</v>
      </c>
      <c r="DC257" s="52">
        <f t="shared" si="241"/>
        <v>0</v>
      </c>
      <c r="DD257" s="52">
        <f t="shared" si="241"/>
        <v>0</v>
      </c>
      <c r="DE257" s="52">
        <f t="shared" si="241"/>
        <v>0</v>
      </c>
      <c r="DF257" s="52">
        <f t="shared" si="241"/>
        <v>0</v>
      </c>
      <c r="DG257" s="52">
        <f t="shared" si="241"/>
        <v>0</v>
      </c>
      <c r="DH257" s="52">
        <f t="shared" si="241"/>
        <v>0</v>
      </c>
      <c r="DI257" s="52">
        <f t="shared" si="241"/>
        <v>0</v>
      </c>
      <c r="DJ257" s="52">
        <f t="shared" si="241"/>
        <v>0</v>
      </c>
    </row>
    <row r="258" ht="15.75" customHeight="1">
      <c r="B258" s="52" t="s">
        <v>1792</v>
      </c>
      <c r="C258" s="52">
        <v>32.0</v>
      </c>
      <c r="D258" s="52" t="s">
        <v>1789</v>
      </c>
      <c r="E258" s="58"/>
      <c r="F258" s="58"/>
      <c r="G258" s="58"/>
      <c r="H258" s="58"/>
      <c r="I258" s="58"/>
      <c r="J258" s="58"/>
      <c r="K258" s="58"/>
      <c r="L258" s="65">
        <v>0.08</v>
      </c>
      <c r="M258" s="65">
        <v>0.08</v>
      </c>
      <c r="N258" s="65">
        <v>0.07</v>
      </c>
      <c r="O258" s="65">
        <v>0.07</v>
      </c>
      <c r="P258" s="65">
        <v>0.06</v>
      </c>
      <c r="Q258" s="65">
        <v>0.06</v>
      </c>
      <c r="R258" s="65">
        <v>0.05</v>
      </c>
      <c r="S258" s="65">
        <v>0.05</v>
      </c>
      <c r="T258" s="65">
        <v>0.05</v>
      </c>
      <c r="U258" s="65">
        <v>0.04</v>
      </c>
      <c r="V258" s="65">
        <v>0.04</v>
      </c>
      <c r="W258" s="65">
        <v>0.04</v>
      </c>
      <c r="X258" s="65">
        <v>0.04</v>
      </c>
      <c r="Y258" s="65">
        <v>0.03</v>
      </c>
      <c r="Z258" s="65">
        <v>0.03</v>
      </c>
      <c r="AA258" s="65">
        <v>0.03</v>
      </c>
      <c r="AB258" s="65">
        <v>0.03</v>
      </c>
      <c r="AC258" s="65">
        <v>0.03</v>
      </c>
      <c r="AD258" s="65">
        <v>0.02</v>
      </c>
      <c r="CP258" s="52">
        <f t="shared" ref="CP258:DJ258" si="242">ROUND($CP32*E258,0)</f>
        <v>0</v>
      </c>
      <c r="CQ258" s="52">
        <f t="shared" si="242"/>
        <v>0</v>
      </c>
      <c r="CR258" s="52">
        <f t="shared" si="242"/>
        <v>0</v>
      </c>
      <c r="CS258" s="52">
        <f t="shared" si="242"/>
        <v>0</v>
      </c>
      <c r="CT258" s="52">
        <f t="shared" si="242"/>
        <v>0</v>
      </c>
      <c r="CU258" s="52">
        <f t="shared" si="242"/>
        <v>0</v>
      </c>
      <c r="CV258" s="52">
        <f t="shared" si="242"/>
        <v>0</v>
      </c>
      <c r="CW258" s="52">
        <f t="shared" si="242"/>
        <v>0</v>
      </c>
      <c r="CX258" s="52">
        <f t="shared" si="242"/>
        <v>0</v>
      </c>
      <c r="CY258" s="52">
        <f t="shared" si="242"/>
        <v>0</v>
      </c>
      <c r="CZ258" s="52">
        <f t="shared" si="242"/>
        <v>0</v>
      </c>
      <c r="DA258" s="52">
        <f t="shared" si="242"/>
        <v>0</v>
      </c>
      <c r="DB258" s="52">
        <f t="shared" si="242"/>
        <v>0</v>
      </c>
      <c r="DC258" s="52">
        <f t="shared" si="242"/>
        <v>0</v>
      </c>
      <c r="DD258" s="52">
        <f t="shared" si="242"/>
        <v>0</v>
      </c>
      <c r="DE258" s="52">
        <f t="shared" si="242"/>
        <v>0</v>
      </c>
      <c r="DF258" s="52">
        <f t="shared" si="242"/>
        <v>0</v>
      </c>
      <c r="DG258" s="52">
        <f t="shared" si="242"/>
        <v>0</v>
      </c>
      <c r="DH258" s="52">
        <f t="shared" si="242"/>
        <v>0</v>
      </c>
      <c r="DI258" s="52">
        <f t="shared" si="242"/>
        <v>0</v>
      </c>
      <c r="DJ258" s="52">
        <f t="shared" si="242"/>
        <v>0</v>
      </c>
    </row>
    <row r="259" ht="15.75" customHeight="1">
      <c r="B259" s="52" t="s">
        <v>1792</v>
      </c>
      <c r="C259" s="52">
        <v>32.0</v>
      </c>
      <c r="D259" s="52" t="s">
        <v>1790</v>
      </c>
      <c r="E259" s="58"/>
      <c r="F259" s="58"/>
      <c r="G259" s="58"/>
      <c r="H259" s="58"/>
      <c r="I259" s="58"/>
      <c r="J259" s="58"/>
      <c r="K259" s="58"/>
      <c r="L259" s="58"/>
      <c r="M259" s="58"/>
      <c r="N259" s="65">
        <v>0.08</v>
      </c>
      <c r="O259" s="65">
        <v>0.08</v>
      </c>
      <c r="P259" s="65">
        <v>0.07</v>
      </c>
      <c r="Q259" s="65">
        <v>0.07</v>
      </c>
      <c r="R259" s="65">
        <v>0.06</v>
      </c>
      <c r="S259" s="65">
        <v>0.06</v>
      </c>
      <c r="T259" s="65">
        <v>0.05</v>
      </c>
      <c r="U259" s="65">
        <v>0.05</v>
      </c>
      <c r="V259" s="65">
        <v>0.05</v>
      </c>
      <c r="W259" s="65">
        <v>0.04</v>
      </c>
      <c r="X259" s="65">
        <v>0.04</v>
      </c>
      <c r="Y259" s="65">
        <v>0.04</v>
      </c>
      <c r="Z259" s="65">
        <v>0.04</v>
      </c>
      <c r="AA259" s="65">
        <v>0.03</v>
      </c>
      <c r="AB259" s="65">
        <v>0.03</v>
      </c>
      <c r="AC259" s="65">
        <v>0.03</v>
      </c>
      <c r="AD259" s="65">
        <v>0.03</v>
      </c>
      <c r="CP259" s="52">
        <f t="shared" ref="CP259:DJ259" si="243">ROUND($CP33*E259,0)</f>
        <v>0</v>
      </c>
      <c r="CQ259" s="52">
        <f t="shared" si="243"/>
        <v>0</v>
      </c>
      <c r="CR259" s="52">
        <f t="shared" si="243"/>
        <v>0</v>
      </c>
      <c r="CS259" s="52">
        <f t="shared" si="243"/>
        <v>0</v>
      </c>
      <c r="CT259" s="52">
        <f t="shared" si="243"/>
        <v>0</v>
      </c>
      <c r="CU259" s="52">
        <f t="shared" si="243"/>
        <v>0</v>
      </c>
      <c r="CV259" s="52">
        <f t="shared" si="243"/>
        <v>0</v>
      </c>
      <c r="CW259" s="52">
        <f t="shared" si="243"/>
        <v>0</v>
      </c>
      <c r="CX259" s="52">
        <f t="shared" si="243"/>
        <v>0</v>
      </c>
      <c r="CY259" s="52">
        <f t="shared" si="243"/>
        <v>1</v>
      </c>
      <c r="CZ259" s="52">
        <f t="shared" si="243"/>
        <v>1</v>
      </c>
      <c r="DA259" s="52">
        <f t="shared" si="243"/>
        <v>1</v>
      </c>
      <c r="DB259" s="52">
        <f t="shared" si="243"/>
        <v>1</v>
      </c>
      <c r="DC259" s="52">
        <f t="shared" si="243"/>
        <v>0</v>
      </c>
      <c r="DD259" s="52">
        <f t="shared" si="243"/>
        <v>0</v>
      </c>
      <c r="DE259" s="52">
        <f t="shared" si="243"/>
        <v>0</v>
      </c>
      <c r="DF259" s="52">
        <f t="shared" si="243"/>
        <v>0</v>
      </c>
      <c r="DG259" s="52">
        <f t="shared" si="243"/>
        <v>0</v>
      </c>
      <c r="DH259" s="52">
        <f t="shared" si="243"/>
        <v>0</v>
      </c>
      <c r="DI259" s="52">
        <f t="shared" si="243"/>
        <v>0</v>
      </c>
      <c r="DJ259" s="52">
        <f t="shared" si="243"/>
        <v>0</v>
      </c>
    </row>
    <row r="260" ht="15.75" customHeight="1">
      <c r="B260" s="52" t="s">
        <v>1792</v>
      </c>
      <c r="C260" s="52">
        <v>33.0</v>
      </c>
      <c r="D260" s="52">
        <v>0.0</v>
      </c>
      <c r="E260" s="65">
        <v>0.07</v>
      </c>
      <c r="F260" s="65">
        <v>0.07</v>
      </c>
      <c r="G260" s="65">
        <v>0.07</v>
      </c>
      <c r="H260" s="65">
        <v>0.07</v>
      </c>
      <c r="I260" s="65">
        <v>0.07</v>
      </c>
      <c r="J260" s="65">
        <v>0.07</v>
      </c>
      <c r="K260" s="65">
        <v>0.07</v>
      </c>
      <c r="L260" s="65">
        <v>0.07</v>
      </c>
      <c r="M260" s="65">
        <v>0.07</v>
      </c>
      <c r="N260" s="65">
        <v>0.03</v>
      </c>
      <c r="O260" s="65">
        <v>0.03</v>
      </c>
      <c r="P260" s="65">
        <v>0.03</v>
      </c>
      <c r="Q260" s="65">
        <v>0.03</v>
      </c>
      <c r="R260" s="65">
        <v>0.03</v>
      </c>
      <c r="S260" s="65">
        <v>0.03</v>
      </c>
      <c r="T260" s="65">
        <v>0.03</v>
      </c>
      <c r="U260" s="65">
        <v>0.02</v>
      </c>
      <c r="V260" s="65">
        <v>0.02</v>
      </c>
      <c r="W260" s="65">
        <v>0.02</v>
      </c>
      <c r="X260" s="65">
        <v>0.02</v>
      </c>
      <c r="Y260" s="65">
        <v>0.02</v>
      </c>
      <c r="Z260" s="65">
        <v>0.02</v>
      </c>
      <c r="AA260" s="65">
        <v>0.02</v>
      </c>
      <c r="AB260" s="65">
        <v>0.02</v>
      </c>
      <c r="AC260" s="58"/>
      <c r="AD260" s="58"/>
      <c r="CQ260" s="52">
        <f t="shared" ref="CQ260:DJ260" si="244">ROUND($CQ27*E260,0)</f>
        <v>7</v>
      </c>
      <c r="CR260" s="52">
        <f t="shared" si="244"/>
        <v>7</v>
      </c>
      <c r="CS260" s="52">
        <f t="shared" si="244"/>
        <v>7</v>
      </c>
      <c r="CT260" s="52">
        <f t="shared" si="244"/>
        <v>7</v>
      </c>
      <c r="CU260" s="52">
        <f t="shared" si="244"/>
        <v>7</v>
      </c>
      <c r="CV260" s="52">
        <f t="shared" si="244"/>
        <v>7</v>
      </c>
      <c r="CW260" s="52">
        <f t="shared" si="244"/>
        <v>7</v>
      </c>
      <c r="CX260" s="52">
        <f t="shared" si="244"/>
        <v>7</v>
      </c>
      <c r="CY260" s="52">
        <f t="shared" si="244"/>
        <v>7</v>
      </c>
      <c r="CZ260" s="52">
        <f t="shared" si="244"/>
        <v>3</v>
      </c>
      <c r="DA260" s="52">
        <f t="shared" si="244"/>
        <v>3</v>
      </c>
      <c r="DB260" s="52">
        <f t="shared" si="244"/>
        <v>3</v>
      </c>
      <c r="DC260" s="52">
        <f t="shared" si="244"/>
        <v>3</v>
      </c>
      <c r="DD260" s="52">
        <f t="shared" si="244"/>
        <v>3</v>
      </c>
      <c r="DE260" s="52">
        <f t="shared" si="244"/>
        <v>3</v>
      </c>
      <c r="DF260" s="52">
        <f t="shared" si="244"/>
        <v>3</v>
      </c>
      <c r="DG260" s="52">
        <f t="shared" si="244"/>
        <v>2</v>
      </c>
      <c r="DH260" s="52">
        <f t="shared" si="244"/>
        <v>2</v>
      </c>
      <c r="DI260" s="52">
        <f t="shared" si="244"/>
        <v>2</v>
      </c>
      <c r="DJ260" s="52">
        <f t="shared" si="244"/>
        <v>2</v>
      </c>
    </row>
    <row r="261" ht="15.75" customHeight="1">
      <c r="B261" s="52" t="s">
        <v>1792</v>
      </c>
      <c r="C261" s="52">
        <v>33.0</v>
      </c>
      <c r="D261" s="52" t="s">
        <v>1785</v>
      </c>
      <c r="E261" s="65">
        <v>0.02</v>
      </c>
      <c r="F261" s="65">
        <v>0.02</v>
      </c>
      <c r="G261" s="65">
        <v>0.02</v>
      </c>
      <c r="H261" s="65">
        <v>0.02</v>
      </c>
      <c r="I261" s="65">
        <v>0.08</v>
      </c>
      <c r="J261" s="65">
        <v>0.08</v>
      </c>
      <c r="K261" s="65">
        <v>0.07</v>
      </c>
      <c r="L261" s="65">
        <v>0.07</v>
      </c>
      <c r="M261" s="65">
        <v>0.06</v>
      </c>
      <c r="N261" s="65">
        <v>0.06</v>
      </c>
      <c r="O261" s="65">
        <v>0.05</v>
      </c>
      <c r="P261" s="65">
        <v>0.05</v>
      </c>
      <c r="Q261" s="65">
        <v>0.05</v>
      </c>
      <c r="R261" s="65">
        <v>0.04</v>
      </c>
      <c r="S261" s="65">
        <v>0.04</v>
      </c>
      <c r="T261" s="65">
        <v>0.04</v>
      </c>
      <c r="U261" s="65">
        <v>0.04</v>
      </c>
      <c r="V261" s="65">
        <v>0.03</v>
      </c>
      <c r="W261" s="65">
        <v>0.03</v>
      </c>
      <c r="X261" s="65">
        <v>0.03</v>
      </c>
      <c r="Y261" s="65">
        <v>0.03</v>
      </c>
      <c r="Z261" s="65">
        <v>0.03</v>
      </c>
      <c r="AA261" s="65">
        <v>0.02</v>
      </c>
      <c r="AB261" s="65">
        <v>0.02</v>
      </c>
      <c r="AC261" s="58"/>
      <c r="AD261" s="58"/>
      <c r="CQ261" s="52">
        <f t="shared" ref="CQ261:DJ261" si="245">ROUND($CQ28*E261,0)</f>
        <v>0</v>
      </c>
      <c r="CR261" s="52">
        <f t="shared" si="245"/>
        <v>0</v>
      </c>
      <c r="CS261" s="52">
        <f t="shared" si="245"/>
        <v>0</v>
      </c>
      <c r="CT261" s="52">
        <f t="shared" si="245"/>
        <v>0</v>
      </c>
      <c r="CU261" s="52">
        <f t="shared" si="245"/>
        <v>1</v>
      </c>
      <c r="CV261" s="52">
        <f t="shared" si="245"/>
        <v>1</v>
      </c>
      <c r="CW261" s="52">
        <f t="shared" si="245"/>
        <v>1</v>
      </c>
      <c r="CX261" s="52">
        <f t="shared" si="245"/>
        <v>1</v>
      </c>
      <c r="CY261" s="52">
        <f t="shared" si="245"/>
        <v>1</v>
      </c>
      <c r="CZ261" s="52">
        <f t="shared" si="245"/>
        <v>1</v>
      </c>
      <c r="DA261" s="52">
        <f t="shared" si="245"/>
        <v>1</v>
      </c>
      <c r="DB261" s="52">
        <f t="shared" si="245"/>
        <v>1</v>
      </c>
      <c r="DC261" s="52">
        <f t="shared" si="245"/>
        <v>1</v>
      </c>
      <c r="DD261" s="52">
        <f t="shared" si="245"/>
        <v>0</v>
      </c>
      <c r="DE261" s="52">
        <f t="shared" si="245"/>
        <v>0</v>
      </c>
      <c r="DF261" s="52">
        <f t="shared" si="245"/>
        <v>0</v>
      </c>
      <c r="DG261" s="52">
        <f t="shared" si="245"/>
        <v>0</v>
      </c>
      <c r="DH261" s="52">
        <f t="shared" si="245"/>
        <v>0</v>
      </c>
      <c r="DI261" s="52">
        <f t="shared" si="245"/>
        <v>0</v>
      </c>
      <c r="DJ261" s="52">
        <f t="shared" si="245"/>
        <v>0</v>
      </c>
    </row>
    <row r="262" ht="15.75" customHeight="1">
      <c r="B262" s="52" t="s">
        <v>1792</v>
      </c>
      <c r="C262" s="52">
        <v>33.0</v>
      </c>
      <c r="D262" s="52" t="s">
        <v>1786</v>
      </c>
      <c r="E262" s="58"/>
      <c r="F262" s="58"/>
      <c r="G262" s="58"/>
      <c r="H262" s="65">
        <v>0.08</v>
      </c>
      <c r="I262" s="65">
        <v>0.08</v>
      </c>
      <c r="J262" s="65">
        <v>0.07</v>
      </c>
      <c r="K262" s="65">
        <v>0.07</v>
      </c>
      <c r="L262" s="65">
        <v>0.06</v>
      </c>
      <c r="M262" s="65">
        <v>0.06</v>
      </c>
      <c r="N262" s="65">
        <v>0.05</v>
      </c>
      <c r="O262" s="65">
        <v>0.05</v>
      </c>
      <c r="P262" s="65">
        <v>0.05</v>
      </c>
      <c r="Q262" s="65">
        <v>0.04</v>
      </c>
      <c r="R262" s="65">
        <v>0.04</v>
      </c>
      <c r="S262" s="65">
        <v>0.04</v>
      </c>
      <c r="T262" s="65">
        <v>0.04</v>
      </c>
      <c r="U262" s="65">
        <v>0.03</v>
      </c>
      <c r="V262" s="65">
        <v>0.03</v>
      </c>
      <c r="W262" s="65">
        <v>0.03</v>
      </c>
      <c r="X262" s="65">
        <v>0.03</v>
      </c>
      <c r="Y262" s="65">
        <v>0.03</v>
      </c>
      <c r="Z262" s="65">
        <v>0.02</v>
      </c>
      <c r="AA262" s="65">
        <v>0.02</v>
      </c>
      <c r="AB262" s="65">
        <v>0.03</v>
      </c>
      <c r="AC262" s="65">
        <v>0.03</v>
      </c>
      <c r="AD262" s="65">
        <v>0.02</v>
      </c>
      <c r="CQ262" s="52">
        <f t="shared" ref="CQ262:DJ262" si="246">ROUND($CQ29*E262,0)</f>
        <v>0</v>
      </c>
      <c r="CR262" s="52">
        <f t="shared" si="246"/>
        <v>0</v>
      </c>
      <c r="CS262" s="52">
        <f t="shared" si="246"/>
        <v>0</v>
      </c>
      <c r="CT262" s="52">
        <f t="shared" si="246"/>
        <v>1</v>
      </c>
      <c r="CU262" s="52">
        <f t="shared" si="246"/>
        <v>1</v>
      </c>
      <c r="CV262" s="52">
        <f t="shared" si="246"/>
        <v>1</v>
      </c>
      <c r="CW262" s="52">
        <f t="shared" si="246"/>
        <v>1</v>
      </c>
      <c r="CX262" s="52">
        <f t="shared" si="246"/>
        <v>1</v>
      </c>
      <c r="CY262" s="52">
        <f t="shared" si="246"/>
        <v>1</v>
      </c>
      <c r="CZ262" s="52">
        <f t="shared" si="246"/>
        <v>1</v>
      </c>
      <c r="DA262" s="52">
        <f t="shared" si="246"/>
        <v>1</v>
      </c>
      <c r="DB262" s="52">
        <f t="shared" si="246"/>
        <v>1</v>
      </c>
      <c r="DC262" s="52">
        <f t="shared" si="246"/>
        <v>1</v>
      </c>
      <c r="DD262" s="52">
        <f t="shared" si="246"/>
        <v>1</v>
      </c>
      <c r="DE262" s="52">
        <f t="shared" si="246"/>
        <v>1</v>
      </c>
      <c r="DF262" s="52">
        <f t="shared" si="246"/>
        <v>1</v>
      </c>
      <c r="DG262" s="52">
        <f t="shared" si="246"/>
        <v>1</v>
      </c>
      <c r="DH262" s="52">
        <f t="shared" si="246"/>
        <v>1</v>
      </c>
      <c r="DI262" s="52">
        <f t="shared" si="246"/>
        <v>1</v>
      </c>
      <c r="DJ262" s="52">
        <f t="shared" si="246"/>
        <v>1</v>
      </c>
    </row>
    <row r="263" ht="15.75" customHeight="1">
      <c r="B263" s="52" t="s">
        <v>1792</v>
      </c>
      <c r="C263" s="52">
        <v>33.0</v>
      </c>
      <c r="D263" s="52" t="s">
        <v>1787</v>
      </c>
      <c r="E263" s="58"/>
      <c r="F263" s="58"/>
      <c r="G263" s="58"/>
      <c r="H263" s="58"/>
      <c r="I263" s="58"/>
      <c r="J263" s="65">
        <v>0.08</v>
      </c>
      <c r="K263" s="65">
        <v>0.08</v>
      </c>
      <c r="L263" s="65">
        <v>0.07</v>
      </c>
      <c r="M263" s="65">
        <v>0.07</v>
      </c>
      <c r="N263" s="65">
        <v>0.06</v>
      </c>
      <c r="O263" s="65">
        <v>0.06</v>
      </c>
      <c r="P263" s="65">
        <v>0.05</v>
      </c>
      <c r="Q263" s="65">
        <v>0.05</v>
      </c>
      <c r="R263" s="65">
        <v>0.05</v>
      </c>
      <c r="S263" s="65">
        <v>0.04</v>
      </c>
      <c r="T263" s="65">
        <v>0.04</v>
      </c>
      <c r="U263" s="65">
        <v>0.04</v>
      </c>
      <c r="V263" s="65">
        <v>0.04</v>
      </c>
      <c r="W263" s="65">
        <v>0.03</v>
      </c>
      <c r="X263" s="65">
        <v>0.03</v>
      </c>
      <c r="Y263" s="65">
        <v>0.03</v>
      </c>
      <c r="Z263" s="65">
        <v>0.03</v>
      </c>
      <c r="AA263" s="65">
        <v>0.03</v>
      </c>
      <c r="AB263" s="65">
        <v>0.02</v>
      </c>
      <c r="AC263" s="65">
        <v>0.02</v>
      </c>
      <c r="AD263" s="65">
        <v>0.03</v>
      </c>
      <c r="CQ263" s="52">
        <f t="shared" ref="CQ263:DJ263" si="247">ROUND($CQ30*E263,0)</f>
        <v>0</v>
      </c>
      <c r="CR263" s="52">
        <f t="shared" si="247"/>
        <v>0</v>
      </c>
      <c r="CS263" s="52">
        <f t="shared" si="247"/>
        <v>0</v>
      </c>
      <c r="CT263" s="52">
        <f t="shared" si="247"/>
        <v>0</v>
      </c>
      <c r="CU263" s="52">
        <f t="shared" si="247"/>
        <v>0</v>
      </c>
      <c r="CV263" s="52">
        <f t="shared" si="247"/>
        <v>0</v>
      </c>
      <c r="CW263" s="52">
        <f t="shared" si="247"/>
        <v>0</v>
      </c>
      <c r="CX263" s="52">
        <f t="shared" si="247"/>
        <v>0</v>
      </c>
      <c r="CY263" s="52">
        <f t="shared" si="247"/>
        <v>0</v>
      </c>
      <c r="CZ263" s="52">
        <f t="shared" si="247"/>
        <v>0</v>
      </c>
      <c r="DA263" s="52">
        <f t="shared" si="247"/>
        <v>0</v>
      </c>
      <c r="DB263" s="52">
        <f t="shared" si="247"/>
        <v>0</v>
      </c>
      <c r="DC263" s="52">
        <f t="shared" si="247"/>
        <v>0</v>
      </c>
      <c r="DD263" s="52">
        <f t="shared" si="247"/>
        <v>0</v>
      </c>
      <c r="DE263" s="52">
        <f t="shared" si="247"/>
        <v>0</v>
      </c>
      <c r="DF263" s="52">
        <f t="shared" si="247"/>
        <v>0</v>
      </c>
      <c r="DG263" s="52">
        <f t="shared" si="247"/>
        <v>0</v>
      </c>
      <c r="DH263" s="52">
        <f t="shared" si="247"/>
        <v>0</v>
      </c>
      <c r="DI263" s="52">
        <f t="shared" si="247"/>
        <v>0</v>
      </c>
      <c r="DJ263" s="52">
        <f t="shared" si="247"/>
        <v>0</v>
      </c>
    </row>
    <row r="264" ht="15.75" customHeight="1">
      <c r="B264" s="52" t="s">
        <v>1792</v>
      </c>
      <c r="C264" s="52">
        <v>33.0</v>
      </c>
      <c r="D264" s="52" t="s">
        <v>1788</v>
      </c>
      <c r="E264" s="58"/>
      <c r="F264" s="58"/>
      <c r="G264" s="58"/>
      <c r="H264" s="58"/>
      <c r="I264" s="58"/>
      <c r="J264" s="58"/>
      <c r="K264" s="65">
        <v>0.08</v>
      </c>
      <c r="L264" s="65">
        <v>0.08</v>
      </c>
      <c r="M264" s="65">
        <v>0.07</v>
      </c>
      <c r="N264" s="65">
        <v>0.07</v>
      </c>
      <c r="O264" s="65">
        <v>0.06</v>
      </c>
      <c r="P264" s="65">
        <v>0.06</v>
      </c>
      <c r="Q264" s="65">
        <v>0.05</v>
      </c>
      <c r="R264" s="65">
        <v>0.05</v>
      </c>
      <c r="S264" s="65">
        <v>0.05</v>
      </c>
      <c r="T264" s="65">
        <v>0.04</v>
      </c>
      <c r="U264" s="65">
        <v>0.04</v>
      </c>
      <c r="V264" s="65">
        <v>0.04</v>
      </c>
      <c r="W264" s="65">
        <v>0.04</v>
      </c>
      <c r="X264" s="65">
        <v>0.03</v>
      </c>
      <c r="Y264" s="65">
        <v>0.03</v>
      </c>
      <c r="Z264" s="65">
        <v>0.03</v>
      </c>
      <c r="AA264" s="65">
        <v>0.03</v>
      </c>
      <c r="AB264" s="65">
        <v>0.03</v>
      </c>
      <c r="AC264" s="65">
        <v>0.02</v>
      </c>
      <c r="AD264" s="65">
        <v>0.02</v>
      </c>
      <c r="CQ264" s="52">
        <f t="shared" ref="CQ264:DJ264" si="248">ROUND($CQ31*E264,0)</f>
        <v>0</v>
      </c>
      <c r="CR264" s="52">
        <f t="shared" si="248"/>
        <v>0</v>
      </c>
      <c r="CS264" s="52">
        <f t="shared" si="248"/>
        <v>0</v>
      </c>
      <c r="CT264" s="52">
        <f t="shared" si="248"/>
        <v>0</v>
      </c>
      <c r="CU264" s="52">
        <f t="shared" si="248"/>
        <v>0</v>
      </c>
      <c r="CV264" s="52">
        <f t="shared" si="248"/>
        <v>0</v>
      </c>
      <c r="CW264" s="52">
        <f t="shared" si="248"/>
        <v>0</v>
      </c>
      <c r="CX264" s="52">
        <f t="shared" si="248"/>
        <v>0</v>
      </c>
      <c r="CY264" s="52">
        <f t="shared" si="248"/>
        <v>0</v>
      </c>
      <c r="CZ264" s="52">
        <f t="shared" si="248"/>
        <v>0</v>
      </c>
      <c r="DA264" s="52">
        <f t="shared" si="248"/>
        <v>0</v>
      </c>
      <c r="DB264" s="52">
        <f t="shared" si="248"/>
        <v>0</v>
      </c>
      <c r="DC264" s="52">
        <f t="shared" si="248"/>
        <v>0</v>
      </c>
      <c r="DD264" s="52">
        <f t="shared" si="248"/>
        <v>0</v>
      </c>
      <c r="DE264" s="52">
        <f t="shared" si="248"/>
        <v>0</v>
      </c>
      <c r="DF264" s="52">
        <f t="shared" si="248"/>
        <v>0</v>
      </c>
      <c r="DG264" s="52">
        <f t="shared" si="248"/>
        <v>0</v>
      </c>
      <c r="DH264" s="52">
        <f t="shared" si="248"/>
        <v>0</v>
      </c>
      <c r="DI264" s="52">
        <f t="shared" si="248"/>
        <v>0</v>
      </c>
      <c r="DJ264" s="52">
        <f t="shared" si="248"/>
        <v>0</v>
      </c>
    </row>
    <row r="265" ht="15.75" customHeight="1">
      <c r="B265" s="52" t="s">
        <v>1792</v>
      </c>
      <c r="C265" s="52">
        <v>33.0</v>
      </c>
      <c r="D265" s="52" t="s">
        <v>1789</v>
      </c>
      <c r="E265" s="58"/>
      <c r="F265" s="58"/>
      <c r="G265" s="58"/>
      <c r="H265" s="58"/>
      <c r="I265" s="58"/>
      <c r="J265" s="58"/>
      <c r="K265" s="58"/>
      <c r="L265" s="65">
        <v>0.08</v>
      </c>
      <c r="M265" s="65">
        <v>0.08</v>
      </c>
      <c r="N265" s="65">
        <v>0.07</v>
      </c>
      <c r="O265" s="65">
        <v>0.07</v>
      </c>
      <c r="P265" s="65">
        <v>0.06</v>
      </c>
      <c r="Q265" s="65">
        <v>0.06</v>
      </c>
      <c r="R265" s="65">
        <v>0.05</v>
      </c>
      <c r="S265" s="65">
        <v>0.05</v>
      </c>
      <c r="T265" s="65">
        <v>0.05</v>
      </c>
      <c r="U265" s="65">
        <v>0.04</v>
      </c>
      <c r="V265" s="65">
        <v>0.04</v>
      </c>
      <c r="W265" s="65">
        <v>0.04</v>
      </c>
      <c r="X265" s="65">
        <v>0.04</v>
      </c>
      <c r="Y265" s="65">
        <v>0.03</v>
      </c>
      <c r="Z265" s="65">
        <v>0.03</v>
      </c>
      <c r="AA265" s="65">
        <v>0.03</v>
      </c>
      <c r="AB265" s="65">
        <v>0.03</v>
      </c>
      <c r="AC265" s="65">
        <v>0.03</v>
      </c>
      <c r="AD265" s="65">
        <v>0.02</v>
      </c>
      <c r="CQ265" s="52">
        <f t="shared" ref="CQ265:DJ265" si="249">ROUND($CQ32*E265,0)</f>
        <v>0</v>
      </c>
      <c r="CR265" s="52">
        <f t="shared" si="249"/>
        <v>0</v>
      </c>
      <c r="CS265" s="52">
        <f t="shared" si="249"/>
        <v>0</v>
      </c>
      <c r="CT265" s="52">
        <f t="shared" si="249"/>
        <v>0</v>
      </c>
      <c r="CU265" s="52">
        <f t="shared" si="249"/>
        <v>0</v>
      </c>
      <c r="CV265" s="52">
        <f t="shared" si="249"/>
        <v>0</v>
      </c>
      <c r="CW265" s="52">
        <f t="shared" si="249"/>
        <v>0</v>
      </c>
      <c r="CX265" s="52">
        <f t="shared" si="249"/>
        <v>0</v>
      </c>
      <c r="CY265" s="52">
        <f t="shared" si="249"/>
        <v>0</v>
      </c>
      <c r="CZ265" s="52">
        <f t="shared" si="249"/>
        <v>0</v>
      </c>
      <c r="DA265" s="52">
        <f t="shared" si="249"/>
        <v>0</v>
      </c>
      <c r="DB265" s="52">
        <f t="shared" si="249"/>
        <v>0</v>
      </c>
      <c r="DC265" s="52">
        <f t="shared" si="249"/>
        <v>0</v>
      </c>
      <c r="DD265" s="52">
        <f t="shared" si="249"/>
        <v>0</v>
      </c>
      <c r="DE265" s="52">
        <f t="shared" si="249"/>
        <v>0</v>
      </c>
      <c r="DF265" s="52">
        <f t="shared" si="249"/>
        <v>0</v>
      </c>
      <c r="DG265" s="52">
        <f t="shared" si="249"/>
        <v>0</v>
      </c>
      <c r="DH265" s="52">
        <f t="shared" si="249"/>
        <v>0</v>
      </c>
      <c r="DI265" s="52">
        <f t="shared" si="249"/>
        <v>0</v>
      </c>
      <c r="DJ265" s="52">
        <f t="shared" si="249"/>
        <v>0</v>
      </c>
    </row>
    <row r="266" ht="15.75" customHeight="1">
      <c r="B266" s="52" t="s">
        <v>1792</v>
      </c>
      <c r="C266" s="52">
        <v>33.0</v>
      </c>
      <c r="D266" s="52" t="s">
        <v>1790</v>
      </c>
      <c r="E266" s="58"/>
      <c r="F266" s="58"/>
      <c r="G266" s="58"/>
      <c r="H266" s="58"/>
      <c r="I266" s="58"/>
      <c r="J266" s="58"/>
      <c r="K266" s="58"/>
      <c r="L266" s="58"/>
      <c r="M266" s="58"/>
      <c r="N266" s="65">
        <v>0.08</v>
      </c>
      <c r="O266" s="65">
        <v>0.08</v>
      </c>
      <c r="P266" s="65">
        <v>0.07</v>
      </c>
      <c r="Q266" s="65">
        <v>0.07</v>
      </c>
      <c r="R266" s="65">
        <v>0.06</v>
      </c>
      <c r="S266" s="65">
        <v>0.06</v>
      </c>
      <c r="T266" s="65">
        <v>0.05</v>
      </c>
      <c r="U266" s="65">
        <v>0.05</v>
      </c>
      <c r="V266" s="65">
        <v>0.05</v>
      </c>
      <c r="W266" s="65">
        <v>0.04</v>
      </c>
      <c r="X266" s="65">
        <v>0.04</v>
      </c>
      <c r="Y266" s="65">
        <v>0.04</v>
      </c>
      <c r="Z266" s="65">
        <v>0.04</v>
      </c>
      <c r="AA266" s="65">
        <v>0.03</v>
      </c>
      <c r="AB266" s="65">
        <v>0.03</v>
      </c>
      <c r="AC266" s="65">
        <v>0.03</v>
      </c>
      <c r="AD266" s="65">
        <v>0.03</v>
      </c>
      <c r="CQ266" s="52">
        <f t="shared" ref="CQ266:DJ266" si="250">ROUND($CQ33*E266,0)</f>
        <v>0</v>
      </c>
      <c r="CR266" s="52">
        <f t="shared" si="250"/>
        <v>0</v>
      </c>
      <c r="CS266" s="52">
        <f t="shared" si="250"/>
        <v>0</v>
      </c>
      <c r="CT266" s="52">
        <f t="shared" si="250"/>
        <v>0</v>
      </c>
      <c r="CU266" s="52">
        <f t="shared" si="250"/>
        <v>0</v>
      </c>
      <c r="CV266" s="52">
        <f t="shared" si="250"/>
        <v>0</v>
      </c>
      <c r="CW266" s="52">
        <f t="shared" si="250"/>
        <v>0</v>
      </c>
      <c r="CX266" s="52">
        <f t="shared" si="250"/>
        <v>0</v>
      </c>
      <c r="CY266" s="52">
        <f t="shared" si="250"/>
        <v>0</v>
      </c>
      <c r="CZ266" s="52">
        <f t="shared" si="250"/>
        <v>1</v>
      </c>
      <c r="DA266" s="52">
        <f t="shared" si="250"/>
        <v>1</v>
      </c>
      <c r="DB266" s="52">
        <f t="shared" si="250"/>
        <v>1</v>
      </c>
      <c r="DC266" s="52">
        <f t="shared" si="250"/>
        <v>1</v>
      </c>
      <c r="DD266" s="52">
        <f t="shared" si="250"/>
        <v>0</v>
      </c>
      <c r="DE266" s="52">
        <f t="shared" si="250"/>
        <v>0</v>
      </c>
      <c r="DF266" s="52">
        <f t="shared" si="250"/>
        <v>0</v>
      </c>
      <c r="DG266" s="52">
        <f t="shared" si="250"/>
        <v>0</v>
      </c>
      <c r="DH266" s="52">
        <f t="shared" si="250"/>
        <v>0</v>
      </c>
      <c r="DI266" s="52">
        <f t="shared" si="250"/>
        <v>0</v>
      </c>
      <c r="DJ266" s="52">
        <f t="shared" si="250"/>
        <v>0</v>
      </c>
    </row>
    <row r="267" ht="15.75" customHeight="1">
      <c r="B267" s="52" t="s">
        <v>1792</v>
      </c>
      <c r="C267" s="52">
        <v>34.0</v>
      </c>
      <c r="D267" s="52">
        <v>0.0</v>
      </c>
      <c r="E267" s="65">
        <v>0.07</v>
      </c>
      <c r="F267" s="65">
        <v>0.07</v>
      </c>
      <c r="G267" s="65">
        <v>0.07</v>
      </c>
      <c r="H267" s="65">
        <v>0.07</v>
      </c>
      <c r="I267" s="65">
        <v>0.07</v>
      </c>
      <c r="J267" s="65">
        <v>0.07</v>
      </c>
      <c r="K267" s="65">
        <v>0.07</v>
      </c>
      <c r="L267" s="65">
        <v>0.07</v>
      </c>
      <c r="M267" s="65">
        <v>0.07</v>
      </c>
      <c r="N267" s="65">
        <v>0.03</v>
      </c>
      <c r="O267" s="65">
        <v>0.03</v>
      </c>
      <c r="P267" s="65">
        <v>0.03</v>
      </c>
      <c r="Q267" s="65">
        <v>0.03</v>
      </c>
      <c r="R267" s="65">
        <v>0.03</v>
      </c>
      <c r="S267" s="65">
        <v>0.03</v>
      </c>
      <c r="T267" s="65">
        <v>0.03</v>
      </c>
      <c r="U267" s="65">
        <v>0.02</v>
      </c>
      <c r="V267" s="65">
        <v>0.02</v>
      </c>
      <c r="W267" s="65">
        <v>0.02</v>
      </c>
      <c r="X267" s="65">
        <v>0.02</v>
      </c>
      <c r="Y267" s="65">
        <v>0.02</v>
      </c>
      <c r="Z267" s="65">
        <v>0.02</v>
      </c>
      <c r="AA267" s="65">
        <v>0.02</v>
      </c>
      <c r="AB267" s="65">
        <v>0.02</v>
      </c>
      <c r="AC267" s="58"/>
      <c r="AD267" s="58"/>
      <c r="CR267" s="52">
        <f t="shared" ref="CR267:DJ267" si="251">ROUND($CR27*E267,0)</f>
        <v>14</v>
      </c>
      <c r="CS267" s="52">
        <f t="shared" si="251"/>
        <v>14</v>
      </c>
      <c r="CT267" s="52">
        <f t="shared" si="251"/>
        <v>14</v>
      </c>
      <c r="CU267" s="52">
        <f t="shared" si="251"/>
        <v>14</v>
      </c>
      <c r="CV267" s="52">
        <f t="shared" si="251"/>
        <v>14</v>
      </c>
      <c r="CW267" s="52">
        <f t="shared" si="251"/>
        <v>14</v>
      </c>
      <c r="CX267" s="52">
        <f t="shared" si="251"/>
        <v>14</v>
      </c>
      <c r="CY267" s="52">
        <f t="shared" si="251"/>
        <v>14</v>
      </c>
      <c r="CZ267" s="52">
        <f t="shared" si="251"/>
        <v>14</v>
      </c>
      <c r="DA267" s="52">
        <f t="shared" si="251"/>
        <v>6</v>
      </c>
      <c r="DB267" s="52">
        <f t="shared" si="251"/>
        <v>6</v>
      </c>
      <c r="DC267" s="52">
        <f t="shared" si="251"/>
        <v>6</v>
      </c>
      <c r="DD267" s="52">
        <f t="shared" si="251"/>
        <v>6</v>
      </c>
      <c r="DE267" s="52">
        <f t="shared" si="251"/>
        <v>6</v>
      </c>
      <c r="DF267" s="52">
        <f t="shared" si="251"/>
        <v>6</v>
      </c>
      <c r="DG267" s="52">
        <f t="shared" si="251"/>
        <v>6</v>
      </c>
      <c r="DH267" s="52">
        <f t="shared" si="251"/>
        <v>4</v>
      </c>
      <c r="DI267" s="52">
        <f t="shared" si="251"/>
        <v>4</v>
      </c>
      <c r="DJ267" s="52">
        <f t="shared" si="251"/>
        <v>4</v>
      </c>
    </row>
    <row r="268" ht="15.75" customHeight="1">
      <c r="B268" s="52" t="s">
        <v>1792</v>
      </c>
      <c r="C268" s="52">
        <v>34.0</v>
      </c>
      <c r="D268" s="52" t="s">
        <v>1785</v>
      </c>
      <c r="E268" s="65">
        <v>0.02</v>
      </c>
      <c r="F268" s="65">
        <v>0.02</v>
      </c>
      <c r="G268" s="65">
        <v>0.02</v>
      </c>
      <c r="H268" s="65">
        <v>0.02</v>
      </c>
      <c r="I268" s="65">
        <v>0.08</v>
      </c>
      <c r="J268" s="65">
        <v>0.08</v>
      </c>
      <c r="K268" s="65">
        <v>0.07</v>
      </c>
      <c r="L268" s="65">
        <v>0.07</v>
      </c>
      <c r="M268" s="65">
        <v>0.06</v>
      </c>
      <c r="N268" s="65">
        <v>0.06</v>
      </c>
      <c r="O268" s="65">
        <v>0.05</v>
      </c>
      <c r="P268" s="65">
        <v>0.05</v>
      </c>
      <c r="Q268" s="65">
        <v>0.05</v>
      </c>
      <c r="R268" s="65">
        <v>0.04</v>
      </c>
      <c r="S268" s="65">
        <v>0.04</v>
      </c>
      <c r="T268" s="65">
        <v>0.04</v>
      </c>
      <c r="U268" s="65">
        <v>0.04</v>
      </c>
      <c r="V268" s="65">
        <v>0.03</v>
      </c>
      <c r="W268" s="65">
        <v>0.03</v>
      </c>
      <c r="X268" s="65">
        <v>0.03</v>
      </c>
      <c r="Y268" s="65">
        <v>0.03</v>
      </c>
      <c r="Z268" s="65">
        <v>0.03</v>
      </c>
      <c r="AA268" s="65">
        <v>0.02</v>
      </c>
      <c r="AB268" s="65">
        <v>0.02</v>
      </c>
      <c r="AC268" s="58"/>
      <c r="AD268" s="58"/>
      <c r="CR268" s="52">
        <f t="shared" ref="CR268:DJ268" si="252">ROUND($CR28*E268,0)</f>
        <v>0</v>
      </c>
      <c r="CS268" s="52">
        <f t="shared" si="252"/>
        <v>0</v>
      </c>
      <c r="CT268" s="52">
        <f t="shared" si="252"/>
        <v>0</v>
      </c>
      <c r="CU268" s="52">
        <f t="shared" si="252"/>
        <v>0</v>
      </c>
      <c r="CV268" s="52">
        <f t="shared" si="252"/>
        <v>2</v>
      </c>
      <c r="CW268" s="52">
        <f t="shared" si="252"/>
        <v>2</v>
      </c>
      <c r="CX268" s="52">
        <f t="shared" si="252"/>
        <v>1</v>
      </c>
      <c r="CY268" s="52">
        <f t="shared" si="252"/>
        <v>1</v>
      </c>
      <c r="CZ268" s="52">
        <f t="shared" si="252"/>
        <v>1</v>
      </c>
      <c r="DA268" s="52">
        <f t="shared" si="252"/>
        <v>1</v>
      </c>
      <c r="DB268" s="52">
        <f t="shared" si="252"/>
        <v>1</v>
      </c>
      <c r="DC268" s="52">
        <f t="shared" si="252"/>
        <v>1</v>
      </c>
      <c r="DD268" s="52">
        <f t="shared" si="252"/>
        <v>1</v>
      </c>
      <c r="DE268" s="52">
        <f t="shared" si="252"/>
        <v>1</v>
      </c>
      <c r="DF268" s="52">
        <f t="shared" si="252"/>
        <v>1</v>
      </c>
      <c r="DG268" s="52">
        <f t="shared" si="252"/>
        <v>1</v>
      </c>
      <c r="DH268" s="52">
        <f t="shared" si="252"/>
        <v>1</v>
      </c>
      <c r="DI268" s="52">
        <f t="shared" si="252"/>
        <v>1</v>
      </c>
      <c r="DJ268" s="52">
        <f t="shared" si="252"/>
        <v>1</v>
      </c>
    </row>
    <row r="269" ht="15.75" customHeight="1">
      <c r="B269" s="52" t="s">
        <v>1792</v>
      </c>
      <c r="C269" s="52">
        <v>34.0</v>
      </c>
      <c r="D269" s="52" t="s">
        <v>1786</v>
      </c>
      <c r="E269" s="58"/>
      <c r="F269" s="58"/>
      <c r="G269" s="58"/>
      <c r="H269" s="65">
        <v>0.08</v>
      </c>
      <c r="I269" s="65">
        <v>0.08</v>
      </c>
      <c r="J269" s="65">
        <v>0.07</v>
      </c>
      <c r="K269" s="65">
        <v>0.07</v>
      </c>
      <c r="L269" s="65">
        <v>0.06</v>
      </c>
      <c r="M269" s="65">
        <v>0.06</v>
      </c>
      <c r="N269" s="65">
        <v>0.05</v>
      </c>
      <c r="O269" s="65">
        <v>0.05</v>
      </c>
      <c r="P269" s="65">
        <v>0.05</v>
      </c>
      <c r="Q269" s="65">
        <v>0.04</v>
      </c>
      <c r="R269" s="65">
        <v>0.04</v>
      </c>
      <c r="S269" s="65">
        <v>0.04</v>
      </c>
      <c r="T269" s="65">
        <v>0.04</v>
      </c>
      <c r="U269" s="65">
        <v>0.03</v>
      </c>
      <c r="V269" s="65">
        <v>0.03</v>
      </c>
      <c r="W269" s="65">
        <v>0.03</v>
      </c>
      <c r="X269" s="65">
        <v>0.03</v>
      </c>
      <c r="Y269" s="65">
        <v>0.03</v>
      </c>
      <c r="Z269" s="65">
        <v>0.02</v>
      </c>
      <c r="AA269" s="65">
        <v>0.02</v>
      </c>
      <c r="AB269" s="65">
        <v>0.03</v>
      </c>
      <c r="AC269" s="65">
        <v>0.03</v>
      </c>
      <c r="AD269" s="65">
        <v>0.02</v>
      </c>
      <c r="CR269" s="52">
        <f t="shared" ref="CR269:DJ269" si="253">ROUND($CR29*E269,0)</f>
        <v>0</v>
      </c>
      <c r="CS269" s="52">
        <f t="shared" si="253"/>
        <v>0</v>
      </c>
      <c r="CT269" s="52">
        <f t="shared" si="253"/>
        <v>0</v>
      </c>
      <c r="CU269" s="52">
        <f t="shared" si="253"/>
        <v>3</v>
      </c>
      <c r="CV269" s="52">
        <f t="shared" si="253"/>
        <v>3</v>
      </c>
      <c r="CW269" s="52">
        <f t="shared" si="253"/>
        <v>3</v>
      </c>
      <c r="CX269" s="52">
        <f t="shared" si="253"/>
        <v>3</v>
      </c>
      <c r="CY269" s="52">
        <f t="shared" si="253"/>
        <v>2</v>
      </c>
      <c r="CZ269" s="52">
        <f t="shared" si="253"/>
        <v>2</v>
      </c>
      <c r="DA269" s="52">
        <f t="shared" si="253"/>
        <v>2</v>
      </c>
      <c r="DB269" s="52">
        <f t="shared" si="253"/>
        <v>2</v>
      </c>
      <c r="DC269" s="52">
        <f t="shared" si="253"/>
        <v>2</v>
      </c>
      <c r="DD269" s="52">
        <f t="shared" si="253"/>
        <v>1</v>
      </c>
      <c r="DE269" s="52">
        <f t="shared" si="253"/>
        <v>1</v>
      </c>
      <c r="DF269" s="52">
        <f t="shared" si="253"/>
        <v>1</v>
      </c>
      <c r="DG269" s="52">
        <f t="shared" si="253"/>
        <v>1</v>
      </c>
      <c r="DH269" s="52">
        <f t="shared" si="253"/>
        <v>1</v>
      </c>
      <c r="DI269" s="52">
        <f t="shared" si="253"/>
        <v>1</v>
      </c>
      <c r="DJ269" s="52">
        <f t="shared" si="253"/>
        <v>1</v>
      </c>
    </row>
    <row r="270" ht="15.75" customHeight="1">
      <c r="B270" s="52" t="s">
        <v>1792</v>
      </c>
      <c r="C270" s="52">
        <v>34.0</v>
      </c>
      <c r="D270" s="52" t="s">
        <v>1787</v>
      </c>
      <c r="E270" s="58"/>
      <c r="F270" s="58"/>
      <c r="G270" s="58"/>
      <c r="H270" s="58"/>
      <c r="I270" s="58"/>
      <c r="J270" s="65">
        <v>0.08</v>
      </c>
      <c r="K270" s="65">
        <v>0.08</v>
      </c>
      <c r="L270" s="65">
        <v>0.07</v>
      </c>
      <c r="M270" s="65">
        <v>0.07</v>
      </c>
      <c r="N270" s="65">
        <v>0.06</v>
      </c>
      <c r="O270" s="65">
        <v>0.06</v>
      </c>
      <c r="P270" s="65">
        <v>0.05</v>
      </c>
      <c r="Q270" s="65">
        <v>0.05</v>
      </c>
      <c r="R270" s="65">
        <v>0.05</v>
      </c>
      <c r="S270" s="65">
        <v>0.04</v>
      </c>
      <c r="T270" s="65">
        <v>0.04</v>
      </c>
      <c r="U270" s="65">
        <v>0.04</v>
      </c>
      <c r="V270" s="65">
        <v>0.04</v>
      </c>
      <c r="W270" s="65">
        <v>0.03</v>
      </c>
      <c r="X270" s="65">
        <v>0.03</v>
      </c>
      <c r="Y270" s="65">
        <v>0.03</v>
      </c>
      <c r="Z270" s="65">
        <v>0.03</v>
      </c>
      <c r="AA270" s="65">
        <v>0.03</v>
      </c>
      <c r="AB270" s="65">
        <v>0.02</v>
      </c>
      <c r="AC270" s="65">
        <v>0.02</v>
      </c>
      <c r="AD270" s="65">
        <v>0.03</v>
      </c>
      <c r="CR270" s="52">
        <f t="shared" ref="CR270:DJ270" si="254">ROUND($CR30*E270,0)</f>
        <v>0</v>
      </c>
      <c r="CS270" s="52">
        <f t="shared" si="254"/>
        <v>0</v>
      </c>
      <c r="CT270" s="52">
        <f t="shared" si="254"/>
        <v>0</v>
      </c>
      <c r="CU270" s="52">
        <f t="shared" si="254"/>
        <v>0</v>
      </c>
      <c r="CV270" s="52">
        <f t="shared" si="254"/>
        <v>0</v>
      </c>
      <c r="CW270" s="52">
        <f t="shared" si="254"/>
        <v>1</v>
      </c>
      <c r="CX270" s="52">
        <f t="shared" si="254"/>
        <v>1</v>
      </c>
      <c r="CY270" s="52">
        <f t="shared" si="254"/>
        <v>0</v>
      </c>
      <c r="CZ270" s="52">
        <f t="shared" si="254"/>
        <v>0</v>
      </c>
      <c r="DA270" s="52">
        <f t="shared" si="254"/>
        <v>0</v>
      </c>
      <c r="DB270" s="52">
        <f t="shared" si="254"/>
        <v>0</v>
      </c>
      <c r="DC270" s="52">
        <f t="shared" si="254"/>
        <v>0</v>
      </c>
      <c r="DD270" s="52">
        <f t="shared" si="254"/>
        <v>0</v>
      </c>
      <c r="DE270" s="52">
        <f t="shared" si="254"/>
        <v>0</v>
      </c>
      <c r="DF270" s="52">
        <f t="shared" si="254"/>
        <v>0</v>
      </c>
      <c r="DG270" s="52">
        <f t="shared" si="254"/>
        <v>0</v>
      </c>
      <c r="DH270" s="52">
        <f t="shared" si="254"/>
        <v>0</v>
      </c>
      <c r="DI270" s="52">
        <f t="shared" si="254"/>
        <v>0</v>
      </c>
      <c r="DJ270" s="52">
        <f t="shared" si="254"/>
        <v>0</v>
      </c>
    </row>
    <row r="271" ht="15.75" customHeight="1">
      <c r="B271" s="52" t="s">
        <v>1792</v>
      </c>
      <c r="C271" s="52">
        <v>34.0</v>
      </c>
      <c r="D271" s="52" t="s">
        <v>1788</v>
      </c>
      <c r="E271" s="58"/>
      <c r="F271" s="58"/>
      <c r="G271" s="58"/>
      <c r="H271" s="58"/>
      <c r="I271" s="58"/>
      <c r="J271" s="58"/>
      <c r="K271" s="65">
        <v>0.08</v>
      </c>
      <c r="L271" s="65">
        <v>0.08</v>
      </c>
      <c r="M271" s="65">
        <v>0.07</v>
      </c>
      <c r="N271" s="65">
        <v>0.07</v>
      </c>
      <c r="O271" s="65">
        <v>0.06</v>
      </c>
      <c r="P271" s="65">
        <v>0.06</v>
      </c>
      <c r="Q271" s="65">
        <v>0.05</v>
      </c>
      <c r="R271" s="65">
        <v>0.05</v>
      </c>
      <c r="S271" s="65">
        <v>0.05</v>
      </c>
      <c r="T271" s="65">
        <v>0.04</v>
      </c>
      <c r="U271" s="65">
        <v>0.04</v>
      </c>
      <c r="V271" s="65">
        <v>0.04</v>
      </c>
      <c r="W271" s="65">
        <v>0.04</v>
      </c>
      <c r="X271" s="65">
        <v>0.03</v>
      </c>
      <c r="Y271" s="65">
        <v>0.03</v>
      </c>
      <c r="Z271" s="65">
        <v>0.03</v>
      </c>
      <c r="AA271" s="65">
        <v>0.03</v>
      </c>
      <c r="AB271" s="65">
        <v>0.03</v>
      </c>
      <c r="AC271" s="65">
        <v>0.02</v>
      </c>
      <c r="AD271" s="65">
        <v>0.02</v>
      </c>
      <c r="CR271" s="52">
        <f t="shared" ref="CR271:DJ271" si="255">ROUND($CR31*E271,0)</f>
        <v>0</v>
      </c>
      <c r="CS271" s="52">
        <f t="shared" si="255"/>
        <v>0</v>
      </c>
      <c r="CT271" s="52">
        <f t="shared" si="255"/>
        <v>0</v>
      </c>
      <c r="CU271" s="52">
        <f t="shared" si="255"/>
        <v>0</v>
      </c>
      <c r="CV271" s="52">
        <f t="shared" si="255"/>
        <v>0</v>
      </c>
      <c r="CW271" s="52">
        <f t="shared" si="255"/>
        <v>0</v>
      </c>
      <c r="CX271" s="52">
        <f t="shared" si="255"/>
        <v>0</v>
      </c>
      <c r="CY271" s="52">
        <f t="shared" si="255"/>
        <v>0</v>
      </c>
      <c r="CZ271" s="52">
        <f t="shared" si="255"/>
        <v>0</v>
      </c>
      <c r="DA271" s="52">
        <f t="shared" si="255"/>
        <v>0</v>
      </c>
      <c r="DB271" s="52">
        <f t="shared" si="255"/>
        <v>0</v>
      </c>
      <c r="DC271" s="52">
        <f t="shared" si="255"/>
        <v>0</v>
      </c>
      <c r="DD271" s="52">
        <f t="shared" si="255"/>
        <v>0</v>
      </c>
      <c r="DE271" s="52">
        <f t="shared" si="255"/>
        <v>0</v>
      </c>
      <c r="DF271" s="52">
        <f t="shared" si="255"/>
        <v>0</v>
      </c>
      <c r="DG271" s="52">
        <f t="shared" si="255"/>
        <v>0</v>
      </c>
      <c r="DH271" s="52">
        <f t="shared" si="255"/>
        <v>0</v>
      </c>
      <c r="DI271" s="52">
        <f t="shared" si="255"/>
        <v>0</v>
      </c>
      <c r="DJ271" s="52">
        <f t="shared" si="255"/>
        <v>0</v>
      </c>
    </row>
    <row r="272" ht="15.75" customHeight="1">
      <c r="B272" s="52" t="s">
        <v>1792</v>
      </c>
      <c r="C272" s="52">
        <v>34.0</v>
      </c>
      <c r="D272" s="52" t="s">
        <v>1789</v>
      </c>
      <c r="E272" s="58"/>
      <c r="F272" s="58"/>
      <c r="G272" s="58"/>
      <c r="H272" s="58"/>
      <c r="I272" s="58"/>
      <c r="J272" s="58"/>
      <c r="K272" s="58"/>
      <c r="L272" s="65">
        <v>0.08</v>
      </c>
      <c r="M272" s="65">
        <v>0.08</v>
      </c>
      <c r="N272" s="65">
        <v>0.07</v>
      </c>
      <c r="O272" s="65">
        <v>0.07</v>
      </c>
      <c r="P272" s="65">
        <v>0.06</v>
      </c>
      <c r="Q272" s="65">
        <v>0.06</v>
      </c>
      <c r="R272" s="65">
        <v>0.05</v>
      </c>
      <c r="S272" s="65">
        <v>0.05</v>
      </c>
      <c r="T272" s="65">
        <v>0.05</v>
      </c>
      <c r="U272" s="65">
        <v>0.04</v>
      </c>
      <c r="V272" s="65">
        <v>0.04</v>
      </c>
      <c r="W272" s="65">
        <v>0.04</v>
      </c>
      <c r="X272" s="65">
        <v>0.04</v>
      </c>
      <c r="Y272" s="65">
        <v>0.03</v>
      </c>
      <c r="Z272" s="65">
        <v>0.03</v>
      </c>
      <c r="AA272" s="65">
        <v>0.03</v>
      </c>
      <c r="AB272" s="65">
        <v>0.03</v>
      </c>
      <c r="AC272" s="65">
        <v>0.03</v>
      </c>
      <c r="AD272" s="65">
        <v>0.02</v>
      </c>
      <c r="CR272" s="52">
        <f t="shared" ref="CR272:DJ272" si="256">ROUND($CR32*E272,0)</f>
        <v>0</v>
      </c>
      <c r="CS272" s="52">
        <f t="shared" si="256"/>
        <v>0</v>
      </c>
      <c r="CT272" s="52">
        <f t="shared" si="256"/>
        <v>0</v>
      </c>
      <c r="CU272" s="52">
        <f t="shared" si="256"/>
        <v>0</v>
      </c>
      <c r="CV272" s="52">
        <f t="shared" si="256"/>
        <v>0</v>
      </c>
      <c r="CW272" s="52">
        <f t="shared" si="256"/>
        <v>0</v>
      </c>
      <c r="CX272" s="52">
        <f t="shared" si="256"/>
        <v>0</v>
      </c>
      <c r="CY272" s="52">
        <f t="shared" si="256"/>
        <v>1</v>
      </c>
      <c r="CZ272" s="52">
        <f t="shared" si="256"/>
        <v>1</v>
      </c>
      <c r="DA272" s="52">
        <f t="shared" si="256"/>
        <v>1</v>
      </c>
      <c r="DB272" s="52">
        <f t="shared" si="256"/>
        <v>1</v>
      </c>
      <c r="DC272" s="52">
        <f t="shared" si="256"/>
        <v>1</v>
      </c>
      <c r="DD272" s="52">
        <f t="shared" si="256"/>
        <v>1</v>
      </c>
      <c r="DE272" s="52">
        <f t="shared" si="256"/>
        <v>1</v>
      </c>
      <c r="DF272" s="52">
        <f t="shared" si="256"/>
        <v>1</v>
      </c>
      <c r="DG272" s="52">
        <f t="shared" si="256"/>
        <v>1</v>
      </c>
      <c r="DH272" s="52">
        <f t="shared" si="256"/>
        <v>0</v>
      </c>
      <c r="DI272" s="52">
        <f t="shared" si="256"/>
        <v>0</v>
      </c>
      <c r="DJ272" s="52">
        <f t="shared" si="256"/>
        <v>0</v>
      </c>
    </row>
    <row r="273" ht="15.75" customHeight="1">
      <c r="B273" s="52" t="s">
        <v>1792</v>
      </c>
      <c r="C273" s="52">
        <v>34.0</v>
      </c>
      <c r="D273" s="52" t="s">
        <v>1790</v>
      </c>
      <c r="E273" s="58"/>
      <c r="F273" s="58"/>
      <c r="G273" s="58"/>
      <c r="H273" s="58"/>
      <c r="I273" s="58"/>
      <c r="J273" s="58"/>
      <c r="K273" s="58"/>
      <c r="L273" s="58"/>
      <c r="M273" s="58"/>
      <c r="N273" s="65">
        <v>0.08</v>
      </c>
      <c r="O273" s="65">
        <v>0.08</v>
      </c>
      <c r="P273" s="65">
        <v>0.07</v>
      </c>
      <c r="Q273" s="65">
        <v>0.07</v>
      </c>
      <c r="R273" s="65">
        <v>0.06</v>
      </c>
      <c r="S273" s="65">
        <v>0.06</v>
      </c>
      <c r="T273" s="65">
        <v>0.05</v>
      </c>
      <c r="U273" s="65">
        <v>0.05</v>
      </c>
      <c r="V273" s="65">
        <v>0.05</v>
      </c>
      <c r="W273" s="65">
        <v>0.04</v>
      </c>
      <c r="X273" s="65">
        <v>0.04</v>
      </c>
      <c r="Y273" s="65">
        <v>0.04</v>
      </c>
      <c r="Z273" s="65">
        <v>0.04</v>
      </c>
      <c r="AA273" s="65">
        <v>0.03</v>
      </c>
      <c r="AB273" s="65">
        <v>0.03</v>
      </c>
      <c r="AC273" s="65">
        <v>0.03</v>
      </c>
      <c r="AD273" s="65">
        <v>0.03</v>
      </c>
      <c r="CR273" s="52">
        <f t="shared" ref="CR273:DJ273" si="257">ROUND($CR33*E273,0)</f>
        <v>0</v>
      </c>
      <c r="CS273" s="52">
        <f t="shared" si="257"/>
        <v>0</v>
      </c>
      <c r="CT273" s="52">
        <f t="shared" si="257"/>
        <v>0</v>
      </c>
      <c r="CU273" s="52">
        <f t="shared" si="257"/>
        <v>0</v>
      </c>
      <c r="CV273" s="52">
        <f t="shared" si="257"/>
        <v>0</v>
      </c>
      <c r="CW273" s="52">
        <f t="shared" si="257"/>
        <v>0</v>
      </c>
      <c r="CX273" s="52">
        <f t="shared" si="257"/>
        <v>0</v>
      </c>
      <c r="CY273" s="52">
        <f t="shared" si="257"/>
        <v>0</v>
      </c>
      <c r="CZ273" s="52">
        <f t="shared" si="257"/>
        <v>0</v>
      </c>
      <c r="DA273" s="52">
        <f t="shared" si="257"/>
        <v>1</v>
      </c>
      <c r="DB273" s="52">
        <f t="shared" si="257"/>
        <v>1</v>
      </c>
      <c r="DC273" s="52">
        <f t="shared" si="257"/>
        <v>1</v>
      </c>
      <c r="DD273" s="52">
        <f t="shared" si="257"/>
        <v>1</v>
      </c>
      <c r="DE273" s="52">
        <f t="shared" si="257"/>
        <v>1</v>
      </c>
      <c r="DF273" s="52">
        <f t="shared" si="257"/>
        <v>1</v>
      </c>
      <c r="DG273" s="52">
        <f t="shared" si="257"/>
        <v>1</v>
      </c>
      <c r="DH273" s="52">
        <f t="shared" si="257"/>
        <v>1</v>
      </c>
      <c r="DI273" s="52">
        <f t="shared" si="257"/>
        <v>1</v>
      </c>
      <c r="DJ273" s="52">
        <f t="shared" si="257"/>
        <v>1</v>
      </c>
    </row>
    <row r="274" ht="15.75" customHeight="1">
      <c r="B274" s="52" t="s">
        <v>1792</v>
      </c>
      <c r="C274" s="52">
        <v>35.0</v>
      </c>
      <c r="D274" s="52">
        <v>0.0</v>
      </c>
      <c r="E274" s="65">
        <v>0.07</v>
      </c>
      <c r="F274" s="65">
        <v>0.07</v>
      </c>
      <c r="G274" s="65">
        <v>0.07</v>
      </c>
      <c r="H274" s="65">
        <v>0.07</v>
      </c>
      <c r="I274" s="65">
        <v>0.07</v>
      </c>
      <c r="J274" s="65">
        <v>0.07</v>
      </c>
      <c r="K274" s="65">
        <v>0.07</v>
      </c>
      <c r="L274" s="65">
        <v>0.07</v>
      </c>
      <c r="M274" s="65">
        <v>0.07</v>
      </c>
      <c r="N274" s="65">
        <v>0.03</v>
      </c>
      <c r="O274" s="65">
        <v>0.03</v>
      </c>
      <c r="P274" s="65">
        <v>0.03</v>
      </c>
      <c r="Q274" s="65">
        <v>0.03</v>
      </c>
      <c r="R274" s="65">
        <v>0.03</v>
      </c>
      <c r="S274" s="65">
        <v>0.03</v>
      </c>
      <c r="T274" s="65">
        <v>0.03</v>
      </c>
      <c r="U274" s="65">
        <v>0.02</v>
      </c>
      <c r="V274" s="65">
        <v>0.02</v>
      </c>
      <c r="W274" s="65">
        <v>0.02</v>
      </c>
      <c r="X274" s="65">
        <v>0.02</v>
      </c>
      <c r="Y274" s="65">
        <v>0.02</v>
      </c>
      <c r="Z274" s="65">
        <v>0.02</v>
      </c>
      <c r="AA274" s="65">
        <v>0.02</v>
      </c>
      <c r="AB274" s="65">
        <v>0.02</v>
      </c>
      <c r="AC274" s="58"/>
      <c r="AD274" s="58"/>
      <c r="CS274" s="52">
        <f t="shared" ref="CS274:DJ274" si="258">ROUND($CS27*E274,0)</f>
        <v>14</v>
      </c>
      <c r="CT274" s="52">
        <f t="shared" si="258"/>
        <v>14</v>
      </c>
      <c r="CU274" s="52">
        <f t="shared" si="258"/>
        <v>14</v>
      </c>
      <c r="CV274" s="52">
        <f t="shared" si="258"/>
        <v>14</v>
      </c>
      <c r="CW274" s="52">
        <f t="shared" si="258"/>
        <v>14</v>
      </c>
      <c r="CX274" s="52">
        <f t="shared" si="258"/>
        <v>14</v>
      </c>
      <c r="CY274" s="52">
        <f t="shared" si="258"/>
        <v>14</v>
      </c>
      <c r="CZ274" s="52">
        <f t="shared" si="258"/>
        <v>14</v>
      </c>
      <c r="DA274" s="52">
        <f t="shared" si="258"/>
        <v>14</v>
      </c>
      <c r="DB274" s="52">
        <f t="shared" si="258"/>
        <v>6</v>
      </c>
      <c r="DC274" s="52">
        <f t="shared" si="258"/>
        <v>6</v>
      </c>
      <c r="DD274" s="52">
        <f t="shared" si="258"/>
        <v>6</v>
      </c>
      <c r="DE274" s="52">
        <f t="shared" si="258"/>
        <v>6</v>
      </c>
      <c r="DF274" s="52">
        <f t="shared" si="258"/>
        <v>6</v>
      </c>
      <c r="DG274" s="52">
        <f t="shared" si="258"/>
        <v>6</v>
      </c>
      <c r="DH274" s="52">
        <f t="shared" si="258"/>
        <v>6</v>
      </c>
      <c r="DI274" s="52">
        <f t="shared" si="258"/>
        <v>4</v>
      </c>
      <c r="DJ274" s="52">
        <f t="shared" si="258"/>
        <v>4</v>
      </c>
    </row>
    <row r="275" ht="15.75" customHeight="1">
      <c r="B275" s="52" t="s">
        <v>1792</v>
      </c>
      <c r="C275" s="52">
        <v>35.0</v>
      </c>
      <c r="D275" s="52" t="s">
        <v>1785</v>
      </c>
      <c r="E275" s="65">
        <v>0.02</v>
      </c>
      <c r="F275" s="65">
        <v>0.02</v>
      </c>
      <c r="G275" s="65">
        <v>0.02</v>
      </c>
      <c r="H275" s="65">
        <v>0.02</v>
      </c>
      <c r="I275" s="65">
        <v>0.08</v>
      </c>
      <c r="J275" s="65">
        <v>0.08</v>
      </c>
      <c r="K275" s="65">
        <v>0.07</v>
      </c>
      <c r="L275" s="65">
        <v>0.07</v>
      </c>
      <c r="M275" s="65">
        <v>0.06</v>
      </c>
      <c r="N275" s="65">
        <v>0.06</v>
      </c>
      <c r="O275" s="65">
        <v>0.05</v>
      </c>
      <c r="P275" s="65">
        <v>0.05</v>
      </c>
      <c r="Q275" s="65">
        <v>0.05</v>
      </c>
      <c r="R275" s="65">
        <v>0.04</v>
      </c>
      <c r="S275" s="65">
        <v>0.04</v>
      </c>
      <c r="T275" s="65">
        <v>0.04</v>
      </c>
      <c r="U275" s="65">
        <v>0.04</v>
      </c>
      <c r="V275" s="65">
        <v>0.03</v>
      </c>
      <c r="W275" s="65">
        <v>0.03</v>
      </c>
      <c r="X275" s="65">
        <v>0.03</v>
      </c>
      <c r="Y275" s="65">
        <v>0.03</v>
      </c>
      <c r="Z275" s="65">
        <v>0.03</v>
      </c>
      <c r="AA275" s="65">
        <v>0.02</v>
      </c>
      <c r="AB275" s="65">
        <v>0.02</v>
      </c>
      <c r="AC275" s="58"/>
      <c r="AD275" s="58"/>
      <c r="CS275" s="52">
        <f t="shared" ref="CS275:DJ275" si="259">ROUND($CS28*E275,0)</f>
        <v>0</v>
      </c>
      <c r="CT275" s="52">
        <f t="shared" si="259"/>
        <v>0</v>
      </c>
      <c r="CU275" s="52">
        <f t="shared" si="259"/>
        <v>0</v>
      </c>
      <c r="CV275" s="52">
        <f t="shared" si="259"/>
        <v>0</v>
      </c>
      <c r="CW275" s="52">
        <f t="shared" si="259"/>
        <v>2</v>
      </c>
      <c r="CX275" s="52">
        <f t="shared" si="259"/>
        <v>2</v>
      </c>
      <c r="CY275" s="52">
        <f t="shared" si="259"/>
        <v>1</v>
      </c>
      <c r="CZ275" s="52">
        <f t="shared" si="259"/>
        <v>1</v>
      </c>
      <c r="DA275" s="52">
        <f t="shared" si="259"/>
        <v>1</v>
      </c>
      <c r="DB275" s="52">
        <f t="shared" si="259"/>
        <v>1</v>
      </c>
      <c r="DC275" s="52">
        <f t="shared" si="259"/>
        <v>1</v>
      </c>
      <c r="DD275" s="52">
        <f t="shared" si="259"/>
        <v>1</v>
      </c>
      <c r="DE275" s="52">
        <f t="shared" si="259"/>
        <v>1</v>
      </c>
      <c r="DF275" s="52">
        <f t="shared" si="259"/>
        <v>1</v>
      </c>
      <c r="DG275" s="52">
        <f t="shared" si="259"/>
        <v>1</v>
      </c>
      <c r="DH275" s="52">
        <f t="shared" si="259"/>
        <v>1</v>
      </c>
      <c r="DI275" s="52">
        <f t="shared" si="259"/>
        <v>1</v>
      </c>
      <c r="DJ275" s="52">
        <f t="shared" si="259"/>
        <v>1</v>
      </c>
    </row>
    <row r="276" ht="15.75" customHeight="1">
      <c r="B276" s="52" t="s">
        <v>1792</v>
      </c>
      <c r="C276" s="52">
        <v>35.0</v>
      </c>
      <c r="D276" s="52" t="s">
        <v>1786</v>
      </c>
      <c r="E276" s="58"/>
      <c r="F276" s="58"/>
      <c r="G276" s="58"/>
      <c r="H276" s="65">
        <v>0.08</v>
      </c>
      <c r="I276" s="65">
        <v>0.08</v>
      </c>
      <c r="J276" s="65">
        <v>0.07</v>
      </c>
      <c r="K276" s="65">
        <v>0.07</v>
      </c>
      <c r="L276" s="65">
        <v>0.06</v>
      </c>
      <c r="M276" s="65">
        <v>0.06</v>
      </c>
      <c r="N276" s="65">
        <v>0.05</v>
      </c>
      <c r="O276" s="65">
        <v>0.05</v>
      </c>
      <c r="P276" s="65">
        <v>0.05</v>
      </c>
      <c r="Q276" s="65">
        <v>0.04</v>
      </c>
      <c r="R276" s="65">
        <v>0.04</v>
      </c>
      <c r="S276" s="65">
        <v>0.04</v>
      </c>
      <c r="T276" s="65">
        <v>0.04</v>
      </c>
      <c r="U276" s="65">
        <v>0.03</v>
      </c>
      <c r="V276" s="65">
        <v>0.03</v>
      </c>
      <c r="W276" s="65">
        <v>0.03</v>
      </c>
      <c r="X276" s="65">
        <v>0.03</v>
      </c>
      <c r="Y276" s="65">
        <v>0.03</v>
      </c>
      <c r="Z276" s="65">
        <v>0.02</v>
      </c>
      <c r="AA276" s="65">
        <v>0.02</v>
      </c>
      <c r="AB276" s="65">
        <v>0.03</v>
      </c>
      <c r="AC276" s="65">
        <v>0.03</v>
      </c>
      <c r="AD276" s="65">
        <v>0.02</v>
      </c>
      <c r="CS276" s="52">
        <f t="shared" ref="CS276:DJ276" si="260">ROUND($CS29*E276,0)</f>
        <v>0</v>
      </c>
      <c r="CT276" s="52">
        <f t="shared" si="260"/>
        <v>0</v>
      </c>
      <c r="CU276" s="52">
        <f t="shared" si="260"/>
        <v>0</v>
      </c>
      <c r="CV276" s="52">
        <f t="shared" si="260"/>
        <v>3</v>
      </c>
      <c r="CW276" s="52">
        <f t="shared" si="260"/>
        <v>3</v>
      </c>
      <c r="CX276" s="52">
        <f t="shared" si="260"/>
        <v>3</v>
      </c>
      <c r="CY276" s="52">
        <f t="shared" si="260"/>
        <v>3</v>
      </c>
      <c r="CZ276" s="52">
        <f t="shared" si="260"/>
        <v>2</v>
      </c>
      <c r="DA276" s="52">
        <f t="shared" si="260"/>
        <v>2</v>
      </c>
      <c r="DB276" s="52">
        <f t="shared" si="260"/>
        <v>2</v>
      </c>
      <c r="DC276" s="52">
        <f t="shared" si="260"/>
        <v>2</v>
      </c>
      <c r="DD276" s="52">
        <f t="shared" si="260"/>
        <v>2</v>
      </c>
      <c r="DE276" s="52">
        <f t="shared" si="260"/>
        <v>1</v>
      </c>
      <c r="DF276" s="52">
        <f t="shared" si="260"/>
        <v>1</v>
      </c>
      <c r="DG276" s="52">
        <f t="shared" si="260"/>
        <v>1</v>
      </c>
      <c r="DH276" s="52">
        <f t="shared" si="260"/>
        <v>1</v>
      </c>
      <c r="DI276" s="52">
        <f t="shared" si="260"/>
        <v>1</v>
      </c>
      <c r="DJ276" s="52">
        <f t="shared" si="260"/>
        <v>1</v>
      </c>
    </row>
    <row r="277" ht="15.75" customHeight="1">
      <c r="B277" s="52" t="s">
        <v>1792</v>
      </c>
      <c r="C277" s="52">
        <v>35.0</v>
      </c>
      <c r="D277" s="52" t="s">
        <v>1787</v>
      </c>
      <c r="E277" s="58"/>
      <c r="F277" s="58"/>
      <c r="G277" s="58"/>
      <c r="H277" s="58"/>
      <c r="I277" s="58"/>
      <c r="J277" s="65">
        <v>0.08</v>
      </c>
      <c r="K277" s="65">
        <v>0.08</v>
      </c>
      <c r="L277" s="65">
        <v>0.07</v>
      </c>
      <c r="M277" s="65">
        <v>0.07</v>
      </c>
      <c r="N277" s="65">
        <v>0.06</v>
      </c>
      <c r="O277" s="65">
        <v>0.06</v>
      </c>
      <c r="P277" s="65">
        <v>0.05</v>
      </c>
      <c r="Q277" s="65">
        <v>0.05</v>
      </c>
      <c r="R277" s="65">
        <v>0.05</v>
      </c>
      <c r="S277" s="65">
        <v>0.04</v>
      </c>
      <c r="T277" s="65">
        <v>0.04</v>
      </c>
      <c r="U277" s="65">
        <v>0.04</v>
      </c>
      <c r="V277" s="65">
        <v>0.04</v>
      </c>
      <c r="W277" s="65">
        <v>0.03</v>
      </c>
      <c r="X277" s="65">
        <v>0.03</v>
      </c>
      <c r="Y277" s="65">
        <v>0.03</v>
      </c>
      <c r="Z277" s="65">
        <v>0.03</v>
      </c>
      <c r="AA277" s="65">
        <v>0.03</v>
      </c>
      <c r="AB277" s="65">
        <v>0.02</v>
      </c>
      <c r="AC277" s="65">
        <v>0.02</v>
      </c>
      <c r="AD277" s="65">
        <v>0.03</v>
      </c>
      <c r="CS277" s="52">
        <f t="shared" ref="CS277:DJ277" si="261">ROUND($CS30*E277,0)</f>
        <v>0</v>
      </c>
      <c r="CT277" s="52">
        <f t="shared" si="261"/>
        <v>0</v>
      </c>
      <c r="CU277" s="52">
        <f t="shared" si="261"/>
        <v>0</v>
      </c>
      <c r="CV277" s="52">
        <f t="shared" si="261"/>
        <v>0</v>
      </c>
      <c r="CW277" s="52">
        <f t="shared" si="261"/>
        <v>0</v>
      </c>
      <c r="CX277" s="52">
        <f t="shared" si="261"/>
        <v>1</v>
      </c>
      <c r="CY277" s="52">
        <f t="shared" si="261"/>
        <v>1</v>
      </c>
      <c r="CZ277" s="52">
        <f t="shared" si="261"/>
        <v>0</v>
      </c>
      <c r="DA277" s="52">
        <f t="shared" si="261"/>
        <v>0</v>
      </c>
      <c r="DB277" s="52">
        <f t="shared" si="261"/>
        <v>0</v>
      </c>
      <c r="DC277" s="52">
        <f t="shared" si="261"/>
        <v>0</v>
      </c>
      <c r="DD277" s="52">
        <f t="shared" si="261"/>
        <v>0</v>
      </c>
      <c r="DE277" s="52">
        <f t="shared" si="261"/>
        <v>0</v>
      </c>
      <c r="DF277" s="52">
        <f t="shared" si="261"/>
        <v>0</v>
      </c>
      <c r="DG277" s="52">
        <f t="shared" si="261"/>
        <v>0</v>
      </c>
      <c r="DH277" s="52">
        <f t="shared" si="261"/>
        <v>0</v>
      </c>
      <c r="DI277" s="52">
        <f t="shared" si="261"/>
        <v>0</v>
      </c>
      <c r="DJ277" s="52">
        <f t="shared" si="261"/>
        <v>0</v>
      </c>
    </row>
    <row r="278" ht="15.75" customHeight="1">
      <c r="B278" s="52" t="s">
        <v>1792</v>
      </c>
      <c r="C278" s="52">
        <v>35.0</v>
      </c>
      <c r="D278" s="52" t="s">
        <v>1788</v>
      </c>
      <c r="E278" s="58"/>
      <c r="F278" s="58"/>
      <c r="G278" s="58"/>
      <c r="H278" s="58"/>
      <c r="I278" s="58"/>
      <c r="J278" s="58"/>
      <c r="K278" s="65">
        <v>0.08</v>
      </c>
      <c r="L278" s="65">
        <v>0.08</v>
      </c>
      <c r="M278" s="65">
        <v>0.07</v>
      </c>
      <c r="N278" s="65">
        <v>0.07</v>
      </c>
      <c r="O278" s="65">
        <v>0.06</v>
      </c>
      <c r="P278" s="65">
        <v>0.06</v>
      </c>
      <c r="Q278" s="65">
        <v>0.05</v>
      </c>
      <c r="R278" s="65">
        <v>0.05</v>
      </c>
      <c r="S278" s="65">
        <v>0.05</v>
      </c>
      <c r="T278" s="65">
        <v>0.04</v>
      </c>
      <c r="U278" s="65">
        <v>0.04</v>
      </c>
      <c r="V278" s="65">
        <v>0.04</v>
      </c>
      <c r="W278" s="65">
        <v>0.04</v>
      </c>
      <c r="X278" s="65">
        <v>0.03</v>
      </c>
      <c r="Y278" s="65">
        <v>0.03</v>
      </c>
      <c r="Z278" s="65">
        <v>0.03</v>
      </c>
      <c r="AA278" s="65">
        <v>0.03</v>
      </c>
      <c r="AB278" s="65">
        <v>0.03</v>
      </c>
      <c r="AC278" s="65">
        <v>0.02</v>
      </c>
      <c r="AD278" s="65">
        <v>0.02</v>
      </c>
      <c r="CS278" s="52">
        <f t="shared" ref="CS278:DJ278" si="262">ROUND($CS31*E278,0)</f>
        <v>0</v>
      </c>
      <c r="CT278" s="52">
        <f t="shared" si="262"/>
        <v>0</v>
      </c>
      <c r="CU278" s="52">
        <f t="shared" si="262"/>
        <v>0</v>
      </c>
      <c r="CV278" s="52">
        <f t="shared" si="262"/>
        <v>0</v>
      </c>
      <c r="CW278" s="52">
        <f t="shared" si="262"/>
        <v>0</v>
      </c>
      <c r="CX278" s="52">
        <f t="shared" si="262"/>
        <v>0</v>
      </c>
      <c r="CY278" s="52">
        <f t="shared" si="262"/>
        <v>0</v>
      </c>
      <c r="CZ278" s="52">
        <f t="shared" si="262"/>
        <v>0</v>
      </c>
      <c r="DA278" s="52">
        <f t="shared" si="262"/>
        <v>0</v>
      </c>
      <c r="DB278" s="52">
        <f t="shared" si="262"/>
        <v>0</v>
      </c>
      <c r="DC278" s="52">
        <f t="shared" si="262"/>
        <v>0</v>
      </c>
      <c r="DD278" s="52">
        <f t="shared" si="262"/>
        <v>0</v>
      </c>
      <c r="DE278" s="52">
        <f t="shared" si="262"/>
        <v>0</v>
      </c>
      <c r="DF278" s="52">
        <f t="shared" si="262"/>
        <v>0</v>
      </c>
      <c r="DG278" s="52">
        <f t="shared" si="262"/>
        <v>0</v>
      </c>
      <c r="DH278" s="52">
        <f t="shared" si="262"/>
        <v>0</v>
      </c>
      <c r="DI278" s="52">
        <f t="shared" si="262"/>
        <v>0</v>
      </c>
      <c r="DJ278" s="52">
        <f t="shared" si="262"/>
        <v>0</v>
      </c>
    </row>
    <row r="279" ht="15.75" customHeight="1">
      <c r="B279" s="52" t="s">
        <v>1792</v>
      </c>
      <c r="C279" s="52">
        <v>35.0</v>
      </c>
      <c r="D279" s="52" t="s">
        <v>1789</v>
      </c>
      <c r="E279" s="58"/>
      <c r="F279" s="58"/>
      <c r="G279" s="58"/>
      <c r="H279" s="58"/>
      <c r="I279" s="58"/>
      <c r="J279" s="58"/>
      <c r="K279" s="58"/>
      <c r="L279" s="65">
        <v>0.08</v>
      </c>
      <c r="M279" s="65">
        <v>0.08</v>
      </c>
      <c r="N279" s="65">
        <v>0.07</v>
      </c>
      <c r="O279" s="65">
        <v>0.07</v>
      </c>
      <c r="P279" s="65">
        <v>0.06</v>
      </c>
      <c r="Q279" s="65">
        <v>0.06</v>
      </c>
      <c r="R279" s="65">
        <v>0.05</v>
      </c>
      <c r="S279" s="65">
        <v>0.05</v>
      </c>
      <c r="T279" s="65">
        <v>0.05</v>
      </c>
      <c r="U279" s="65">
        <v>0.04</v>
      </c>
      <c r="V279" s="65">
        <v>0.04</v>
      </c>
      <c r="W279" s="65">
        <v>0.04</v>
      </c>
      <c r="X279" s="65">
        <v>0.04</v>
      </c>
      <c r="Y279" s="65">
        <v>0.03</v>
      </c>
      <c r="Z279" s="65">
        <v>0.03</v>
      </c>
      <c r="AA279" s="65">
        <v>0.03</v>
      </c>
      <c r="AB279" s="65">
        <v>0.03</v>
      </c>
      <c r="AC279" s="65">
        <v>0.03</v>
      </c>
      <c r="AD279" s="65">
        <v>0.02</v>
      </c>
      <c r="CS279" s="52">
        <f t="shared" ref="CS279:DJ279" si="263">ROUND($CS32*E279,0)</f>
        <v>0</v>
      </c>
      <c r="CT279" s="52">
        <f t="shared" si="263"/>
        <v>0</v>
      </c>
      <c r="CU279" s="52">
        <f t="shared" si="263"/>
        <v>0</v>
      </c>
      <c r="CV279" s="52">
        <f t="shared" si="263"/>
        <v>0</v>
      </c>
      <c r="CW279" s="52">
        <f t="shared" si="263"/>
        <v>0</v>
      </c>
      <c r="CX279" s="52">
        <f t="shared" si="263"/>
        <v>0</v>
      </c>
      <c r="CY279" s="52">
        <f t="shared" si="263"/>
        <v>0</v>
      </c>
      <c r="CZ279" s="52">
        <f t="shared" si="263"/>
        <v>1</v>
      </c>
      <c r="DA279" s="52">
        <f t="shared" si="263"/>
        <v>1</v>
      </c>
      <c r="DB279" s="52">
        <f t="shared" si="263"/>
        <v>1</v>
      </c>
      <c r="DC279" s="52">
        <f t="shared" si="263"/>
        <v>1</v>
      </c>
      <c r="DD279" s="52">
        <f t="shared" si="263"/>
        <v>1</v>
      </c>
      <c r="DE279" s="52">
        <f t="shared" si="263"/>
        <v>1</v>
      </c>
      <c r="DF279" s="52">
        <f t="shared" si="263"/>
        <v>1</v>
      </c>
      <c r="DG279" s="52">
        <f t="shared" si="263"/>
        <v>1</v>
      </c>
      <c r="DH279" s="52">
        <f t="shared" si="263"/>
        <v>1</v>
      </c>
      <c r="DI279" s="52">
        <f t="shared" si="263"/>
        <v>0</v>
      </c>
      <c r="DJ279" s="52">
        <f t="shared" si="263"/>
        <v>0</v>
      </c>
    </row>
    <row r="280" ht="15.75" customHeight="1">
      <c r="B280" s="52" t="s">
        <v>1792</v>
      </c>
      <c r="C280" s="52">
        <v>35.0</v>
      </c>
      <c r="D280" s="52" t="s">
        <v>1790</v>
      </c>
      <c r="E280" s="58"/>
      <c r="F280" s="58"/>
      <c r="G280" s="58"/>
      <c r="H280" s="58"/>
      <c r="I280" s="58"/>
      <c r="J280" s="58"/>
      <c r="K280" s="58"/>
      <c r="L280" s="58"/>
      <c r="M280" s="58"/>
      <c r="N280" s="65">
        <v>0.08</v>
      </c>
      <c r="O280" s="65">
        <v>0.08</v>
      </c>
      <c r="P280" s="65">
        <v>0.07</v>
      </c>
      <c r="Q280" s="65">
        <v>0.07</v>
      </c>
      <c r="R280" s="65">
        <v>0.06</v>
      </c>
      <c r="S280" s="65">
        <v>0.06</v>
      </c>
      <c r="T280" s="65">
        <v>0.05</v>
      </c>
      <c r="U280" s="65">
        <v>0.05</v>
      </c>
      <c r="V280" s="65">
        <v>0.05</v>
      </c>
      <c r="W280" s="65">
        <v>0.04</v>
      </c>
      <c r="X280" s="65">
        <v>0.04</v>
      </c>
      <c r="Y280" s="65">
        <v>0.04</v>
      </c>
      <c r="Z280" s="65">
        <v>0.04</v>
      </c>
      <c r="AA280" s="65">
        <v>0.03</v>
      </c>
      <c r="AB280" s="65">
        <v>0.03</v>
      </c>
      <c r="AC280" s="65">
        <v>0.03</v>
      </c>
      <c r="AD280" s="65">
        <v>0.03</v>
      </c>
      <c r="CS280" s="52">
        <f t="shared" ref="CS280:DJ280" si="264">ROUND($CS33*E280,0)</f>
        <v>0</v>
      </c>
      <c r="CT280" s="52">
        <f t="shared" si="264"/>
        <v>0</v>
      </c>
      <c r="CU280" s="52">
        <f t="shared" si="264"/>
        <v>0</v>
      </c>
      <c r="CV280" s="52">
        <f t="shared" si="264"/>
        <v>0</v>
      </c>
      <c r="CW280" s="52">
        <f t="shared" si="264"/>
        <v>0</v>
      </c>
      <c r="CX280" s="52">
        <f t="shared" si="264"/>
        <v>0</v>
      </c>
      <c r="CY280" s="52">
        <f t="shared" si="264"/>
        <v>0</v>
      </c>
      <c r="CZ280" s="52">
        <f t="shared" si="264"/>
        <v>0</v>
      </c>
      <c r="DA280" s="52">
        <f t="shared" si="264"/>
        <v>0</v>
      </c>
      <c r="DB280" s="52">
        <f t="shared" si="264"/>
        <v>1</v>
      </c>
      <c r="DC280" s="52">
        <f t="shared" si="264"/>
        <v>1</v>
      </c>
      <c r="DD280" s="52">
        <f t="shared" si="264"/>
        <v>1</v>
      </c>
      <c r="DE280" s="52">
        <f t="shared" si="264"/>
        <v>1</v>
      </c>
      <c r="DF280" s="52">
        <f t="shared" si="264"/>
        <v>1</v>
      </c>
      <c r="DG280" s="52">
        <f t="shared" si="264"/>
        <v>1</v>
      </c>
      <c r="DH280" s="52">
        <f t="shared" si="264"/>
        <v>1</v>
      </c>
      <c r="DI280" s="52">
        <f t="shared" si="264"/>
        <v>1</v>
      </c>
      <c r="DJ280" s="52">
        <f t="shared" si="264"/>
        <v>1</v>
      </c>
    </row>
    <row r="281" ht="15.75" customHeight="1">
      <c r="B281" s="52" t="s">
        <v>1792</v>
      </c>
      <c r="C281" s="52">
        <v>36.0</v>
      </c>
      <c r="D281" s="52">
        <v>0.0</v>
      </c>
      <c r="E281" s="65">
        <v>0.07</v>
      </c>
      <c r="F281" s="65">
        <v>0.07</v>
      </c>
      <c r="G281" s="65">
        <v>0.07</v>
      </c>
      <c r="H281" s="65">
        <v>0.07</v>
      </c>
      <c r="I281" s="65">
        <v>0.07</v>
      </c>
      <c r="J281" s="65">
        <v>0.07</v>
      </c>
      <c r="K281" s="65">
        <v>0.07</v>
      </c>
      <c r="L281" s="65">
        <v>0.07</v>
      </c>
      <c r="M281" s="65">
        <v>0.07</v>
      </c>
      <c r="N281" s="65">
        <v>0.03</v>
      </c>
      <c r="O281" s="65">
        <v>0.03</v>
      </c>
      <c r="P281" s="65">
        <v>0.03</v>
      </c>
      <c r="Q281" s="65">
        <v>0.03</v>
      </c>
      <c r="R281" s="65">
        <v>0.03</v>
      </c>
      <c r="S281" s="65">
        <v>0.03</v>
      </c>
      <c r="T281" s="65">
        <v>0.03</v>
      </c>
      <c r="U281" s="65">
        <v>0.02</v>
      </c>
      <c r="V281" s="65">
        <v>0.02</v>
      </c>
      <c r="W281" s="65">
        <v>0.02</v>
      </c>
      <c r="X281" s="65">
        <v>0.02</v>
      </c>
      <c r="Y281" s="65">
        <v>0.02</v>
      </c>
      <c r="Z281" s="65">
        <v>0.02</v>
      </c>
      <c r="AA281" s="65">
        <v>0.02</v>
      </c>
      <c r="AB281" s="65">
        <v>0.02</v>
      </c>
      <c r="AC281" s="58"/>
      <c r="AD281" s="58"/>
      <c r="CT281" s="52">
        <f t="shared" ref="CT281:DJ281" si="265">ROUND($CT27*E281,0)</f>
        <v>3</v>
      </c>
      <c r="CU281" s="52">
        <f t="shared" si="265"/>
        <v>3</v>
      </c>
      <c r="CV281" s="52">
        <f t="shared" si="265"/>
        <v>3</v>
      </c>
      <c r="CW281" s="52">
        <f t="shared" si="265"/>
        <v>3</v>
      </c>
      <c r="CX281" s="52">
        <f t="shared" si="265"/>
        <v>3</v>
      </c>
      <c r="CY281" s="52">
        <f t="shared" si="265"/>
        <v>3</v>
      </c>
      <c r="CZ281" s="52">
        <f t="shared" si="265"/>
        <v>3</v>
      </c>
      <c r="DA281" s="52">
        <f t="shared" si="265"/>
        <v>3</v>
      </c>
      <c r="DB281" s="52">
        <f t="shared" si="265"/>
        <v>3</v>
      </c>
      <c r="DC281" s="52">
        <f t="shared" si="265"/>
        <v>1</v>
      </c>
      <c r="DD281" s="52">
        <f t="shared" si="265"/>
        <v>1</v>
      </c>
      <c r="DE281" s="52">
        <f t="shared" si="265"/>
        <v>1</v>
      </c>
      <c r="DF281" s="52">
        <f t="shared" si="265"/>
        <v>1</v>
      </c>
      <c r="DG281" s="52">
        <f t="shared" si="265"/>
        <v>1</v>
      </c>
      <c r="DH281" s="52">
        <f t="shared" si="265"/>
        <v>1</v>
      </c>
      <c r="DI281" s="52">
        <f t="shared" si="265"/>
        <v>1</v>
      </c>
      <c r="DJ281" s="52">
        <f t="shared" si="265"/>
        <v>1</v>
      </c>
    </row>
    <row r="282" ht="15.75" customHeight="1">
      <c r="B282" s="52" t="s">
        <v>1792</v>
      </c>
      <c r="C282" s="52">
        <v>36.0</v>
      </c>
      <c r="D282" s="52" t="s">
        <v>1785</v>
      </c>
      <c r="E282" s="65">
        <v>0.02</v>
      </c>
      <c r="F282" s="65">
        <v>0.02</v>
      </c>
      <c r="G282" s="65">
        <v>0.02</v>
      </c>
      <c r="H282" s="65">
        <v>0.02</v>
      </c>
      <c r="I282" s="65">
        <v>0.08</v>
      </c>
      <c r="J282" s="65">
        <v>0.08</v>
      </c>
      <c r="K282" s="65">
        <v>0.07</v>
      </c>
      <c r="L282" s="65">
        <v>0.07</v>
      </c>
      <c r="M282" s="65">
        <v>0.06</v>
      </c>
      <c r="N282" s="65">
        <v>0.06</v>
      </c>
      <c r="O282" s="65">
        <v>0.05</v>
      </c>
      <c r="P282" s="65">
        <v>0.05</v>
      </c>
      <c r="Q282" s="65">
        <v>0.05</v>
      </c>
      <c r="R282" s="65">
        <v>0.04</v>
      </c>
      <c r="S282" s="65">
        <v>0.04</v>
      </c>
      <c r="T282" s="65">
        <v>0.04</v>
      </c>
      <c r="U282" s="65">
        <v>0.04</v>
      </c>
      <c r="V282" s="65">
        <v>0.03</v>
      </c>
      <c r="W282" s="65">
        <v>0.03</v>
      </c>
      <c r="X282" s="65">
        <v>0.03</v>
      </c>
      <c r="Y282" s="65">
        <v>0.03</v>
      </c>
      <c r="Z282" s="65">
        <v>0.03</v>
      </c>
      <c r="AA282" s="65">
        <v>0.02</v>
      </c>
      <c r="AB282" s="65">
        <v>0.02</v>
      </c>
      <c r="AC282" s="58"/>
      <c r="AD282" s="58"/>
      <c r="CT282" s="52">
        <f t="shared" ref="CT282:DJ282" si="266">ROUND($CT28*E282,0)</f>
        <v>0</v>
      </c>
      <c r="CU282" s="52">
        <f t="shared" si="266"/>
        <v>0</v>
      </c>
      <c r="CV282" s="52">
        <f t="shared" si="266"/>
        <v>0</v>
      </c>
      <c r="CW282" s="52">
        <f t="shared" si="266"/>
        <v>0</v>
      </c>
      <c r="CX282" s="52">
        <f t="shared" si="266"/>
        <v>0</v>
      </c>
      <c r="CY282" s="52">
        <f t="shared" si="266"/>
        <v>0</v>
      </c>
      <c r="CZ282" s="52">
        <f t="shared" si="266"/>
        <v>0</v>
      </c>
      <c r="DA282" s="52">
        <f t="shared" si="266"/>
        <v>0</v>
      </c>
      <c r="DB282" s="52">
        <f t="shared" si="266"/>
        <v>0</v>
      </c>
      <c r="DC282" s="52">
        <f t="shared" si="266"/>
        <v>0</v>
      </c>
      <c r="DD282" s="52">
        <f t="shared" si="266"/>
        <v>0</v>
      </c>
      <c r="DE282" s="52">
        <f t="shared" si="266"/>
        <v>0</v>
      </c>
      <c r="DF282" s="52">
        <f t="shared" si="266"/>
        <v>0</v>
      </c>
      <c r="DG282" s="52">
        <f t="shared" si="266"/>
        <v>0</v>
      </c>
      <c r="DH282" s="52">
        <f t="shared" si="266"/>
        <v>0</v>
      </c>
      <c r="DI282" s="52">
        <f t="shared" si="266"/>
        <v>0</v>
      </c>
      <c r="DJ282" s="52">
        <f t="shared" si="266"/>
        <v>0</v>
      </c>
    </row>
    <row r="283" ht="15.75" customHeight="1">
      <c r="B283" s="52" t="s">
        <v>1792</v>
      </c>
      <c r="C283" s="52">
        <v>36.0</v>
      </c>
      <c r="D283" s="52" t="s">
        <v>1786</v>
      </c>
      <c r="E283" s="58"/>
      <c r="F283" s="58"/>
      <c r="G283" s="58"/>
      <c r="H283" s="65">
        <v>0.08</v>
      </c>
      <c r="I283" s="65">
        <v>0.08</v>
      </c>
      <c r="J283" s="65">
        <v>0.07</v>
      </c>
      <c r="K283" s="65">
        <v>0.07</v>
      </c>
      <c r="L283" s="65">
        <v>0.06</v>
      </c>
      <c r="M283" s="65">
        <v>0.06</v>
      </c>
      <c r="N283" s="65">
        <v>0.05</v>
      </c>
      <c r="O283" s="65">
        <v>0.05</v>
      </c>
      <c r="P283" s="65">
        <v>0.05</v>
      </c>
      <c r="Q283" s="65">
        <v>0.04</v>
      </c>
      <c r="R283" s="65">
        <v>0.04</v>
      </c>
      <c r="S283" s="65">
        <v>0.04</v>
      </c>
      <c r="T283" s="65">
        <v>0.04</v>
      </c>
      <c r="U283" s="65">
        <v>0.03</v>
      </c>
      <c r="V283" s="65">
        <v>0.03</v>
      </c>
      <c r="W283" s="65">
        <v>0.03</v>
      </c>
      <c r="X283" s="65">
        <v>0.03</v>
      </c>
      <c r="Y283" s="65">
        <v>0.03</v>
      </c>
      <c r="Z283" s="65">
        <v>0.02</v>
      </c>
      <c r="AA283" s="65">
        <v>0.02</v>
      </c>
      <c r="AB283" s="65">
        <v>0.03</v>
      </c>
      <c r="AC283" s="65">
        <v>0.03</v>
      </c>
      <c r="AD283" s="65">
        <v>0.02</v>
      </c>
      <c r="CT283" s="52">
        <f t="shared" ref="CT283:DJ283" si="267">ROUND($CT29*E283,0)</f>
        <v>0</v>
      </c>
      <c r="CU283" s="52">
        <f t="shared" si="267"/>
        <v>0</v>
      </c>
      <c r="CV283" s="52">
        <f t="shared" si="267"/>
        <v>0</v>
      </c>
      <c r="CW283" s="52">
        <f t="shared" si="267"/>
        <v>1</v>
      </c>
      <c r="CX283" s="52">
        <f t="shared" si="267"/>
        <v>1</v>
      </c>
      <c r="CY283" s="52">
        <f t="shared" si="267"/>
        <v>0</v>
      </c>
      <c r="CZ283" s="52">
        <f t="shared" si="267"/>
        <v>0</v>
      </c>
      <c r="DA283" s="52">
        <f t="shared" si="267"/>
        <v>0</v>
      </c>
      <c r="DB283" s="52">
        <f t="shared" si="267"/>
        <v>0</v>
      </c>
      <c r="DC283" s="52">
        <f t="shared" si="267"/>
        <v>0</v>
      </c>
      <c r="DD283" s="52">
        <f t="shared" si="267"/>
        <v>0</v>
      </c>
      <c r="DE283" s="52">
        <f t="shared" si="267"/>
        <v>0</v>
      </c>
      <c r="DF283" s="52">
        <f t="shared" si="267"/>
        <v>0</v>
      </c>
      <c r="DG283" s="52">
        <f t="shared" si="267"/>
        <v>0</v>
      </c>
      <c r="DH283" s="52">
        <f t="shared" si="267"/>
        <v>0</v>
      </c>
      <c r="DI283" s="52">
        <f t="shared" si="267"/>
        <v>0</v>
      </c>
      <c r="DJ283" s="52">
        <f t="shared" si="267"/>
        <v>0</v>
      </c>
    </row>
    <row r="284" ht="15.75" customHeight="1">
      <c r="B284" s="52" t="s">
        <v>1792</v>
      </c>
      <c r="C284" s="52">
        <v>36.0</v>
      </c>
      <c r="D284" s="52" t="s">
        <v>1787</v>
      </c>
      <c r="E284" s="58"/>
      <c r="F284" s="58"/>
      <c r="G284" s="58"/>
      <c r="H284" s="58"/>
      <c r="I284" s="58"/>
      <c r="J284" s="65">
        <v>0.08</v>
      </c>
      <c r="K284" s="65">
        <v>0.08</v>
      </c>
      <c r="L284" s="65">
        <v>0.07</v>
      </c>
      <c r="M284" s="65">
        <v>0.07</v>
      </c>
      <c r="N284" s="65">
        <v>0.06</v>
      </c>
      <c r="O284" s="65">
        <v>0.06</v>
      </c>
      <c r="P284" s="65">
        <v>0.05</v>
      </c>
      <c r="Q284" s="65">
        <v>0.05</v>
      </c>
      <c r="R284" s="65">
        <v>0.05</v>
      </c>
      <c r="S284" s="65">
        <v>0.04</v>
      </c>
      <c r="T284" s="65">
        <v>0.04</v>
      </c>
      <c r="U284" s="65">
        <v>0.04</v>
      </c>
      <c r="V284" s="65">
        <v>0.04</v>
      </c>
      <c r="W284" s="65">
        <v>0.03</v>
      </c>
      <c r="X284" s="65">
        <v>0.03</v>
      </c>
      <c r="Y284" s="65">
        <v>0.03</v>
      </c>
      <c r="Z284" s="65">
        <v>0.03</v>
      </c>
      <c r="AA284" s="65">
        <v>0.03</v>
      </c>
      <c r="AB284" s="65">
        <v>0.02</v>
      </c>
      <c r="AC284" s="65">
        <v>0.02</v>
      </c>
      <c r="AD284" s="65">
        <v>0.03</v>
      </c>
      <c r="CT284" s="52">
        <f t="shared" ref="CT284:DJ284" si="268">ROUND($CT30*E284,0)</f>
        <v>0</v>
      </c>
      <c r="CU284" s="52">
        <f t="shared" si="268"/>
        <v>0</v>
      </c>
      <c r="CV284" s="52">
        <f t="shared" si="268"/>
        <v>0</v>
      </c>
      <c r="CW284" s="52">
        <f t="shared" si="268"/>
        <v>0</v>
      </c>
      <c r="CX284" s="52">
        <f t="shared" si="268"/>
        <v>0</v>
      </c>
      <c r="CY284" s="52">
        <f t="shared" si="268"/>
        <v>0</v>
      </c>
      <c r="CZ284" s="52">
        <f t="shared" si="268"/>
        <v>0</v>
      </c>
      <c r="DA284" s="52">
        <f t="shared" si="268"/>
        <v>0</v>
      </c>
      <c r="DB284" s="52">
        <f t="shared" si="268"/>
        <v>0</v>
      </c>
      <c r="DC284" s="52">
        <f t="shared" si="268"/>
        <v>0</v>
      </c>
      <c r="DD284" s="52">
        <f t="shared" si="268"/>
        <v>0</v>
      </c>
      <c r="DE284" s="52">
        <f t="shared" si="268"/>
        <v>0</v>
      </c>
      <c r="DF284" s="52">
        <f t="shared" si="268"/>
        <v>0</v>
      </c>
      <c r="DG284" s="52">
        <f t="shared" si="268"/>
        <v>0</v>
      </c>
      <c r="DH284" s="52">
        <f t="shared" si="268"/>
        <v>0</v>
      </c>
      <c r="DI284" s="52">
        <f t="shared" si="268"/>
        <v>0</v>
      </c>
      <c r="DJ284" s="52">
        <f t="shared" si="268"/>
        <v>0</v>
      </c>
    </row>
    <row r="285" ht="15.75" customHeight="1">
      <c r="B285" s="52" t="s">
        <v>1792</v>
      </c>
      <c r="C285" s="52">
        <v>36.0</v>
      </c>
      <c r="D285" s="52" t="s">
        <v>1788</v>
      </c>
      <c r="E285" s="58"/>
      <c r="F285" s="58"/>
      <c r="G285" s="58"/>
      <c r="H285" s="58"/>
      <c r="I285" s="58"/>
      <c r="J285" s="58"/>
      <c r="K285" s="65">
        <v>0.08</v>
      </c>
      <c r="L285" s="65">
        <v>0.08</v>
      </c>
      <c r="M285" s="65">
        <v>0.07</v>
      </c>
      <c r="N285" s="65">
        <v>0.07</v>
      </c>
      <c r="O285" s="65">
        <v>0.06</v>
      </c>
      <c r="P285" s="65">
        <v>0.06</v>
      </c>
      <c r="Q285" s="65">
        <v>0.05</v>
      </c>
      <c r="R285" s="65">
        <v>0.05</v>
      </c>
      <c r="S285" s="65">
        <v>0.05</v>
      </c>
      <c r="T285" s="65">
        <v>0.04</v>
      </c>
      <c r="U285" s="65">
        <v>0.04</v>
      </c>
      <c r="V285" s="65">
        <v>0.04</v>
      </c>
      <c r="W285" s="65">
        <v>0.04</v>
      </c>
      <c r="X285" s="65">
        <v>0.03</v>
      </c>
      <c r="Y285" s="65">
        <v>0.03</v>
      </c>
      <c r="Z285" s="65">
        <v>0.03</v>
      </c>
      <c r="AA285" s="65">
        <v>0.03</v>
      </c>
      <c r="AB285" s="65">
        <v>0.03</v>
      </c>
      <c r="AC285" s="65">
        <v>0.02</v>
      </c>
      <c r="AD285" s="65">
        <v>0.02</v>
      </c>
      <c r="CT285" s="52">
        <f t="shared" ref="CT285:DJ285" si="269">ROUND($CT31*E285,0)</f>
        <v>0</v>
      </c>
      <c r="CU285" s="52">
        <f t="shared" si="269"/>
        <v>0</v>
      </c>
      <c r="CV285" s="52">
        <f t="shared" si="269"/>
        <v>0</v>
      </c>
      <c r="CW285" s="52">
        <f t="shared" si="269"/>
        <v>0</v>
      </c>
      <c r="CX285" s="52">
        <f t="shared" si="269"/>
        <v>0</v>
      </c>
      <c r="CY285" s="52">
        <f t="shared" si="269"/>
        <v>0</v>
      </c>
      <c r="CZ285" s="52">
        <f t="shared" si="269"/>
        <v>0</v>
      </c>
      <c r="DA285" s="52">
        <f t="shared" si="269"/>
        <v>0</v>
      </c>
      <c r="DB285" s="52">
        <f t="shared" si="269"/>
        <v>0</v>
      </c>
      <c r="DC285" s="52">
        <f t="shared" si="269"/>
        <v>0</v>
      </c>
      <c r="DD285" s="52">
        <f t="shared" si="269"/>
        <v>0</v>
      </c>
      <c r="DE285" s="52">
        <f t="shared" si="269"/>
        <v>0</v>
      </c>
      <c r="DF285" s="52">
        <f t="shared" si="269"/>
        <v>0</v>
      </c>
      <c r="DG285" s="52">
        <f t="shared" si="269"/>
        <v>0</v>
      </c>
      <c r="DH285" s="52">
        <f t="shared" si="269"/>
        <v>0</v>
      </c>
      <c r="DI285" s="52">
        <f t="shared" si="269"/>
        <v>0</v>
      </c>
      <c r="DJ285" s="52">
        <f t="shared" si="269"/>
        <v>0</v>
      </c>
    </row>
    <row r="286" ht="15.75" customHeight="1">
      <c r="B286" s="52" t="s">
        <v>1792</v>
      </c>
      <c r="C286" s="52">
        <v>36.0</v>
      </c>
      <c r="D286" s="52" t="s">
        <v>1789</v>
      </c>
      <c r="E286" s="58"/>
      <c r="F286" s="58"/>
      <c r="G286" s="58"/>
      <c r="H286" s="58"/>
      <c r="I286" s="58"/>
      <c r="J286" s="58"/>
      <c r="K286" s="58"/>
      <c r="L286" s="65">
        <v>0.08</v>
      </c>
      <c r="M286" s="65">
        <v>0.08</v>
      </c>
      <c r="N286" s="65">
        <v>0.07</v>
      </c>
      <c r="O286" s="65">
        <v>0.07</v>
      </c>
      <c r="P286" s="65">
        <v>0.06</v>
      </c>
      <c r="Q286" s="65">
        <v>0.06</v>
      </c>
      <c r="R286" s="65">
        <v>0.05</v>
      </c>
      <c r="S286" s="65">
        <v>0.05</v>
      </c>
      <c r="T286" s="65">
        <v>0.05</v>
      </c>
      <c r="U286" s="65">
        <v>0.04</v>
      </c>
      <c r="V286" s="65">
        <v>0.04</v>
      </c>
      <c r="W286" s="65">
        <v>0.04</v>
      </c>
      <c r="X286" s="65">
        <v>0.04</v>
      </c>
      <c r="Y286" s="65">
        <v>0.03</v>
      </c>
      <c r="Z286" s="65">
        <v>0.03</v>
      </c>
      <c r="AA286" s="65">
        <v>0.03</v>
      </c>
      <c r="AB286" s="65">
        <v>0.03</v>
      </c>
      <c r="AC286" s="65">
        <v>0.03</v>
      </c>
      <c r="AD286" s="65">
        <v>0.02</v>
      </c>
      <c r="CT286" s="52">
        <f t="shared" ref="CT286:DJ286" si="270">ROUND($CT32*E286,0)</f>
        <v>0</v>
      </c>
      <c r="CU286" s="52">
        <f t="shared" si="270"/>
        <v>0</v>
      </c>
      <c r="CV286" s="52">
        <f t="shared" si="270"/>
        <v>0</v>
      </c>
      <c r="CW286" s="52">
        <f t="shared" si="270"/>
        <v>0</v>
      </c>
      <c r="CX286" s="52">
        <f t="shared" si="270"/>
        <v>0</v>
      </c>
      <c r="CY286" s="52">
        <f t="shared" si="270"/>
        <v>0</v>
      </c>
      <c r="CZ286" s="52">
        <f t="shared" si="270"/>
        <v>0</v>
      </c>
      <c r="DA286" s="52">
        <f t="shared" si="270"/>
        <v>0</v>
      </c>
      <c r="DB286" s="52">
        <f t="shared" si="270"/>
        <v>0</v>
      </c>
      <c r="DC286" s="52">
        <f t="shared" si="270"/>
        <v>0</v>
      </c>
      <c r="DD286" s="52">
        <f t="shared" si="270"/>
        <v>0</v>
      </c>
      <c r="DE286" s="52">
        <f t="shared" si="270"/>
        <v>0</v>
      </c>
      <c r="DF286" s="52">
        <f t="shared" si="270"/>
        <v>0</v>
      </c>
      <c r="DG286" s="52">
        <f t="shared" si="270"/>
        <v>0</v>
      </c>
      <c r="DH286" s="52">
        <f t="shared" si="270"/>
        <v>0</v>
      </c>
      <c r="DI286" s="52">
        <f t="shared" si="270"/>
        <v>0</v>
      </c>
      <c r="DJ286" s="52">
        <f t="shared" si="270"/>
        <v>0</v>
      </c>
    </row>
    <row r="287" ht="15.75" customHeight="1">
      <c r="B287" s="52" t="s">
        <v>1792</v>
      </c>
      <c r="C287" s="52">
        <v>36.0</v>
      </c>
      <c r="D287" s="52" t="s">
        <v>1790</v>
      </c>
      <c r="E287" s="58"/>
      <c r="F287" s="58"/>
      <c r="G287" s="58"/>
      <c r="H287" s="58"/>
      <c r="I287" s="58"/>
      <c r="J287" s="58"/>
      <c r="K287" s="58"/>
      <c r="L287" s="58"/>
      <c r="M287" s="58"/>
      <c r="N287" s="65">
        <v>0.08</v>
      </c>
      <c r="O287" s="65">
        <v>0.08</v>
      </c>
      <c r="P287" s="65">
        <v>0.07</v>
      </c>
      <c r="Q287" s="65">
        <v>0.07</v>
      </c>
      <c r="R287" s="65">
        <v>0.06</v>
      </c>
      <c r="S287" s="65">
        <v>0.06</v>
      </c>
      <c r="T287" s="65">
        <v>0.05</v>
      </c>
      <c r="U287" s="65">
        <v>0.05</v>
      </c>
      <c r="V287" s="65">
        <v>0.05</v>
      </c>
      <c r="W287" s="65">
        <v>0.04</v>
      </c>
      <c r="X287" s="65">
        <v>0.04</v>
      </c>
      <c r="Y287" s="65">
        <v>0.04</v>
      </c>
      <c r="Z287" s="65">
        <v>0.04</v>
      </c>
      <c r="AA287" s="65">
        <v>0.03</v>
      </c>
      <c r="AB287" s="65">
        <v>0.03</v>
      </c>
      <c r="AC287" s="65">
        <v>0.03</v>
      </c>
      <c r="AD287" s="65">
        <v>0.03</v>
      </c>
      <c r="CT287" s="52">
        <f t="shared" ref="CT287:DJ287" si="271">ROUND($CT33*E287,0)</f>
        <v>0</v>
      </c>
      <c r="CU287" s="52">
        <f t="shared" si="271"/>
        <v>0</v>
      </c>
      <c r="CV287" s="52">
        <f t="shared" si="271"/>
        <v>0</v>
      </c>
      <c r="CW287" s="52">
        <f t="shared" si="271"/>
        <v>0</v>
      </c>
      <c r="CX287" s="52">
        <f t="shared" si="271"/>
        <v>0</v>
      </c>
      <c r="CY287" s="52">
        <f t="shared" si="271"/>
        <v>0</v>
      </c>
      <c r="CZ287" s="52">
        <f t="shared" si="271"/>
        <v>0</v>
      </c>
      <c r="DA287" s="52">
        <f t="shared" si="271"/>
        <v>0</v>
      </c>
      <c r="DB287" s="52">
        <f t="shared" si="271"/>
        <v>0</v>
      </c>
      <c r="DC287" s="52">
        <f t="shared" si="271"/>
        <v>0</v>
      </c>
      <c r="DD287" s="52">
        <f t="shared" si="271"/>
        <v>0</v>
      </c>
      <c r="DE287" s="52">
        <f t="shared" si="271"/>
        <v>0</v>
      </c>
      <c r="DF287" s="52">
        <f t="shared" si="271"/>
        <v>0</v>
      </c>
      <c r="DG287" s="52">
        <f t="shared" si="271"/>
        <v>0</v>
      </c>
      <c r="DH287" s="52">
        <f t="shared" si="271"/>
        <v>0</v>
      </c>
      <c r="DI287" s="52">
        <f t="shared" si="271"/>
        <v>0</v>
      </c>
      <c r="DJ287" s="52">
        <f t="shared" si="271"/>
        <v>0</v>
      </c>
    </row>
    <row r="288" ht="15.75" customHeight="1">
      <c r="B288" s="52" t="s">
        <v>1792</v>
      </c>
      <c r="C288" s="52">
        <v>37.0</v>
      </c>
      <c r="D288" s="52">
        <v>0.0</v>
      </c>
      <c r="E288" s="65">
        <v>0.07</v>
      </c>
      <c r="F288" s="65">
        <v>0.07</v>
      </c>
      <c r="G288" s="65">
        <v>0.07</v>
      </c>
      <c r="H288" s="65">
        <v>0.07</v>
      </c>
      <c r="I288" s="65">
        <v>0.07</v>
      </c>
      <c r="J288" s="65">
        <v>0.07</v>
      </c>
      <c r="K288" s="65">
        <v>0.07</v>
      </c>
      <c r="L288" s="65">
        <v>0.07</v>
      </c>
      <c r="M288" s="65">
        <v>0.07</v>
      </c>
      <c r="N288" s="65">
        <v>0.03</v>
      </c>
      <c r="O288" s="65">
        <v>0.03</v>
      </c>
      <c r="P288" s="65">
        <v>0.03</v>
      </c>
      <c r="Q288" s="65">
        <v>0.03</v>
      </c>
      <c r="R288" s="65">
        <v>0.03</v>
      </c>
      <c r="S288" s="65">
        <v>0.03</v>
      </c>
      <c r="T288" s="65">
        <v>0.03</v>
      </c>
      <c r="U288" s="65">
        <v>0.02</v>
      </c>
      <c r="V288" s="65">
        <v>0.02</v>
      </c>
      <c r="W288" s="65">
        <v>0.02</v>
      </c>
      <c r="X288" s="65">
        <v>0.02</v>
      </c>
      <c r="Y288" s="65">
        <v>0.02</v>
      </c>
      <c r="Z288" s="65">
        <v>0.02</v>
      </c>
      <c r="AA288" s="65">
        <v>0.02</v>
      </c>
      <c r="AB288" s="65">
        <v>0.02</v>
      </c>
      <c r="AC288" s="58"/>
      <c r="AD288" s="58"/>
      <c r="CU288" s="52">
        <f t="shared" ref="CU288:DJ288" si="272">ROUND($CU27*E288,0)</f>
        <v>5</v>
      </c>
      <c r="CV288" s="52">
        <f t="shared" si="272"/>
        <v>5</v>
      </c>
      <c r="CW288" s="52">
        <f t="shared" si="272"/>
        <v>5</v>
      </c>
      <c r="CX288" s="52">
        <f t="shared" si="272"/>
        <v>5</v>
      </c>
      <c r="CY288" s="52">
        <f t="shared" si="272"/>
        <v>5</v>
      </c>
      <c r="CZ288" s="52">
        <f t="shared" si="272"/>
        <v>5</v>
      </c>
      <c r="DA288" s="52">
        <f t="shared" si="272"/>
        <v>5</v>
      </c>
      <c r="DB288" s="52">
        <f t="shared" si="272"/>
        <v>5</v>
      </c>
      <c r="DC288" s="52">
        <f t="shared" si="272"/>
        <v>5</v>
      </c>
      <c r="DD288" s="52">
        <f t="shared" si="272"/>
        <v>2</v>
      </c>
      <c r="DE288" s="52">
        <f t="shared" si="272"/>
        <v>2</v>
      </c>
      <c r="DF288" s="52">
        <f t="shared" si="272"/>
        <v>2</v>
      </c>
      <c r="DG288" s="52">
        <f t="shared" si="272"/>
        <v>2</v>
      </c>
      <c r="DH288" s="52">
        <f t="shared" si="272"/>
        <v>2</v>
      </c>
      <c r="DI288" s="52">
        <f t="shared" si="272"/>
        <v>2</v>
      </c>
      <c r="DJ288" s="52">
        <f t="shared" si="272"/>
        <v>2</v>
      </c>
    </row>
    <row r="289" ht="15.75" customHeight="1">
      <c r="B289" s="52" t="s">
        <v>1792</v>
      </c>
      <c r="C289" s="52">
        <v>37.0</v>
      </c>
      <c r="D289" s="52" t="s">
        <v>1785</v>
      </c>
      <c r="E289" s="65">
        <v>0.02</v>
      </c>
      <c r="F289" s="65">
        <v>0.02</v>
      </c>
      <c r="G289" s="65">
        <v>0.02</v>
      </c>
      <c r="H289" s="65">
        <v>0.02</v>
      </c>
      <c r="I289" s="65">
        <v>0.08</v>
      </c>
      <c r="J289" s="65">
        <v>0.08</v>
      </c>
      <c r="K289" s="65">
        <v>0.07</v>
      </c>
      <c r="L289" s="65">
        <v>0.07</v>
      </c>
      <c r="M289" s="65">
        <v>0.06</v>
      </c>
      <c r="N289" s="65">
        <v>0.06</v>
      </c>
      <c r="O289" s="65">
        <v>0.05</v>
      </c>
      <c r="P289" s="65">
        <v>0.05</v>
      </c>
      <c r="Q289" s="65">
        <v>0.05</v>
      </c>
      <c r="R289" s="65">
        <v>0.04</v>
      </c>
      <c r="S289" s="65">
        <v>0.04</v>
      </c>
      <c r="T289" s="65">
        <v>0.04</v>
      </c>
      <c r="U289" s="65">
        <v>0.04</v>
      </c>
      <c r="V289" s="65">
        <v>0.03</v>
      </c>
      <c r="W289" s="65">
        <v>0.03</v>
      </c>
      <c r="X289" s="65">
        <v>0.03</v>
      </c>
      <c r="Y289" s="65">
        <v>0.03</v>
      </c>
      <c r="Z289" s="65">
        <v>0.03</v>
      </c>
      <c r="AA289" s="65">
        <v>0.02</v>
      </c>
      <c r="AB289" s="65">
        <v>0.02</v>
      </c>
      <c r="AC289" s="58"/>
      <c r="AD289" s="58"/>
      <c r="CU289" s="52">
        <f t="shared" ref="CU289:DJ289" si="273">ROUND($CU28*E289,0)</f>
        <v>0</v>
      </c>
      <c r="CV289" s="52">
        <f t="shared" si="273"/>
        <v>0</v>
      </c>
      <c r="CW289" s="52">
        <f t="shared" si="273"/>
        <v>0</v>
      </c>
      <c r="CX289" s="52">
        <f t="shared" si="273"/>
        <v>0</v>
      </c>
      <c r="CY289" s="52">
        <f t="shared" si="273"/>
        <v>1</v>
      </c>
      <c r="CZ289" s="52">
        <f t="shared" si="273"/>
        <v>1</v>
      </c>
      <c r="DA289" s="52">
        <f t="shared" si="273"/>
        <v>1</v>
      </c>
      <c r="DB289" s="52">
        <f t="shared" si="273"/>
        <v>1</v>
      </c>
      <c r="DC289" s="52">
        <f t="shared" si="273"/>
        <v>0</v>
      </c>
      <c r="DD289" s="52">
        <f t="shared" si="273"/>
        <v>0</v>
      </c>
      <c r="DE289" s="52">
        <f t="shared" si="273"/>
        <v>0</v>
      </c>
      <c r="DF289" s="52">
        <f t="shared" si="273"/>
        <v>0</v>
      </c>
      <c r="DG289" s="52">
        <f t="shared" si="273"/>
        <v>0</v>
      </c>
      <c r="DH289" s="52">
        <f t="shared" si="273"/>
        <v>0</v>
      </c>
      <c r="DI289" s="52">
        <f t="shared" si="273"/>
        <v>0</v>
      </c>
      <c r="DJ289" s="52">
        <f t="shared" si="273"/>
        <v>0</v>
      </c>
    </row>
    <row r="290" ht="15.75" customHeight="1">
      <c r="B290" s="52" t="s">
        <v>1792</v>
      </c>
      <c r="C290" s="52">
        <v>37.0</v>
      </c>
      <c r="D290" s="52" t="s">
        <v>1786</v>
      </c>
      <c r="E290" s="58"/>
      <c r="F290" s="58"/>
      <c r="G290" s="58"/>
      <c r="H290" s="65">
        <v>0.08</v>
      </c>
      <c r="I290" s="65">
        <v>0.08</v>
      </c>
      <c r="J290" s="65">
        <v>0.07</v>
      </c>
      <c r="K290" s="65">
        <v>0.07</v>
      </c>
      <c r="L290" s="65">
        <v>0.06</v>
      </c>
      <c r="M290" s="65">
        <v>0.06</v>
      </c>
      <c r="N290" s="65">
        <v>0.05</v>
      </c>
      <c r="O290" s="65">
        <v>0.05</v>
      </c>
      <c r="P290" s="65">
        <v>0.05</v>
      </c>
      <c r="Q290" s="65">
        <v>0.04</v>
      </c>
      <c r="R290" s="65">
        <v>0.04</v>
      </c>
      <c r="S290" s="65">
        <v>0.04</v>
      </c>
      <c r="T290" s="65">
        <v>0.04</v>
      </c>
      <c r="U290" s="65">
        <v>0.03</v>
      </c>
      <c r="V290" s="65">
        <v>0.03</v>
      </c>
      <c r="W290" s="65">
        <v>0.03</v>
      </c>
      <c r="X290" s="65">
        <v>0.03</v>
      </c>
      <c r="Y290" s="65">
        <v>0.03</v>
      </c>
      <c r="Z290" s="65">
        <v>0.02</v>
      </c>
      <c r="AA290" s="65">
        <v>0.02</v>
      </c>
      <c r="AB290" s="65">
        <v>0.03</v>
      </c>
      <c r="AC290" s="65">
        <v>0.03</v>
      </c>
      <c r="AD290" s="65">
        <v>0.02</v>
      </c>
      <c r="CU290" s="52">
        <f t="shared" ref="CU290:DJ290" si="274">ROUND($CU29*E290,0)</f>
        <v>0</v>
      </c>
      <c r="CV290" s="52">
        <f t="shared" si="274"/>
        <v>0</v>
      </c>
      <c r="CW290" s="52">
        <f t="shared" si="274"/>
        <v>0</v>
      </c>
      <c r="CX290" s="52">
        <f t="shared" si="274"/>
        <v>1</v>
      </c>
      <c r="CY290" s="52">
        <f t="shared" si="274"/>
        <v>1</v>
      </c>
      <c r="CZ290" s="52">
        <f t="shared" si="274"/>
        <v>1</v>
      </c>
      <c r="DA290" s="52">
        <f t="shared" si="274"/>
        <v>1</v>
      </c>
      <c r="DB290" s="52">
        <f t="shared" si="274"/>
        <v>1</v>
      </c>
      <c r="DC290" s="52">
        <f t="shared" si="274"/>
        <v>1</v>
      </c>
      <c r="DD290" s="52">
        <f t="shared" si="274"/>
        <v>1</v>
      </c>
      <c r="DE290" s="52">
        <f t="shared" si="274"/>
        <v>1</v>
      </c>
      <c r="DF290" s="52">
        <f t="shared" si="274"/>
        <v>1</v>
      </c>
      <c r="DG290" s="52">
        <f t="shared" si="274"/>
        <v>1</v>
      </c>
      <c r="DH290" s="52">
        <f t="shared" si="274"/>
        <v>1</v>
      </c>
      <c r="DI290" s="52">
        <f t="shared" si="274"/>
        <v>1</v>
      </c>
      <c r="DJ290" s="52">
        <f t="shared" si="274"/>
        <v>1</v>
      </c>
    </row>
    <row r="291" ht="15.75" customHeight="1">
      <c r="B291" s="52" t="s">
        <v>1792</v>
      </c>
      <c r="C291" s="52">
        <v>37.0</v>
      </c>
      <c r="D291" s="52" t="s">
        <v>1787</v>
      </c>
      <c r="E291" s="58"/>
      <c r="F291" s="58"/>
      <c r="G291" s="58"/>
      <c r="H291" s="58"/>
      <c r="I291" s="58"/>
      <c r="J291" s="65">
        <v>0.08</v>
      </c>
      <c r="K291" s="65">
        <v>0.08</v>
      </c>
      <c r="L291" s="65">
        <v>0.07</v>
      </c>
      <c r="M291" s="65">
        <v>0.07</v>
      </c>
      <c r="N291" s="65">
        <v>0.06</v>
      </c>
      <c r="O291" s="65">
        <v>0.06</v>
      </c>
      <c r="P291" s="65">
        <v>0.05</v>
      </c>
      <c r="Q291" s="65">
        <v>0.05</v>
      </c>
      <c r="R291" s="65">
        <v>0.05</v>
      </c>
      <c r="S291" s="65">
        <v>0.04</v>
      </c>
      <c r="T291" s="65">
        <v>0.04</v>
      </c>
      <c r="U291" s="65">
        <v>0.04</v>
      </c>
      <c r="V291" s="65">
        <v>0.04</v>
      </c>
      <c r="W291" s="65">
        <v>0.03</v>
      </c>
      <c r="X291" s="65">
        <v>0.03</v>
      </c>
      <c r="Y291" s="65">
        <v>0.03</v>
      </c>
      <c r="Z291" s="65">
        <v>0.03</v>
      </c>
      <c r="AA291" s="65">
        <v>0.03</v>
      </c>
      <c r="AB291" s="65">
        <v>0.02</v>
      </c>
      <c r="AC291" s="65">
        <v>0.02</v>
      </c>
      <c r="AD291" s="65">
        <v>0.03</v>
      </c>
      <c r="CU291" s="52">
        <f t="shared" ref="CU291:DJ291" si="275">ROUND($CU30*E291,0)</f>
        <v>0</v>
      </c>
      <c r="CV291" s="52">
        <f t="shared" si="275"/>
        <v>0</v>
      </c>
      <c r="CW291" s="52">
        <f t="shared" si="275"/>
        <v>0</v>
      </c>
      <c r="CX291" s="52">
        <f t="shared" si="275"/>
        <v>0</v>
      </c>
      <c r="CY291" s="52">
        <f t="shared" si="275"/>
        <v>0</v>
      </c>
      <c r="CZ291" s="52">
        <f t="shared" si="275"/>
        <v>0</v>
      </c>
      <c r="DA291" s="52">
        <f t="shared" si="275"/>
        <v>0</v>
      </c>
      <c r="DB291" s="52">
        <f t="shared" si="275"/>
        <v>0</v>
      </c>
      <c r="DC291" s="52">
        <f t="shared" si="275"/>
        <v>0</v>
      </c>
      <c r="DD291" s="52">
        <f t="shared" si="275"/>
        <v>0</v>
      </c>
      <c r="DE291" s="52">
        <f t="shared" si="275"/>
        <v>0</v>
      </c>
      <c r="DF291" s="52">
        <f t="shared" si="275"/>
        <v>0</v>
      </c>
      <c r="DG291" s="52">
        <f t="shared" si="275"/>
        <v>0</v>
      </c>
      <c r="DH291" s="52">
        <f t="shared" si="275"/>
        <v>0</v>
      </c>
      <c r="DI291" s="52">
        <f t="shared" si="275"/>
        <v>0</v>
      </c>
      <c r="DJ291" s="52">
        <f t="shared" si="275"/>
        <v>0</v>
      </c>
    </row>
    <row r="292" ht="15.75" customHeight="1">
      <c r="B292" s="52" t="s">
        <v>1792</v>
      </c>
      <c r="C292" s="52">
        <v>37.0</v>
      </c>
      <c r="D292" s="52" t="s">
        <v>1788</v>
      </c>
      <c r="E292" s="58"/>
      <c r="F292" s="58"/>
      <c r="G292" s="58"/>
      <c r="H292" s="58"/>
      <c r="I292" s="58"/>
      <c r="J292" s="58"/>
      <c r="K292" s="65">
        <v>0.08</v>
      </c>
      <c r="L292" s="65">
        <v>0.08</v>
      </c>
      <c r="M292" s="65">
        <v>0.07</v>
      </c>
      <c r="N292" s="65">
        <v>0.07</v>
      </c>
      <c r="O292" s="65">
        <v>0.06</v>
      </c>
      <c r="P292" s="65">
        <v>0.06</v>
      </c>
      <c r="Q292" s="65">
        <v>0.05</v>
      </c>
      <c r="R292" s="65">
        <v>0.05</v>
      </c>
      <c r="S292" s="65">
        <v>0.05</v>
      </c>
      <c r="T292" s="65">
        <v>0.04</v>
      </c>
      <c r="U292" s="65">
        <v>0.04</v>
      </c>
      <c r="V292" s="65">
        <v>0.04</v>
      </c>
      <c r="W292" s="65">
        <v>0.04</v>
      </c>
      <c r="X292" s="65">
        <v>0.03</v>
      </c>
      <c r="Y292" s="65">
        <v>0.03</v>
      </c>
      <c r="Z292" s="65">
        <v>0.03</v>
      </c>
      <c r="AA292" s="65">
        <v>0.03</v>
      </c>
      <c r="AB292" s="65">
        <v>0.03</v>
      </c>
      <c r="AC292" s="65">
        <v>0.02</v>
      </c>
      <c r="AD292" s="65">
        <v>0.02</v>
      </c>
      <c r="CU292" s="52">
        <f t="shared" ref="CU292:DJ292" si="276">ROUND($CU31*E292,0)</f>
        <v>0</v>
      </c>
      <c r="CV292" s="52">
        <f t="shared" si="276"/>
        <v>0</v>
      </c>
      <c r="CW292" s="52">
        <f t="shared" si="276"/>
        <v>0</v>
      </c>
      <c r="CX292" s="52">
        <f t="shared" si="276"/>
        <v>0</v>
      </c>
      <c r="CY292" s="52">
        <f t="shared" si="276"/>
        <v>0</v>
      </c>
      <c r="CZ292" s="52">
        <f t="shared" si="276"/>
        <v>0</v>
      </c>
      <c r="DA292" s="52">
        <f t="shared" si="276"/>
        <v>0</v>
      </c>
      <c r="DB292" s="52">
        <f t="shared" si="276"/>
        <v>0</v>
      </c>
      <c r="DC292" s="52">
        <f t="shared" si="276"/>
        <v>0</v>
      </c>
      <c r="DD292" s="52">
        <f t="shared" si="276"/>
        <v>0</v>
      </c>
      <c r="DE292" s="52">
        <f t="shared" si="276"/>
        <v>0</v>
      </c>
      <c r="DF292" s="52">
        <f t="shared" si="276"/>
        <v>0</v>
      </c>
      <c r="DG292" s="52">
        <f t="shared" si="276"/>
        <v>0</v>
      </c>
      <c r="DH292" s="52">
        <f t="shared" si="276"/>
        <v>0</v>
      </c>
      <c r="DI292" s="52">
        <f t="shared" si="276"/>
        <v>0</v>
      </c>
      <c r="DJ292" s="52">
        <f t="shared" si="276"/>
        <v>0</v>
      </c>
    </row>
    <row r="293" ht="15.75" customHeight="1">
      <c r="B293" s="52" t="s">
        <v>1792</v>
      </c>
      <c r="C293" s="52">
        <v>37.0</v>
      </c>
      <c r="D293" s="52" t="s">
        <v>1789</v>
      </c>
      <c r="E293" s="58"/>
      <c r="F293" s="58"/>
      <c r="G293" s="58"/>
      <c r="H293" s="58"/>
      <c r="I293" s="58"/>
      <c r="J293" s="58"/>
      <c r="K293" s="58"/>
      <c r="L293" s="65">
        <v>0.08</v>
      </c>
      <c r="M293" s="65">
        <v>0.08</v>
      </c>
      <c r="N293" s="65">
        <v>0.07</v>
      </c>
      <c r="O293" s="65">
        <v>0.07</v>
      </c>
      <c r="P293" s="65">
        <v>0.06</v>
      </c>
      <c r="Q293" s="65">
        <v>0.06</v>
      </c>
      <c r="R293" s="65">
        <v>0.05</v>
      </c>
      <c r="S293" s="65">
        <v>0.05</v>
      </c>
      <c r="T293" s="65">
        <v>0.05</v>
      </c>
      <c r="U293" s="65">
        <v>0.04</v>
      </c>
      <c r="V293" s="65">
        <v>0.04</v>
      </c>
      <c r="W293" s="65">
        <v>0.04</v>
      </c>
      <c r="X293" s="65">
        <v>0.04</v>
      </c>
      <c r="Y293" s="65">
        <v>0.03</v>
      </c>
      <c r="Z293" s="65">
        <v>0.03</v>
      </c>
      <c r="AA293" s="65">
        <v>0.03</v>
      </c>
      <c r="AB293" s="65">
        <v>0.03</v>
      </c>
      <c r="AC293" s="65">
        <v>0.03</v>
      </c>
      <c r="AD293" s="65">
        <v>0.02</v>
      </c>
      <c r="CU293" s="52">
        <f t="shared" ref="CU293:DJ293" si="277">ROUND($CU32*E293,0)</f>
        <v>0</v>
      </c>
      <c r="CV293" s="52">
        <f t="shared" si="277"/>
        <v>0</v>
      </c>
      <c r="CW293" s="52">
        <f t="shared" si="277"/>
        <v>0</v>
      </c>
      <c r="CX293" s="52">
        <f t="shared" si="277"/>
        <v>0</v>
      </c>
      <c r="CY293" s="52">
        <f t="shared" si="277"/>
        <v>0</v>
      </c>
      <c r="CZ293" s="52">
        <f t="shared" si="277"/>
        <v>0</v>
      </c>
      <c r="DA293" s="52">
        <f t="shared" si="277"/>
        <v>0</v>
      </c>
      <c r="DB293" s="52">
        <f t="shared" si="277"/>
        <v>0</v>
      </c>
      <c r="DC293" s="52">
        <f t="shared" si="277"/>
        <v>0</v>
      </c>
      <c r="DD293" s="52">
        <f t="shared" si="277"/>
        <v>0</v>
      </c>
      <c r="DE293" s="52">
        <f t="shared" si="277"/>
        <v>0</v>
      </c>
      <c r="DF293" s="52">
        <f t="shared" si="277"/>
        <v>0</v>
      </c>
      <c r="DG293" s="52">
        <f t="shared" si="277"/>
        <v>0</v>
      </c>
      <c r="DH293" s="52">
        <f t="shared" si="277"/>
        <v>0</v>
      </c>
      <c r="DI293" s="52">
        <f t="shared" si="277"/>
        <v>0</v>
      </c>
      <c r="DJ293" s="52">
        <f t="shared" si="277"/>
        <v>0</v>
      </c>
    </row>
    <row r="294" ht="15.75" customHeight="1">
      <c r="B294" s="52" t="s">
        <v>1792</v>
      </c>
      <c r="C294" s="52">
        <v>37.0</v>
      </c>
      <c r="D294" s="52" t="s">
        <v>1790</v>
      </c>
      <c r="E294" s="58"/>
      <c r="F294" s="58"/>
      <c r="G294" s="58"/>
      <c r="H294" s="58"/>
      <c r="I294" s="58"/>
      <c r="J294" s="58"/>
      <c r="K294" s="58"/>
      <c r="L294" s="58"/>
      <c r="M294" s="58"/>
      <c r="N294" s="65">
        <v>0.08</v>
      </c>
      <c r="O294" s="65">
        <v>0.08</v>
      </c>
      <c r="P294" s="65">
        <v>0.07</v>
      </c>
      <c r="Q294" s="65">
        <v>0.07</v>
      </c>
      <c r="R294" s="65">
        <v>0.06</v>
      </c>
      <c r="S294" s="65">
        <v>0.06</v>
      </c>
      <c r="T294" s="65">
        <v>0.05</v>
      </c>
      <c r="U294" s="65">
        <v>0.05</v>
      </c>
      <c r="V294" s="65">
        <v>0.05</v>
      </c>
      <c r="W294" s="65">
        <v>0.04</v>
      </c>
      <c r="X294" s="65">
        <v>0.04</v>
      </c>
      <c r="Y294" s="65">
        <v>0.04</v>
      </c>
      <c r="Z294" s="65">
        <v>0.04</v>
      </c>
      <c r="AA294" s="65">
        <v>0.03</v>
      </c>
      <c r="AB294" s="65">
        <v>0.03</v>
      </c>
      <c r="AC294" s="65">
        <v>0.03</v>
      </c>
      <c r="AD294" s="65">
        <v>0.03</v>
      </c>
      <c r="CU294" s="52">
        <f t="shared" ref="CU294:DJ294" si="278">ROUND($CU33*E294,0)</f>
        <v>0</v>
      </c>
      <c r="CV294" s="52">
        <f t="shared" si="278"/>
        <v>0</v>
      </c>
      <c r="CW294" s="52">
        <f t="shared" si="278"/>
        <v>0</v>
      </c>
      <c r="CX294" s="52">
        <f t="shared" si="278"/>
        <v>0</v>
      </c>
      <c r="CY294" s="52">
        <f t="shared" si="278"/>
        <v>0</v>
      </c>
      <c r="CZ294" s="52">
        <f t="shared" si="278"/>
        <v>0</v>
      </c>
      <c r="DA294" s="52">
        <f t="shared" si="278"/>
        <v>0</v>
      </c>
      <c r="DB294" s="52">
        <f t="shared" si="278"/>
        <v>0</v>
      </c>
      <c r="DC294" s="52">
        <f t="shared" si="278"/>
        <v>0</v>
      </c>
      <c r="DD294" s="52">
        <f t="shared" si="278"/>
        <v>0</v>
      </c>
      <c r="DE294" s="52">
        <f t="shared" si="278"/>
        <v>0</v>
      </c>
      <c r="DF294" s="52">
        <f t="shared" si="278"/>
        <v>0</v>
      </c>
      <c r="DG294" s="52">
        <f t="shared" si="278"/>
        <v>0</v>
      </c>
      <c r="DH294" s="52">
        <f t="shared" si="278"/>
        <v>0</v>
      </c>
      <c r="DI294" s="52">
        <f t="shared" si="278"/>
        <v>0</v>
      </c>
      <c r="DJ294" s="52">
        <f t="shared" si="278"/>
        <v>0</v>
      </c>
    </row>
    <row r="295" ht="15.75" customHeight="1">
      <c r="B295" s="52" t="s">
        <v>1792</v>
      </c>
      <c r="C295" s="52">
        <v>38.0</v>
      </c>
      <c r="D295" s="52">
        <v>0.0</v>
      </c>
      <c r="E295" s="65">
        <v>0.07</v>
      </c>
      <c r="F295" s="65">
        <v>0.07</v>
      </c>
      <c r="G295" s="65">
        <v>0.07</v>
      </c>
      <c r="H295" s="65">
        <v>0.07</v>
      </c>
      <c r="I295" s="65">
        <v>0.07</v>
      </c>
      <c r="J295" s="65">
        <v>0.07</v>
      </c>
      <c r="K295" s="65">
        <v>0.07</v>
      </c>
      <c r="L295" s="65">
        <v>0.07</v>
      </c>
      <c r="M295" s="65">
        <v>0.07</v>
      </c>
      <c r="N295" s="65">
        <v>0.03</v>
      </c>
      <c r="O295" s="65">
        <v>0.03</v>
      </c>
      <c r="P295" s="65">
        <v>0.03</v>
      </c>
      <c r="Q295" s="65">
        <v>0.03</v>
      </c>
      <c r="R295" s="65">
        <v>0.03</v>
      </c>
      <c r="S295" s="65">
        <v>0.03</v>
      </c>
      <c r="T295" s="65">
        <v>0.03</v>
      </c>
      <c r="U295" s="65">
        <v>0.02</v>
      </c>
      <c r="V295" s="65">
        <v>0.02</v>
      </c>
      <c r="W295" s="65">
        <v>0.02</v>
      </c>
      <c r="X295" s="65">
        <v>0.02</v>
      </c>
      <c r="Y295" s="65">
        <v>0.02</v>
      </c>
      <c r="Z295" s="65">
        <v>0.02</v>
      </c>
      <c r="AA295" s="65">
        <v>0.02</v>
      </c>
      <c r="AB295" s="65">
        <v>0.02</v>
      </c>
      <c r="AC295" s="58"/>
      <c r="AD295" s="58"/>
      <c r="CV295" s="52">
        <f t="shared" ref="CV295:DJ295" si="279">ROUND($CV27*E295,0)</f>
        <v>14</v>
      </c>
      <c r="CW295" s="52">
        <f t="shared" si="279"/>
        <v>14</v>
      </c>
      <c r="CX295" s="52">
        <f t="shared" si="279"/>
        <v>14</v>
      </c>
      <c r="CY295" s="52">
        <f t="shared" si="279"/>
        <v>14</v>
      </c>
      <c r="CZ295" s="52">
        <f t="shared" si="279"/>
        <v>14</v>
      </c>
      <c r="DA295" s="52">
        <f t="shared" si="279"/>
        <v>14</v>
      </c>
      <c r="DB295" s="52">
        <f t="shared" si="279"/>
        <v>14</v>
      </c>
      <c r="DC295" s="52">
        <f t="shared" si="279"/>
        <v>14</v>
      </c>
      <c r="DD295" s="52">
        <f t="shared" si="279"/>
        <v>14</v>
      </c>
      <c r="DE295" s="52">
        <f t="shared" si="279"/>
        <v>6</v>
      </c>
      <c r="DF295" s="52">
        <f t="shared" si="279"/>
        <v>6</v>
      </c>
      <c r="DG295" s="52">
        <f t="shared" si="279"/>
        <v>6</v>
      </c>
      <c r="DH295" s="52">
        <f t="shared" si="279"/>
        <v>6</v>
      </c>
      <c r="DI295" s="52">
        <f t="shared" si="279"/>
        <v>6</v>
      </c>
      <c r="DJ295" s="52">
        <f t="shared" si="279"/>
        <v>6</v>
      </c>
    </row>
    <row r="296" ht="15.75" customHeight="1">
      <c r="B296" s="52" t="s">
        <v>1792</v>
      </c>
      <c r="C296" s="52">
        <v>38.0</v>
      </c>
      <c r="D296" s="52" t="s">
        <v>1785</v>
      </c>
      <c r="E296" s="65">
        <v>0.02</v>
      </c>
      <c r="F296" s="65">
        <v>0.02</v>
      </c>
      <c r="G296" s="65">
        <v>0.02</v>
      </c>
      <c r="H296" s="65">
        <v>0.02</v>
      </c>
      <c r="I296" s="65">
        <v>0.08</v>
      </c>
      <c r="J296" s="65">
        <v>0.08</v>
      </c>
      <c r="K296" s="65">
        <v>0.07</v>
      </c>
      <c r="L296" s="65">
        <v>0.07</v>
      </c>
      <c r="M296" s="65">
        <v>0.06</v>
      </c>
      <c r="N296" s="65">
        <v>0.06</v>
      </c>
      <c r="O296" s="65">
        <v>0.05</v>
      </c>
      <c r="P296" s="65">
        <v>0.05</v>
      </c>
      <c r="Q296" s="65">
        <v>0.05</v>
      </c>
      <c r="R296" s="65">
        <v>0.04</v>
      </c>
      <c r="S296" s="65">
        <v>0.04</v>
      </c>
      <c r="T296" s="65">
        <v>0.04</v>
      </c>
      <c r="U296" s="65">
        <v>0.04</v>
      </c>
      <c r="V296" s="65">
        <v>0.03</v>
      </c>
      <c r="W296" s="65">
        <v>0.03</v>
      </c>
      <c r="X296" s="65">
        <v>0.03</v>
      </c>
      <c r="Y296" s="65">
        <v>0.03</v>
      </c>
      <c r="Z296" s="65">
        <v>0.03</v>
      </c>
      <c r="AA296" s="65">
        <v>0.02</v>
      </c>
      <c r="AB296" s="65">
        <v>0.02</v>
      </c>
      <c r="AC296" s="58"/>
      <c r="AD296" s="58"/>
      <c r="CV296" s="52">
        <f t="shared" ref="CV296:DJ296" si="280">ROUND($CV28*E296,0)</f>
        <v>0</v>
      </c>
      <c r="CW296" s="52">
        <f t="shared" si="280"/>
        <v>0</v>
      </c>
      <c r="CX296" s="52">
        <f t="shared" si="280"/>
        <v>0</v>
      </c>
      <c r="CY296" s="52">
        <f t="shared" si="280"/>
        <v>0</v>
      </c>
      <c r="CZ296" s="52">
        <f t="shared" si="280"/>
        <v>2</v>
      </c>
      <c r="DA296" s="52">
        <f t="shared" si="280"/>
        <v>2</v>
      </c>
      <c r="DB296" s="52">
        <f t="shared" si="280"/>
        <v>1</v>
      </c>
      <c r="DC296" s="52">
        <f t="shared" si="280"/>
        <v>1</v>
      </c>
      <c r="DD296" s="52">
        <f t="shared" si="280"/>
        <v>1</v>
      </c>
      <c r="DE296" s="52">
        <f t="shared" si="280"/>
        <v>1</v>
      </c>
      <c r="DF296" s="52">
        <f t="shared" si="280"/>
        <v>1</v>
      </c>
      <c r="DG296" s="52">
        <f t="shared" si="280"/>
        <v>1</v>
      </c>
      <c r="DH296" s="52">
        <f t="shared" si="280"/>
        <v>1</v>
      </c>
      <c r="DI296" s="52">
        <f t="shared" si="280"/>
        <v>1</v>
      </c>
      <c r="DJ296" s="52">
        <f t="shared" si="280"/>
        <v>1</v>
      </c>
    </row>
    <row r="297" ht="15.75" customHeight="1">
      <c r="B297" s="52" t="s">
        <v>1792</v>
      </c>
      <c r="C297" s="52">
        <v>38.0</v>
      </c>
      <c r="D297" s="52" t="s">
        <v>1786</v>
      </c>
      <c r="E297" s="58"/>
      <c r="F297" s="58"/>
      <c r="G297" s="58"/>
      <c r="H297" s="65">
        <v>0.08</v>
      </c>
      <c r="I297" s="65">
        <v>0.08</v>
      </c>
      <c r="J297" s="65">
        <v>0.07</v>
      </c>
      <c r="K297" s="65">
        <v>0.07</v>
      </c>
      <c r="L297" s="65">
        <v>0.06</v>
      </c>
      <c r="M297" s="65">
        <v>0.06</v>
      </c>
      <c r="N297" s="65">
        <v>0.05</v>
      </c>
      <c r="O297" s="65">
        <v>0.05</v>
      </c>
      <c r="P297" s="65">
        <v>0.05</v>
      </c>
      <c r="Q297" s="65">
        <v>0.04</v>
      </c>
      <c r="R297" s="65">
        <v>0.04</v>
      </c>
      <c r="S297" s="65">
        <v>0.04</v>
      </c>
      <c r="T297" s="65">
        <v>0.04</v>
      </c>
      <c r="U297" s="65">
        <v>0.03</v>
      </c>
      <c r="V297" s="65">
        <v>0.03</v>
      </c>
      <c r="W297" s="65">
        <v>0.03</v>
      </c>
      <c r="X297" s="65">
        <v>0.03</v>
      </c>
      <c r="Y297" s="65">
        <v>0.03</v>
      </c>
      <c r="Z297" s="65">
        <v>0.02</v>
      </c>
      <c r="AA297" s="65">
        <v>0.02</v>
      </c>
      <c r="AB297" s="65">
        <v>0.03</v>
      </c>
      <c r="AC297" s="65">
        <v>0.03</v>
      </c>
      <c r="AD297" s="65">
        <v>0.02</v>
      </c>
      <c r="CV297" s="52">
        <f t="shared" ref="CV297:DJ297" si="281">ROUND($CV29*E297,0)</f>
        <v>0</v>
      </c>
      <c r="CW297" s="52">
        <f t="shared" si="281"/>
        <v>0</v>
      </c>
      <c r="CX297" s="52">
        <f t="shared" si="281"/>
        <v>0</v>
      </c>
      <c r="CY297" s="52">
        <f t="shared" si="281"/>
        <v>3</v>
      </c>
      <c r="CZ297" s="52">
        <f t="shared" si="281"/>
        <v>3</v>
      </c>
      <c r="DA297" s="52">
        <f t="shared" si="281"/>
        <v>3</v>
      </c>
      <c r="DB297" s="52">
        <f t="shared" si="281"/>
        <v>3</v>
      </c>
      <c r="DC297" s="52">
        <f t="shared" si="281"/>
        <v>2</v>
      </c>
      <c r="DD297" s="52">
        <f t="shared" si="281"/>
        <v>2</v>
      </c>
      <c r="DE297" s="52">
        <f t="shared" si="281"/>
        <v>2</v>
      </c>
      <c r="DF297" s="52">
        <f t="shared" si="281"/>
        <v>2</v>
      </c>
      <c r="DG297" s="52">
        <f t="shared" si="281"/>
        <v>2</v>
      </c>
      <c r="DH297" s="52">
        <f t="shared" si="281"/>
        <v>1</v>
      </c>
      <c r="DI297" s="52">
        <f t="shared" si="281"/>
        <v>1</v>
      </c>
      <c r="DJ297" s="52">
        <f t="shared" si="281"/>
        <v>1</v>
      </c>
    </row>
    <row r="298" ht="15.75" customHeight="1">
      <c r="B298" s="52" t="s">
        <v>1792</v>
      </c>
      <c r="C298" s="52">
        <v>38.0</v>
      </c>
      <c r="D298" s="52" t="s">
        <v>1787</v>
      </c>
      <c r="E298" s="58"/>
      <c r="F298" s="58"/>
      <c r="G298" s="58"/>
      <c r="H298" s="58"/>
      <c r="I298" s="58"/>
      <c r="J298" s="65">
        <v>0.08</v>
      </c>
      <c r="K298" s="65">
        <v>0.08</v>
      </c>
      <c r="L298" s="65">
        <v>0.07</v>
      </c>
      <c r="M298" s="65">
        <v>0.07</v>
      </c>
      <c r="N298" s="65">
        <v>0.06</v>
      </c>
      <c r="O298" s="65">
        <v>0.06</v>
      </c>
      <c r="P298" s="65">
        <v>0.05</v>
      </c>
      <c r="Q298" s="65">
        <v>0.05</v>
      </c>
      <c r="R298" s="65">
        <v>0.05</v>
      </c>
      <c r="S298" s="65">
        <v>0.04</v>
      </c>
      <c r="T298" s="65">
        <v>0.04</v>
      </c>
      <c r="U298" s="65">
        <v>0.04</v>
      </c>
      <c r="V298" s="65">
        <v>0.04</v>
      </c>
      <c r="W298" s="65">
        <v>0.03</v>
      </c>
      <c r="X298" s="65">
        <v>0.03</v>
      </c>
      <c r="Y298" s="65">
        <v>0.03</v>
      </c>
      <c r="Z298" s="65">
        <v>0.03</v>
      </c>
      <c r="AA298" s="65">
        <v>0.03</v>
      </c>
      <c r="AB298" s="65">
        <v>0.02</v>
      </c>
      <c r="AC298" s="65">
        <v>0.02</v>
      </c>
      <c r="AD298" s="65">
        <v>0.03</v>
      </c>
      <c r="CV298" s="52">
        <f t="shared" ref="CV298:DJ298" si="282">ROUND($CV30*E298,0)</f>
        <v>0</v>
      </c>
      <c r="CW298" s="52">
        <f t="shared" si="282"/>
        <v>0</v>
      </c>
      <c r="CX298" s="52">
        <f t="shared" si="282"/>
        <v>0</v>
      </c>
      <c r="CY298" s="52">
        <f t="shared" si="282"/>
        <v>0</v>
      </c>
      <c r="CZ298" s="52">
        <f t="shared" si="282"/>
        <v>0</v>
      </c>
      <c r="DA298" s="52">
        <f t="shared" si="282"/>
        <v>1</v>
      </c>
      <c r="DB298" s="52">
        <f t="shared" si="282"/>
        <v>1</v>
      </c>
      <c r="DC298" s="52">
        <f t="shared" si="282"/>
        <v>0</v>
      </c>
      <c r="DD298" s="52">
        <f t="shared" si="282"/>
        <v>0</v>
      </c>
      <c r="DE298" s="52">
        <f t="shared" si="282"/>
        <v>0</v>
      </c>
      <c r="DF298" s="52">
        <f t="shared" si="282"/>
        <v>0</v>
      </c>
      <c r="DG298" s="52">
        <f t="shared" si="282"/>
        <v>0</v>
      </c>
      <c r="DH298" s="52">
        <f t="shared" si="282"/>
        <v>0</v>
      </c>
      <c r="DI298" s="52">
        <f t="shared" si="282"/>
        <v>0</v>
      </c>
      <c r="DJ298" s="52">
        <f t="shared" si="282"/>
        <v>0</v>
      </c>
    </row>
    <row r="299" ht="15.75" customHeight="1">
      <c r="B299" s="52" t="s">
        <v>1792</v>
      </c>
      <c r="C299" s="52">
        <v>38.0</v>
      </c>
      <c r="D299" s="52" t="s">
        <v>1788</v>
      </c>
      <c r="E299" s="58"/>
      <c r="F299" s="58"/>
      <c r="G299" s="58"/>
      <c r="H299" s="58"/>
      <c r="I299" s="58"/>
      <c r="J299" s="58"/>
      <c r="K299" s="65">
        <v>0.08</v>
      </c>
      <c r="L299" s="65">
        <v>0.08</v>
      </c>
      <c r="M299" s="65">
        <v>0.07</v>
      </c>
      <c r="N299" s="65">
        <v>0.07</v>
      </c>
      <c r="O299" s="65">
        <v>0.06</v>
      </c>
      <c r="P299" s="65">
        <v>0.06</v>
      </c>
      <c r="Q299" s="65">
        <v>0.05</v>
      </c>
      <c r="R299" s="65">
        <v>0.05</v>
      </c>
      <c r="S299" s="65">
        <v>0.05</v>
      </c>
      <c r="T299" s="65">
        <v>0.04</v>
      </c>
      <c r="U299" s="65">
        <v>0.04</v>
      </c>
      <c r="V299" s="65">
        <v>0.04</v>
      </c>
      <c r="W299" s="65">
        <v>0.04</v>
      </c>
      <c r="X299" s="65">
        <v>0.03</v>
      </c>
      <c r="Y299" s="65">
        <v>0.03</v>
      </c>
      <c r="Z299" s="65">
        <v>0.03</v>
      </c>
      <c r="AA299" s="65">
        <v>0.03</v>
      </c>
      <c r="AB299" s="65">
        <v>0.03</v>
      </c>
      <c r="AC299" s="65">
        <v>0.02</v>
      </c>
      <c r="AD299" s="65">
        <v>0.02</v>
      </c>
      <c r="CV299" s="52">
        <f t="shared" ref="CV299:DJ299" si="283">ROUND($CV31*E299,0)</f>
        <v>0</v>
      </c>
      <c r="CW299" s="52">
        <f t="shared" si="283"/>
        <v>0</v>
      </c>
      <c r="CX299" s="52">
        <f t="shared" si="283"/>
        <v>0</v>
      </c>
      <c r="CY299" s="52">
        <f t="shared" si="283"/>
        <v>0</v>
      </c>
      <c r="CZ299" s="52">
        <f t="shared" si="283"/>
        <v>0</v>
      </c>
      <c r="DA299" s="52">
        <f t="shared" si="283"/>
        <v>0</v>
      </c>
      <c r="DB299" s="52">
        <f t="shared" si="283"/>
        <v>0</v>
      </c>
      <c r="DC299" s="52">
        <f t="shared" si="283"/>
        <v>0</v>
      </c>
      <c r="DD299" s="52">
        <f t="shared" si="283"/>
        <v>0</v>
      </c>
      <c r="DE299" s="52">
        <f t="shared" si="283"/>
        <v>0</v>
      </c>
      <c r="DF299" s="52">
        <f t="shared" si="283"/>
        <v>0</v>
      </c>
      <c r="DG299" s="52">
        <f t="shared" si="283"/>
        <v>0</v>
      </c>
      <c r="DH299" s="52">
        <f t="shared" si="283"/>
        <v>0</v>
      </c>
      <c r="DI299" s="52">
        <f t="shared" si="283"/>
        <v>0</v>
      </c>
      <c r="DJ299" s="52">
        <f t="shared" si="283"/>
        <v>0</v>
      </c>
    </row>
    <row r="300" ht="15.75" customHeight="1">
      <c r="B300" s="52" t="s">
        <v>1792</v>
      </c>
      <c r="C300" s="52">
        <v>38.0</v>
      </c>
      <c r="D300" s="52" t="s">
        <v>1789</v>
      </c>
      <c r="E300" s="58"/>
      <c r="F300" s="58"/>
      <c r="G300" s="58"/>
      <c r="H300" s="58"/>
      <c r="I300" s="58"/>
      <c r="J300" s="58"/>
      <c r="K300" s="58"/>
      <c r="L300" s="65">
        <v>0.08</v>
      </c>
      <c r="M300" s="65">
        <v>0.08</v>
      </c>
      <c r="N300" s="65">
        <v>0.07</v>
      </c>
      <c r="O300" s="65">
        <v>0.07</v>
      </c>
      <c r="P300" s="65">
        <v>0.06</v>
      </c>
      <c r="Q300" s="65">
        <v>0.06</v>
      </c>
      <c r="R300" s="65">
        <v>0.05</v>
      </c>
      <c r="S300" s="65">
        <v>0.05</v>
      </c>
      <c r="T300" s="65">
        <v>0.05</v>
      </c>
      <c r="U300" s="65">
        <v>0.04</v>
      </c>
      <c r="V300" s="65">
        <v>0.04</v>
      </c>
      <c r="W300" s="65">
        <v>0.04</v>
      </c>
      <c r="X300" s="65">
        <v>0.04</v>
      </c>
      <c r="Y300" s="65">
        <v>0.03</v>
      </c>
      <c r="Z300" s="65">
        <v>0.03</v>
      </c>
      <c r="AA300" s="65">
        <v>0.03</v>
      </c>
      <c r="AB300" s="65">
        <v>0.03</v>
      </c>
      <c r="AC300" s="65">
        <v>0.03</v>
      </c>
      <c r="AD300" s="65">
        <v>0.02</v>
      </c>
      <c r="CV300" s="52">
        <f t="shared" ref="CV300:DJ300" si="284">ROUND($CV32*E300,0)</f>
        <v>0</v>
      </c>
      <c r="CW300" s="52">
        <f t="shared" si="284"/>
        <v>0</v>
      </c>
      <c r="CX300" s="52">
        <f t="shared" si="284"/>
        <v>0</v>
      </c>
      <c r="CY300" s="52">
        <f t="shared" si="284"/>
        <v>0</v>
      </c>
      <c r="CZ300" s="52">
        <f t="shared" si="284"/>
        <v>0</v>
      </c>
      <c r="DA300" s="52">
        <f t="shared" si="284"/>
        <v>0</v>
      </c>
      <c r="DB300" s="52">
        <f t="shared" si="284"/>
        <v>0</v>
      </c>
      <c r="DC300" s="52">
        <f t="shared" si="284"/>
        <v>1</v>
      </c>
      <c r="DD300" s="52">
        <f t="shared" si="284"/>
        <v>1</v>
      </c>
      <c r="DE300" s="52">
        <f t="shared" si="284"/>
        <v>1</v>
      </c>
      <c r="DF300" s="52">
        <f t="shared" si="284"/>
        <v>1</v>
      </c>
      <c r="DG300" s="52">
        <f t="shared" si="284"/>
        <v>1</v>
      </c>
      <c r="DH300" s="52">
        <f t="shared" si="284"/>
        <v>1</v>
      </c>
      <c r="DI300" s="52">
        <f t="shared" si="284"/>
        <v>1</v>
      </c>
      <c r="DJ300" s="52">
        <f t="shared" si="284"/>
        <v>1</v>
      </c>
    </row>
    <row r="301" ht="15.75" customHeight="1">
      <c r="B301" s="52" t="s">
        <v>1792</v>
      </c>
      <c r="C301" s="52">
        <v>38.0</v>
      </c>
      <c r="D301" s="52" t="s">
        <v>1790</v>
      </c>
      <c r="E301" s="58"/>
      <c r="F301" s="58"/>
      <c r="G301" s="58"/>
      <c r="H301" s="58"/>
      <c r="I301" s="58"/>
      <c r="J301" s="58"/>
      <c r="K301" s="58"/>
      <c r="L301" s="58"/>
      <c r="M301" s="58"/>
      <c r="N301" s="65">
        <v>0.08</v>
      </c>
      <c r="O301" s="65">
        <v>0.08</v>
      </c>
      <c r="P301" s="65">
        <v>0.07</v>
      </c>
      <c r="Q301" s="65">
        <v>0.07</v>
      </c>
      <c r="R301" s="65">
        <v>0.06</v>
      </c>
      <c r="S301" s="65">
        <v>0.06</v>
      </c>
      <c r="T301" s="65">
        <v>0.05</v>
      </c>
      <c r="U301" s="65">
        <v>0.05</v>
      </c>
      <c r="V301" s="65">
        <v>0.05</v>
      </c>
      <c r="W301" s="65">
        <v>0.04</v>
      </c>
      <c r="X301" s="65">
        <v>0.04</v>
      </c>
      <c r="Y301" s="65">
        <v>0.04</v>
      </c>
      <c r="Z301" s="65">
        <v>0.04</v>
      </c>
      <c r="AA301" s="65">
        <v>0.03</v>
      </c>
      <c r="AB301" s="65">
        <v>0.03</v>
      </c>
      <c r="AC301" s="65">
        <v>0.03</v>
      </c>
      <c r="AD301" s="65">
        <v>0.03</v>
      </c>
      <c r="CV301" s="52">
        <f t="shared" ref="CV301:DJ301" si="285">ROUND($CV33*E301,0)</f>
        <v>0</v>
      </c>
      <c r="CW301" s="52">
        <f t="shared" si="285"/>
        <v>0</v>
      </c>
      <c r="CX301" s="52">
        <f t="shared" si="285"/>
        <v>0</v>
      </c>
      <c r="CY301" s="52">
        <f t="shared" si="285"/>
        <v>0</v>
      </c>
      <c r="CZ301" s="52">
        <f t="shared" si="285"/>
        <v>0</v>
      </c>
      <c r="DA301" s="52">
        <f t="shared" si="285"/>
        <v>0</v>
      </c>
      <c r="DB301" s="52">
        <f t="shared" si="285"/>
        <v>0</v>
      </c>
      <c r="DC301" s="52">
        <f t="shared" si="285"/>
        <v>0</v>
      </c>
      <c r="DD301" s="52">
        <f t="shared" si="285"/>
        <v>0</v>
      </c>
      <c r="DE301" s="52">
        <f t="shared" si="285"/>
        <v>1</v>
      </c>
      <c r="DF301" s="52">
        <f t="shared" si="285"/>
        <v>1</v>
      </c>
      <c r="DG301" s="52">
        <f t="shared" si="285"/>
        <v>1</v>
      </c>
      <c r="DH301" s="52">
        <f t="shared" si="285"/>
        <v>1</v>
      </c>
      <c r="DI301" s="52">
        <f t="shared" si="285"/>
        <v>1</v>
      </c>
      <c r="DJ301" s="52">
        <f t="shared" si="285"/>
        <v>1</v>
      </c>
    </row>
    <row r="302" ht="15.75" customHeight="1">
      <c r="B302" s="52" t="s">
        <v>1792</v>
      </c>
      <c r="C302" s="52">
        <v>39.0</v>
      </c>
      <c r="D302" s="52">
        <v>0.0</v>
      </c>
      <c r="E302" s="65">
        <v>0.07</v>
      </c>
      <c r="F302" s="65">
        <v>0.07</v>
      </c>
      <c r="G302" s="65">
        <v>0.07</v>
      </c>
      <c r="H302" s="65">
        <v>0.07</v>
      </c>
      <c r="I302" s="65">
        <v>0.07</v>
      </c>
      <c r="J302" s="65">
        <v>0.07</v>
      </c>
      <c r="K302" s="65">
        <v>0.07</v>
      </c>
      <c r="L302" s="65">
        <v>0.07</v>
      </c>
      <c r="M302" s="65">
        <v>0.07</v>
      </c>
      <c r="N302" s="65">
        <v>0.03</v>
      </c>
      <c r="O302" s="65">
        <v>0.03</v>
      </c>
      <c r="P302" s="65">
        <v>0.03</v>
      </c>
      <c r="Q302" s="65">
        <v>0.03</v>
      </c>
      <c r="R302" s="65">
        <v>0.03</v>
      </c>
      <c r="S302" s="65">
        <v>0.03</v>
      </c>
      <c r="T302" s="65">
        <v>0.03</v>
      </c>
      <c r="U302" s="65">
        <v>0.02</v>
      </c>
      <c r="V302" s="65">
        <v>0.02</v>
      </c>
      <c r="W302" s="65">
        <v>0.02</v>
      </c>
      <c r="X302" s="65">
        <v>0.02</v>
      </c>
      <c r="Y302" s="65">
        <v>0.02</v>
      </c>
      <c r="Z302" s="65">
        <v>0.02</v>
      </c>
      <c r="AA302" s="65">
        <v>0.02</v>
      </c>
      <c r="AB302" s="65">
        <v>0.02</v>
      </c>
      <c r="AC302" s="58"/>
      <c r="AD302" s="58"/>
      <c r="CW302" s="52">
        <f t="shared" ref="CW302:DJ302" si="286">ROUND($CW27*E302,0)</f>
        <v>27</v>
      </c>
      <c r="CX302" s="52">
        <f t="shared" si="286"/>
        <v>27</v>
      </c>
      <c r="CY302" s="52">
        <f t="shared" si="286"/>
        <v>27</v>
      </c>
      <c r="CZ302" s="52">
        <f t="shared" si="286"/>
        <v>27</v>
      </c>
      <c r="DA302" s="52">
        <f t="shared" si="286"/>
        <v>27</v>
      </c>
      <c r="DB302" s="52">
        <f t="shared" si="286"/>
        <v>27</v>
      </c>
      <c r="DC302" s="52">
        <f t="shared" si="286"/>
        <v>27</v>
      </c>
      <c r="DD302" s="52">
        <f t="shared" si="286"/>
        <v>27</v>
      </c>
      <c r="DE302" s="52">
        <f t="shared" si="286"/>
        <v>27</v>
      </c>
      <c r="DF302" s="52">
        <f t="shared" si="286"/>
        <v>12</v>
      </c>
      <c r="DG302" s="52">
        <f t="shared" si="286"/>
        <v>12</v>
      </c>
      <c r="DH302" s="52">
        <f t="shared" si="286"/>
        <v>12</v>
      </c>
      <c r="DI302" s="52">
        <f t="shared" si="286"/>
        <v>12</v>
      </c>
      <c r="DJ302" s="52">
        <f t="shared" si="286"/>
        <v>12</v>
      </c>
    </row>
    <row r="303" ht="15.75" customHeight="1">
      <c r="B303" s="52" t="s">
        <v>1792</v>
      </c>
      <c r="C303" s="52">
        <v>39.0</v>
      </c>
      <c r="D303" s="52" t="s">
        <v>1785</v>
      </c>
      <c r="E303" s="65">
        <v>0.02</v>
      </c>
      <c r="F303" s="65">
        <v>0.02</v>
      </c>
      <c r="G303" s="65">
        <v>0.02</v>
      </c>
      <c r="H303" s="65">
        <v>0.02</v>
      </c>
      <c r="I303" s="65">
        <v>0.08</v>
      </c>
      <c r="J303" s="65">
        <v>0.08</v>
      </c>
      <c r="K303" s="65">
        <v>0.07</v>
      </c>
      <c r="L303" s="65">
        <v>0.07</v>
      </c>
      <c r="M303" s="65">
        <v>0.06</v>
      </c>
      <c r="N303" s="65">
        <v>0.06</v>
      </c>
      <c r="O303" s="65">
        <v>0.05</v>
      </c>
      <c r="P303" s="65">
        <v>0.05</v>
      </c>
      <c r="Q303" s="65">
        <v>0.05</v>
      </c>
      <c r="R303" s="65">
        <v>0.04</v>
      </c>
      <c r="S303" s="65">
        <v>0.04</v>
      </c>
      <c r="T303" s="65">
        <v>0.04</v>
      </c>
      <c r="U303" s="65">
        <v>0.04</v>
      </c>
      <c r="V303" s="65">
        <v>0.03</v>
      </c>
      <c r="W303" s="65">
        <v>0.03</v>
      </c>
      <c r="X303" s="65">
        <v>0.03</v>
      </c>
      <c r="Y303" s="65">
        <v>0.03</v>
      </c>
      <c r="Z303" s="65">
        <v>0.03</v>
      </c>
      <c r="AA303" s="65">
        <v>0.02</v>
      </c>
      <c r="AB303" s="65">
        <v>0.02</v>
      </c>
      <c r="AC303" s="58"/>
      <c r="AD303" s="58"/>
      <c r="CW303" s="52">
        <f t="shared" ref="CW303:DJ303" si="287">ROUND($CW28*E303,0)</f>
        <v>1</v>
      </c>
      <c r="CX303" s="52">
        <f t="shared" si="287"/>
        <v>1</v>
      </c>
      <c r="CY303" s="52">
        <f t="shared" si="287"/>
        <v>1</v>
      </c>
      <c r="CZ303" s="52">
        <f t="shared" si="287"/>
        <v>1</v>
      </c>
      <c r="DA303" s="52">
        <f t="shared" si="287"/>
        <v>3</v>
      </c>
      <c r="DB303" s="52">
        <f t="shared" si="287"/>
        <v>3</v>
      </c>
      <c r="DC303" s="52">
        <f t="shared" si="287"/>
        <v>3</v>
      </c>
      <c r="DD303" s="52">
        <f t="shared" si="287"/>
        <v>3</v>
      </c>
      <c r="DE303" s="52">
        <f t="shared" si="287"/>
        <v>2</v>
      </c>
      <c r="DF303" s="52">
        <f t="shared" si="287"/>
        <v>2</v>
      </c>
      <c r="DG303" s="52">
        <f t="shared" si="287"/>
        <v>2</v>
      </c>
      <c r="DH303" s="52">
        <f t="shared" si="287"/>
        <v>2</v>
      </c>
      <c r="DI303" s="52">
        <f t="shared" si="287"/>
        <v>2</v>
      </c>
      <c r="DJ303" s="52">
        <f t="shared" si="287"/>
        <v>2</v>
      </c>
    </row>
    <row r="304" ht="15.75" customHeight="1">
      <c r="B304" s="52" t="s">
        <v>1792</v>
      </c>
      <c r="C304" s="52">
        <v>39.0</v>
      </c>
      <c r="D304" s="52" t="s">
        <v>1786</v>
      </c>
      <c r="E304" s="58"/>
      <c r="F304" s="58"/>
      <c r="G304" s="58"/>
      <c r="H304" s="65">
        <v>0.08</v>
      </c>
      <c r="I304" s="65">
        <v>0.08</v>
      </c>
      <c r="J304" s="65">
        <v>0.07</v>
      </c>
      <c r="K304" s="65">
        <v>0.07</v>
      </c>
      <c r="L304" s="65">
        <v>0.06</v>
      </c>
      <c r="M304" s="65">
        <v>0.06</v>
      </c>
      <c r="N304" s="65">
        <v>0.05</v>
      </c>
      <c r="O304" s="65">
        <v>0.05</v>
      </c>
      <c r="P304" s="65">
        <v>0.05</v>
      </c>
      <c r="Q304" s="65">
        <v>0.04</v>
      </c>
      <c r="R304" s="65">
        <v>0.04</v>
      </c>
      <c r="S304" s="65">
        <v>0.04</v>
      </c>
      <c r="T304" s="65">
        <v>0.04</v>
      </c>
      <c r="U304" s="65">
        <v>0.03</v>
      </c>
      <c r="V304" s="65">
        <v>0.03</v>
      </c>
      <c r="W304" s="65">
        <v>0.03</v>
      </c>
      <c r="X304" s="65">
        <v>0.03</v>
      </c>
      <c r="Y304" s="65">
        <v>0.03</v>
      </c>
      <c r="Z304" s="65">
        <v>0.02</v>
      </c>
      <c r="AA304" s="65">
        <v>0.02</v>
      </c>
      <c r="AB304" s="65">
        <v>0.03</v>
      </c>
      <c r="AC304" s="65">
        <v>0.03</v>
      </c>
      <c r="AD304" s="65">
        <v>0.02</v>
      </c>
      <c r="CW304" s="52">
        <f t="shared" ref="CW304:DJ304" si="288">ROUND($CW29*E304,0)</f>
        <v>0</v>
      </c>
      <c r="CX304" s="52">
        <f t="shared" si="288"/>
        <v>0</v>
      </c>
      <c r="CY304" s="52">
        <f t="shared" si="288"/>
        <v>0</v>
      </c>
      <c r="CZ304" s="52">
        <f t="shared" si="288"/>
        <v>6</v>
      </c>
      <c r="DA304" s="52">
        <f t="shared" si="288"/>
        <v>6</v>
      </c>
      <c r="DB304" s="52">
        <f t="shared" si="288"/>
        <v>5</v>
      </c>
      <c r="DC304" s="52">
        <f t="shared" si="288"/>
        <v>5</v>
      </c>
      <c r="DD304" s="52">
        <f t="shared" si="288"/>
        <v>4</v>
      </c>
      <c r="DE304" s="52">
        <f t="shared" si="288"/>
        <v>4</v>
      </c>
      <c r="DF304" s="52">
        <f t="shared" si="288"/>
        <v>4</v>
      </c>
      <c r="DG304" s="52">
        <f t="shared" si="288"/>
        <v>4</v>
      </c>
      <c r="DH304" s="52">
        <f t="shared" si="288"/>
        <v>4</v>
      </c>
      <c r="DI304" s="52">
        <f t="shared" si="288"/>
        <v>3</v>
      </c>
      <c r="DJ304" s="52">
        <f t="shared" si="288"/>
        <v>3</v>
      </c>
    </row>
    <row r="305" ht="15.75" customHeight="1">
      <c r="B305" s="52" t="s">
        <v>1792</v>
      </c>
      <c r="C305" s="52">
        <v>39.0</v>
      </c>
      <c r="D305" s="52" t="s">
        <v>1787</v>
      </c>
      <c r="E305" s="58"/>
      <c r="F305" s="58"/>
      <c r="G305" s="58"/>
      <c r="H305" s="58"/>
      <c r="I305" s="58"/>
      <c r="J305" s="65">
        <v>0.08</v>
      </c>
      <c r="K305" s="65">
        <v>0.08</v>
      </c>
      <c r="L305" s="65">
        <v>0.07</v>
      </c>
      <c r="M305" s="65">
        <v>0.07</v>
      </c>
      <c r="N305" s="65">
        <v>0.06</v>
      </c>
      <c r="O305" s="65">
        <v>0.06</v>
      </c>
      <c r="P305" s="65">
        <v>0.05</v>
      </c>
      <c r="Q305" s="65">
        <v>0.05</v>
      </c>
      <c r="R305" s="65">
        <v>0.05</v>
      </c>
      <c r="S305" s="65">
        <v>0.04</v>
      </c>
      <c r="T305" s="65">
        <v>0.04</v>
      </c>
      <c r="U305" s="65">
        <v>0.04</v>
      </c>
      <c r="V305" s="65">
        <v>0.04</v>
      </c>
      <c r="W305" s="65">
        <v>0.03</v>
      </c>
      <c r="X305" s="65">
        <v>0.03</v>
      </c>
      <c r="Y305" s="65">
        <v>0.03</v>
      </c>
      <c r="Z305" s="65">
        <v>0.03</v>
      </c>
      <c r="AA305" s="65">
        <v>0.03</v>
      </c>
      <c r="AB305" s="65">
        <v>0.02</v>
      </c>
      <c r="AC305" s="65">
        <v>0.02</v>
      </c>
      <c r="AD305" s="65">
        <v>0.03</v>
      </c>
      <c r="CW305" s="52">
        <f t="shared" ref="CW305:DJ305" si="289">ROUND($CW30*E305,0)</f>
        <v>0</v>
      </c>
      <c r="CX305" s="52">
        <f t="shared" si="289"/>
        <v>0</v>
      </c>
      <c r="CY305" s="52">
        <f t="shared" si="289"/>
        <v>0</v>
      </c>
      <c r="CZ305" s="52">
        <f t="shared" si="289"/>
        <v>0</v>
      </c>
      <c r="DA305" s="52">
        <f t="shared" si="289"/>
        <v>0</v>
      </c>
      <c r="DB305" s="52">
        <f t="shared" si="289"/>
        <v>1</v>
      </c>
      <c r="DC305" s="52">
        <f t="shared" si="289"/>
        <v>1</v>
      </c>
      <c r="DD305" s="52">
        <f t="shared" si="289"/>
        <v>1</v>
      </c>
      <c r="DE305" s="52">
        <f t="shared" si="289"/>
        <v>1</v>
      </c>
      <c r="DF305" s="52">
        <f t="shared" si="289"/>
        <v>1</v>
      </c>
      <c r="DG305" s="52">
        <f t="shared" si="289"/>
        <v>1</v>
      </c>
      <c r="DH305" s="52">
        <f t="shared" si="289"/>
        <v>1</v>
      </c>
      <c r="DI305" s="52">
        <f t="shared" si="289"/>
        <v>1</v>
      </c>
      <c r="DJ305" s="52">
        <f t="shared" si="289"/>
        <v>1</v>
      </c>
    </row>
    <row r="306" ht="15.75" customHeight="1">
      <c r="B306" s="52" t="s">
        <v>1792</v>
      </c>
      <c r="C306" s="52">
        <v>39.0</v>
      </c>
      <c r="D306" s="52" t="s">
        <v>1788</v>
      </c>
      <c r="E306" s="58"/>
      <c r="F306" s="58"/>
      <c r="G306" s="58"/>
      <c r="H306" s="58"/>
      <c r="I306" s="58"/>
      <c r="J306" s="58"/>
      <c r="K306" s="65">
        <v>0.08</v>
      </c>
      <c r="L306" s="65">
        <v>0.08</v>
      </c>
      <c r="M306" s="65">
        <v>0.07</v>
      </c>
      <c r="N306" s="65">
        <v>0.07</v>
      </c>
      <c r="O306" s="65">
        <v>0.06</v>
      </c>
      <c r="P306" s="65">
        <v>0.06</v>
      </c>
      <c r="Q306" s="65">
        <v>0.05</v>
      </c>
      <c r="R306" s="65">
        <v>0.05</v>
      </c>
      <c r="S306" s="65">
        <v>0.05</v>
      </c>
      <c r="T306" s="65">
        <v>0.04</v>
      </c>
      <c r="U306" s="65">
        <v>0.04</v>
      </c>
      <c r="V306" s="65">
        <v>0.04</v>
      </c>
      <c r="W306" s="65">
        <v>0.04</v>
      </c>
      <c r="X306" s="65">
        <v>0.03</v>
      </c>
      <c r="Y306" s="65">
        <v>0.03</v>
      </c>
      <c r="Z306" s="65">
        <v>0.03</v>
      </c>
      <c r="AA306" s="65">
        <v>0.03</v>
      </c>
      <c r="AB306" s="65">
        <v>0.03</v>
      </c>
      <c r="AC306" s="65">
        <v>0.02</v>
      </c>
      <c r="AD306" s="65">
        <v>0.02</v>
      </c>
      <c r="CW306" s="52">
        <f t="shared" ref="CW306:DJ306" si="290">ROUND($CW31*E306,0)</f>
        <v>0</v>
      </c>
      <c r="CX306" s="52">
        <f t="shared" si="290"/>
        <v>0</v>
      </c>
      <c r="CY306" s="52">
        <f t="shared" si="290"/>
        <v>0</v>
      </c>
      <c r="CZ306" s="52">
        <f t="shared" si="290"/>
        <v>0</v>
      </c>
      <c r="DA306" s="52">
        <f t="shared" si="290"/>
        <v>0</v>
      </c>
      <c r="DB306" s="52">
        <f t="shared" si="290"/>
        <v>0</v>
      </c>
      <c r="DC306" s="52">
        <f t="shared" si="290"/>
        <v>1</v>
      </c>
      <c r="DD306" s="52">
        <f t="shared" si="290"/>
        <v>1</v>
      </c>
      <c r="DE306" s="52">
        <f t="shared" si="290"/>
        <v>1</v>
      </c>
      <c r="DF306" s="52">
        <f t="shared" si="290"/>
        <v>1</v>
      </c>
      <c r="DG306" s="52">
        <f t="shared" si="290"/>
        <v>1</v>
      </c>
      <c r="DH306" s="52">
        <f t="shared" si="290"/>
        <v>1</v>
      </c>
      <c r="DI306" s="52">
        <f t="shared" si="290"/>
        <v>1</v>
      </c>
      <c r="DJ306" s="52">
        <f t="shared" si="290"/>
        <v>1</v>
      </c>
    </row>
    <row r="307" ht="15.75" customHeight="1">
      <c r="B307" s="52" t="s">
        <v>1792</v>
      </c>
      <c r="C307" s="52">
        <v>39.0</v>
      </c>
      <c r="D307" s="52" t="s">
        <v>1789</v>
      </c>
      <c r="E307" s="58"/>
      <c r="F307" s="58"/>
      <c r="G307" s="58"/>
      <c r="H307" s="58"/>
      <c r="I307" s="58"/>
      <c r="J307" s="58"/>
      <c r="K307" s="58"/>
      <c r="L307" s="65">
        <v>0.08</v>
      </c>
      <c r="M307" s="65">
        <v>0.08</v>
      </c>
      <c r="N307" s="65">
        <v>0.07</v>
      </c>
      <c r="O307" s="65">
        <v>0.07</v>
      </c>
      <c r="P307" s="65">
        <v>0.06</v>
      </c>
      <c r="Q307" s="65">
        <v>0.06</v>
      </c>
      <c r="R307" s="65">
        <v>0.05</v>
      </c>
      <c r="S307" s="65">
        <v>0.05</v>
      </c>
      <c r="T307" s="65">
        <v>0.05</v>
      </c>
      <c r="U307" s="65">
        <v>0.04</v>
      </c>
      <c r="V307" s="65">
        <v>0.04</v>
      </c>
      <c r="W307" s="65">
        <v>0.04</v>
      </c>
      <c r="X307" s="65">
        <v>0.04</v>
      </c>
      <c r="Y307" s="65">
        <v>0.03</v>
      </c>
      <c r="Z307" s="65">
        <v>0.03</v>
      </c>
      <c r="AA307" s="65">
        <v>0.03</v>
      </c>
      <c r="AB307" s="65">
        <v>0.03</v>
      </c>
      <c r="AC307" s="65">
        <v>0.03</v>
      </c>
      <c r="AD307" s="65">
        <v>0.02</v>
      </c>
      <c r="CW307" s="52">
        <f t="shared" ref="CW307:DJ307" si="291">ROUND($CW32*E307,0)</f>
        <v>0</v>
      </c>
      <c r="CX307" s="52">
        <f t="shared" si="291"/>
        <v>0</v>
      </c>
      <c r="CY307" s="52">
        <f t="shared" si="291"/>
        <v>0</v>
      </c>
      <c r="CZ307" s="52">
        <f t="shared" si="291"/>
        <v>0</v>
      </c>
      <c r="DA307" s="52">
        <f t="shared" si="291"/>
        <v>0</v>
      </c>
      <c r="DB307" s="52">
        <f t="shared" si="291"/>
        <v>0</v>
      </c>
      <c r="DC307" s="52">
        <f t="shared" si="291"/>
        <v>0</v>
      </c>
      <c r="DD307" s="52">
        <f t="shared" si="291"/>
        <v>2</v>
      </c>
      <c r="DE307" s="52">
        <f t="shared" si="291"/>
        <v>2</v>
      </c>
      <c r="DF307" s="52">
        <f t="shared" si="291"/>
        <v>2</v>
      </c>
      <c r="DG307" s="52">
        <f t="shared" si="291"/>
        <v>2</v>
      </c>
      <c r="DH307" s="52">
        <f t="shared" si="291"/>
        <v>1</v>
      </c>
      <c r="DI307" s="52">
        <f t="shared" si="291"/>
        <v>1</v>
      </c>
      <c r="DJ307" s="52">
        <f t="shared" si="291"/>
        <v>1</v>
      </c>
    </row>
    <row r="308" ht="15.75" customHeight="1">
      <c r="B308" s="52" t="s">
        <v>1792</v>
      </c>
      <c r="C308" s="52">
        <v>39.0</v>
      </c>
      <c r="D308" s="52" t="s">
        <v>1790</v>
      </c>
      <c r="E308" s="58"/>
      <c r="F308" s="58"/>
      <c r="G308" s="58"/>
      <c r="H308" s="58"/>
      <c r="I308" s="58"/>
      <c r="J308" s="58"/>
      <c r="K308" s="58"/>
      <c r="L308" s="58"/>
      <c r="M308" s="58"/>
      <c r="N308" s="65">
        <v>0.08</v>
      </c>
      <c r="O308" s="65">
        <v>0.08</v>
      </c>
      <c r="P308" s="65">
        <v>0.07</v>
      </c>
      <c r="Q308" s="65">
        <v>0.07</v>
      </c>
      <c r="R308" s="65">
        <v>0.06</v>
      </c>
      <c r="S308" s="65">
        <v>0.06</v>
      </c>
      <c r="T308" s="65">
        <v>0.05</v>
      </c>
      <c r="U308" s="65">
        <v>0.05</v>
      </c>
      <c r="V308" s="65">
        <v>0.05</v>
      </c>
      <c r="W308" s="65">
        <v>0.04</v>
      </c>
      <c r="X308" s="65">
        <v>0.04</v>
      </c>
      <c r="Y308" s="65">
        <v>0.04</v>
      </c>
      <c r="Z308" s="65">
        <v>0.04</v>
      </c>
      <c r="AA308" s="65">
        <v>0.03</v>
      </c>
      <c r="AB308" s="65">
        <v>0.03</v>
      </c>
      <c r="AC308" s="65">
        <v>0.03</v>
      </c>
      <c r="AD308" s="65">
        <v>0.03</v>
      </c>
      <c r="CW308" s="52">
        <f t="shared" ref="CW308:DJ308" si="292">ROUND($CW33*E308,0)</f>
        <v>0</v>
      </c>
      <c r="CX308" s="52">
        <f t="shared" si="292"/>
        <v>0</v>
      </c>
      <c r="CY308" s="52">
        <f t="shared" si="292"/>
        <v>0</v>
      </c>
      <c r="CZ308" s="52">
        <f t="shared" si="292"/>
        <v>0</v>
      </c>
      <c r="DA308" s="52">
        <f t="shared" si="292"/>
        <v>0</v>
      </c>
      <c r="DB308" s="52">
        <f t="shared" si="292"/>
        <v>0</v>
      </c>
      <c r="DC308" s="52">
        <f t="shared" si="292"/>
        <v>0</v>
      </c>
      <c r="DD308" s="52">
        <f t="shared" si="292"/>
        <v>0</v>
      </c>
      <c r="DE308" s="52">
        <f t="shared" si="292"/>
        <v>0</v>
      </c>
      <c r="DF308" s="52">
        <f t="shared" si="292"/>
        <v>3</v>
      </c>
      <c r="DG308" s="52">
        <f t="shared" si="292"/>
        <v>3</v>
      </c>
      <c r="DH308" s="52">
        <f t="shared" si="292"/>
        <v>2</v>
      </c>
      <c r="DI308" s="52">
        <f t="shared" si="292"/>
        <v>2</v>
      </c>
      <c r="DJ308" s="52">
        <f t="shared" si="292"/>
        <v>2</v>
      </c>
    </row>
    <row r="309" ht="15.75" customHeight="1">
      <c r="B309" s="52" t="s">
        <v>1792</v>
      </c>
      <c r="C309" s="52">
        <v>40.0</v>
      </c>
      <c r="D309" s="52">
        <v>0.0</v>
      </c>
      <c r="E309" s="65">
        <v>0.07</v>
      </c>
      <c r="F309" s="65">
        <v>0.07</v>
      </c>
      <c r="G309" s="65">
        <v>0.07</v>
      </c>
      <c r="H309" s="65">
        <v>0.07</v>
      </c>
      <c r="I309" s="65">
        <v>0.07</v>
      </c>
      <c r="J309" s="65">
        <v>0.07</v>
      </c>
      <c r="K309" s="65">
        <v>0.07</v>
      </c>
      <c r="L309" s="65">
        <v>0.07</v>
      </c>
      <c r="M309" s="65">
        <v>0.07</v>
      </c>
      <c r="N309" s="65">
        <v>0.03</v>
      </c>
      <c r="O309" s="65">
        <v>0.03</v>
      </c>
      <c r="P309" s="65">
        <v>0.03</v>
      </c>
      <c r="Q309" s="65">
        <v>0.03</v>
      </c>
      <c r="R309" s="65">
        <v>0.03</v>
      </c>
      <c r="S309" s="65">
        <v>0.03</v>
      </c>
      <c r="T309" s="65">
        <v>0.03</v>
      </c>
      <c r="U309" s="65">
        <v>0.02</v>
      </c>
      <c r="V309" s="65">
        <v>0.02</v>
      </c>
      <c r="W309" s="65">
        <v>0.02</v>
      </c>
      <c r="X309" s="65">
        <v>0.02</v>
      </c>
      <c r="Y309" s="65">
        <v>0.02</v>
      </c>
      <c r="Z309" s="65">
        <v>0.02</v>
      </c>
      <c r="AA309" s="65">
        <v>0.02</v>
      </c>
      <c r="AB309" s="65">
        <v>0.02</v>
      </c>
      <c r="AC309" s="58"/>
      <c r="AD309" s="58"/>
      <c r="CX309" s="52">
        <f t="shared" ref="CX309:DJ309" si="293">ROUND($CX27*E309,0)</f>
        <v>7</v>
      </c>
      <c r="CY309" s="52">
        <f t="shared" si="293"/>
        <v>7</v>
      </c>
      <c r="CZ309" s="52">
        <f t="shared" si="293"/>
        <v>7</v>
      </c>
      <c r="DA309" s="52">
        <f t="shared" si="293"/>
        <v>7</v>
      </c>
      <c r="DB309" s="52">
        <f t="shared" si="293"/>
        <v>7</v>
      </c>
      <c r="DC309" s="52">
        <f t="shared" si="293"/>
        <v>7</v>
      </c>
      <c r="DD309" s="52">
        <f t="shared" si="293"/>
        <v>7</v>
      </c>
      <c r="DE309" s="52">
        <f t="shared" si="293"/>
        <v>7</v>
      </c>
      <c r="DF309" s="52">
        <f t="shared" si="293"/>
        <v>7</v>
      </c>
      <c r="DG309" s="52">
        <f t="shared" si="293"/>
        <v>3</v>
      </c>
      <c r="DH309" s="52">
        <f t="shared" si="293"/>
        <v>3</v>
      </c>
      <c r="DI309" s="52">
        <f t="shared" si="293"/>
        <v>3</v>
      </c>
      <c r="DJ309" s="52">
        <f t="shared" si="293"/>
        <v>3</v>
      </c>
    </row>
    <row r="310" ht="15.75" customHeight="1">
      <c r="B310" s="52" t="s">
        <v>1792</v>
      </c>
      <c r="C310" s="52">
        <v>40.0</v>
      </c>
      <c r="D310" s="52" t="s">
        <v>1785</v>
      </c>
      <c r="E310" s="65">
        <v>0.02</v>
      </c>
      <c r="F310" s="65">
        <v>0.02</v>
      </c>
      <c r="G310" s="65">
        <v>0.02</v>
      </c>
      <c r="H310" s="65">
        <v>0.02</v>
      </c>
      <c r="I310" s="65">
        <v>0.08</v>
      </c>
      <c r="J310" s="65">
        <v>0.08</v>
      </c>
      <c r="K310" s="65">
        <v>0.07</v>
      </c>
      <c r="L310" s="65">
        <v>0.07</v>
      </c>
      <c r="M310" s="65">
        <v>0.06</v>
      </c>
      <c r="N310" s="65">
        <v>0.06</v>
      </c>
      <c r="O310" s="65">
        <v>0.05</v>
      </c>
      <c r="P310" s="65">
        <v>0.05</v>
      </c>
      <c r="Q310" s="65">
        <v>0.05</v>
      </c>
      <c r="R310" s="65">
        <v>0.04</v>
      </c>
      <c r="S310" s="65">
        <v>0.04</v>
      </c>
      <c r="T310" s="65">
        <v>0.04</v>
      </c>
      <c r="U310" s="65">
        <v>0.04</v>
      </c>
      <c r="V310" s="65">
        <v>0.03</v>
      </c>
      <c r="W310" s="65">
        <v>0.03</v>
      </c>
      <c r="X310" s="65">
        <v>0.03</v>
      </c>
      <c r="Y310" s="65">
        <v>0.03</v>
      </c>
      <c r="Z310" s="65">
        <v>0.03</v>
      </c>
      <c r="AA310" s="65">
        <v>0.02</v>
      </c>
      <c r="AB310" s="65">
        <v>0.02</v>
      </c>
      <c r="AC310" s="58"/>
      <c r="AD310" s="58"/>
      <c r="CX310" s="52">
        <f t="shared" ref="CX310:DJ310" si="294">ROUND($CX28*E310,0)</f>
        <v>0</v>
      </c>
      <c r="CY310" s="52">
        <f t="shared" si="294"/>
        <v>0</v>
      </c>
      <c r="CZ310" s="52">
        <f t="shared" si="294"/>
        <v>0</v>
      </c>
      <c r="DA310" s="52">
        <f t="shared" si="294"/>
        <v>0</v>
      </c>
      <c r="DB310" s="52">
        <f t="shared" si="294"/>
        <v>1</v>
      </c>
      <c r="DC310" s="52">
        <f t="shared" si="294"/>
        <v>1</v>
      </c>
      <c r="DD310" s="52">
        <f t="shared" si="294"/>
        <v>1</v>
      </c>
      <c r="DE310" s="52">
        <f t="shared" si="294"/>
        <v>1</v>
      </c>
      <c r="DF310" s="52">
        <f t="shared" si="294"/>
        <v>1</v>
      </c>
      <c r="DG310" s="52">
        <f t="shared" si="294"/>
        <v>1</v>
      </c>
      <c r="DH310" s="52">
        <f t="shared" si="294"/>
        <v>1</v>
      </c>
      <c r="DI310" s="52">
        <f t="shared" si="294"/>
        <v>1</v>
      </c>
      <c r="DJ310" s="52">
        <f t="shared" si="294"/>
        <v>1</v>
      </c>
    </row>
    <row r="311" ht="15.75" customHeight="1">
      <c r="B311" s="52" t="s">
        <v>1792</v>
      </c>
      <c r="C311" s="52">
        <v>40.0</v>
      </c>
      <c r="D311" s="52" t="s">
        <v>1786</v>
      </c>
      <c r="E311" s="58"/>
      <c r="F311" s="58"/>
      <c r="G311" s="58"/>
      <c r="H311" s="65">
        <v>0.08</v>
      </c>
      <c r="I311" s="65">
        <v>0.08</v>
      </c>
      <c r="J311" s="65">
        <v>0.07</v>
      </c>
      <c r="K311" s="65">
        <v>0.07</v>
      </c>
      <c r="L311" s="65">
        <v>0.06</v>
      </c>
      <c r="M311" s="65">
        <v>0.06</v>
      </c>
      <c r="N311" s="65">
        <v>0.05</v>
      </c>
      <c r="O311" s="65">
        <v>0.05</v>
      </c>
      <c r="P311" s="65">
        <v>0.05</v>
      </c>
      <c r="Q311" s="65">
        <v>0.04</v>
      </c>
      <c r="R311" s="65">
        <v>0.04</v>
      </c>
      <c r="S311" s="65">
        <v>0.04</v>
      </c>
      <c r="T311" s="65">
        <v>0.04</v>
      </c>
      <c r="U311" s="65">
        <v>0.03</v>
      </c>
      <c r="V311" s="65">
        <v>0.03</v>
      </c>
      <c r="W311" s="65">
        <v>0.03</v>
      </c>
      <c r="X311" s="65">
        <v>0.03</v>
      </c>
      <c r="Y311" s="65">
        <v>0.03</v>
      </c>
      <c r="Z311" s="65">
        <v>0.02</v>
      </c>
      <c r="AA311" s="65">
        <v>0.02</v>
      </c>
      <c r="AB311" s="65">
        <v>0.03</v>
      </c>
      <c r="AC311" s="65">
        <v>0.03</v>
      </c>
      <c r="AD311" s="65">
        <v>0.02</v>
      </c>
      <c r="CX311" s="52">
        <f t="shared" ref="CX311:DJ311" si="295">ROUND($CX29*E311,0)</f>
        <v>0</v>
      </c>
      <c r="CY311" s="52">
        <f t="shared" si="295"/>
        <v>0</v>
      </c>
      <c r="CZ311" s="52">
        <f t="shared" si="295"/>
        <v>0</v>
      </c>
      <c r="DA311" s="52">
        <f t="shared" si="295"/>
        <v>1</v>
      </c>
      <c r="DB311" s="52">
        <f t="shared" si="295"/>
        <v>1</v>
      </c>
      <c r="DC311" s="52">
        <f t="shared" si="295"/>
        <v>1</v>
      </c>
      <c r="DD311" s="52">
        <f t="shared" si="295"/>
        <v>1</v>
      </c>
      <c r="DE311" s="52">
        <f t="shared" si="295"/>
        <v>1</v>
      </c>
      <c r="DF311" s="52">
        <f t="shared" si="295"/>
        <v>1</v>
      </c>
      <c r="DG311" s="52">
        <f t="shared" si="295"/>
        <v>1</v>
      </c>
      <c r="DH311" s="52">
        <f t="shared" si="295"/>
        <v>1</v>
      </c>
      <c r="DI311" s="52">
        <f t="shared" si="295"/>
        <v>1</v>
      </c>
      <c r="DJ311" s="52">
        <f t="shared" si="295"/>
        <v>1</v>
      </c>
    </row>
    <row r="312" ht="15.75" customHeight="1">
      <c r="B312" s="52" t="s">
        <v>1792</v>
      </c>
      <c r="C312" s="52">
        <v>40.0</v>
      </c>
      <c r="D312" s="52" t="s">
        <v>1787</v>
      </c>
      <c r="E312" s="58"/>
      <c r="F312" s="58"/>
      <c r="G312" s="58"/>
      <c r="H312" s="58"/>
      <c r="I312" s="58"/>
      <c r="J312" s="65">
        <v>0.08</v>
      </c>
      <c r="K312" s="65">
        <v>0.08</v>
      </c>
      <c r="L312" s="65">
        <v>0.07</v>
      </c>
      <c r="M312" s="65">
        <v>0.07</v>
      </c>
      <c r="N312" s="65">
        <v>0.06</v>
      </c>
      <c r="O312" s="65">
        <v>0.06</v>
      </c>
      <c r="P312" s="65">
        <v>0.05</v>
      </c>
      <c r="Q312" s="65">
        <v>0.05</v>
      </c>
      <c r="R312" s="65">
        <v>0.05</v>
      </c>
      <c r="S312" s="65">
        <v>0.04</v>
      </c>
      <c r="T312" s="65">
        <v>0.04</v>
      </c>
      <c r="U312" s="65">
        <v>0.04</v>
      </c>
      <c r="V312" s="65">
        <v>0.04</v>
      </c>
      <c r="W312" s="65">
        <v>0.03</v>
      </c>
      <c r="X312" s="65">
        <v>0.03</v>
      </c>
      <c r="Y312" s="65">
        <v>0.03</v>
      </c>
      <c r="Z312" s="65">
        <v>0.03</v>
      </c>
      <c r="AA312" s="65">
        <v>0.03</v>
      </c>
      <c r="AB312" s="65">
        <v>0.02</v>
      </c>
      <c r="AC312" s="65">
        <v>0.02</v>
      </c>
      <c r="AD312" s="65">
        <v>0.03</v>
      </c>
      <c r="CX312" s="52">
        <f t="shared" ref="CX312:DJ312" si="296">ROUND($CX30*E312,0)</f>
        <v>0</v>
      </c>
      <c r="CY312" s="52">
        <f t="shared" si="296"/>
        <v>0</v>
      </c>
      <c r="CZ312" s="52">
        <f t="shared" si="296"/>
        <v>0</v>
      </c>
      <c r="DA312" s="52">
        <f t="shared" si="296"/>
        <v>0</v>
      </c>
      <c r="DB312" s="52">
        <f t="shared" si="296"/>
        <v>0</v>
      </c>
      <c r="DC312" s="52">
        <f t="shared" si="296"/>
        <v>0</v>
      </c>
      <c r="DD312" s="52">
        <f t="shared" si="296"/>
        <v>0</v>
      </c>
      <c r="DE312" s="52">
        <f t="shared" si="296"/>
        <v>0</v>
      </c>
      <c r="DF312" s="52">
        <f t="shared" si="296"/>
        <v>0</v>
      </c>
      <c r="DG312" s="52">
        <f t="shared" si="296"/>
        <v>0</v>
      </c>
      <c r="DH312" s="52">
        <f t="shared" si="296"/>
        <v>0</v>
      </c>
      <c r="DI312" s="52">
        <f t="shared" si="296"/>
        <v>0</v>
      </c>
      <c r="DJ312" s="52">
        <f t="shared" si="296"/>
        <v>0</v>
      </c>
    </row>
    <row r="313" ht="15.75" customHeight="1">
      <c r="B313" s="52" t="s">
        <v>1792</v>
      </c>
      <c r="C313" s="52">
        <v>40.0</v>
      </c>
      <c r="D313" s="52" t="s">
        <v>1788</v>
      </c>
      <c r="E313" s="58"/>
      <c r="F313" s="58"/>
      <c r="G313" s="58"/>
      <c r="H313" s="58"/>
      <c r="I313" s="58"/>
      <c r="J313" s="58"/>
      <c r="K313" s="65">
        <v>0.08</v>
      </c>
      <c r="L313" s="65">
        <v>0.08</v>
      </c>
      <c r="M313" s="65">
        <v>0.07</v>
      </c>
      <c r="N313" s="65">
        <v>0.07</v>
      </c>
      <c r="O313" s="65">
        <v>0.06</v>
      </c>
      <c r="P313" s="65">
        <v>0.06</v>
      </c>
      <c r="Q313" s="65">
        <v>0.05</v>
      </c>
      <c r="R313" s="65">
        <v>0.05</v>
      </c>
      <c r="S313" s="65">
        <v>0.05</v>
      </c>
      <c r="T313" s="65">
        <v>0.04</v>
      </c>
      <c r="U313" s="65">
        <v>0.04</v>
      </c>
      <c r="V313" s="65">
        <v>0.04</v>
      </c>
      <c r="W313" s="65">
        <v>0.04</v>
      </c>
      <c r="X313" s="65">
        <v>0.03</v>
      </c>
      <c r="Y313" s="65">
        <v>0.03</v>
      </c>
      <c r="Z313" s="65">
        <v>0.03</v>
      </c>
      <c r="AA313" s="65">
        <v>0.03</v>
      </c>
      <c r="AB313" s="65">
        <v>0.03</v>
      </c>
      <c r="AC313" s="65">
        <v>0.02</v>
      </c>
      <c r="AD313" s="65">
        <v>0.02</v>
      </c>
      <c r="CX313" s="52">
        <f t="shared" ref="CX313:DJ313" si="297">ROUND($CX31*E313,0)</f>
        <v>0</v>
      </c>
      <c r="CY313" s="52">
        <f t="shared" si="297"/>
        <v>0</v>
      </c>
      <c r="CZ313" s="52">
        <f t="shared" si="297"/>
        <v>0</v>
      </c>
      <c r="DA313" s="52">
        <f t="shared" si="297"/>
        <v>0</v>
      </c>
      <c r="DB313" s="52">
        <f t="shared" si="297"/>
        <v>0</v>
      </c>
      <c r="DC313" s="52">
        <f t="shared" si="297"/>
        <v>0</v>
      </c>
      <c r="DD313" s="52">
        <f t="shared" si="297"/>
        <v>0</v>
      </c>
      <c r="DE313" s="52">
        <f t="shared" si="297"/>
        <v>0</v>
      </c>
      <c r="DF313" s="52">
        <f t="shared" si="297"/>
        <v>0</v>
      </c>
      <c r="DG313" s="52">
        <f t="shared" si="297"/>
        <v>0</v>
      </c>
      <c r="DH313" s="52">
        <f t="shared" si="297"/>
        <v>0</v>
      </c>
      <c r="DI313" s="52">
        <f t="shared" si="297"/>
        <v>0</v>
      </c>
      <c r="DJ313" s="52">
        <f t="shared" si="297"/>
        <v>0</v>
      </c>
    </row>
    <row r="314" ht="15.75" customHeight="1">
      <c r="B314" s="52" t="s">
        <v>1792</v>
      </c>
      <c r="C314" s="52">
        <v>40.0</v>
      </c>
      <c r="D314" s="52" t="s">
        <v>1789</v>
      </c>
      <c r="E314" s="58"/>
      <c r="F314" s="58"/>
      <c r="G314" s="58"/>
      <c r="H314" s="58"/>
      <c r="I314" s="58"/>
      <c r="J314" s="58"/>
      <c r="K314" s="58"/>
      <c r="L314" s="65">
        <v>0.08</v>
      </c>
      <c r="M314" s="65">
        <v>0.08</v>
      </c>
      <c r="N314" s="65">
        <v>0.07</v>
      </c>
      <c r="O314" s="65">
        <v>0.07</v>
      </c>
      <c r="P314" s="65">
        <v>0.06</v>
      </c>
      <c r="Q314" s="65">
        <v>0.06</v>
      </c>
      <c r="R314" s="65">
        <v>0.05</v>
      </c>
      <c r="S314" s="65">
        <v>0.05</v>
      </c>
      <c r="T314" s="65">
        <v>0.05</v>
      </c>
      <c r="U314" s="65">
        <v>0.04</v>
      </c>
      <c r="V314" s="65">
        <v>0.04</v>
      </c>
      <c r="W314" s="65">
        <v>0.04</v>
      </c>
      <c r="X314" s="65">
        <v>0.04</v>
      </c>
      <c r="Y314" s="65">
        <v>0.03</v>
      </c>
      <c r="Z314" s="65">
        <v>0.03</v>
      </c>
      <c r="AA314" s="65">
        <v>0.03</v>
      </c>
      <c r="AB314" s="65">
        <v>0.03</v>
      </c>
      <c r="AC314" s="65">
        <v>0.03</v>
      </c>
      <c r="AD314" s="65">
        <v>0.02</v>
      </c>
      <c r="CX314" s="52">
        <f t="shared" ref="CX314:DJ314" si="298">ROUND($CX32*E314,0)</f>
        <v>0</v>
      </c>
      <c r="CY314" s="52">
        <f t="shared" si="298"/>
        <v>0</v>
      </c>
      <c r="CZ314" s="52">
        <f t="shared" si="298"/>
        <v>0</v>
      </c>
      <c r="DA314" s="52">
        <f t="shared" si="298"/>
        <v>0</v>
      </c>
      <c r="DB314" s="52">
        <f t="shared" si="298"/>
        <v>0</v>
      </c>
      <c r="DC314" s="52">
        <f t="shared" si="298"/>
        <v>0</v>
      </c>
      <c r="DD314" s="52">
        <f t="shared" si="298"/>
        <v>0</v>
      </c>
      <c r="DE314" s="52">
        <f t="shared" si="298"/>
        <v>0</v>
      </c>
      <c r="DF314" s="52">
        <f t="shared" si="298"/>
        <v>0</v>
      </c>
      <c r="DG314" s="52">
        <f t="shared" si="298"/>
        <v>0</v>
      </c>
      <c r="DH314" s="52">
        <f t="shared" si="298"/>
        <v>0</v>
      </c>
      <c r="DI314" s="52">
        <f t="shared" si="298"/>
        <v>0</v>
      </c>
      <c r="DJ314" s="52">
        <f t="shared" si="298"/>
        <v>0</v>
      </c>
    </row>
    <row r="315" ht="15.75" customHeight="1">
      <c r="B315" s="52" t="s">
        <v>1792</v>
      </c>
      <c r="C315" s="52">
        <v>40.0</v>
      </c>
      <c r="D315" s="52" t="s">
        <v>1790</v>
      </c>
      <c r="E315" s="58"/>
      <c r="F315" s="58"/>
      <c r="G315" s="58"/>
      <c r="H315" s="58"/>
      <c r="I315" s="58"/>
      <c r="J315" s="58"/>
      <c r="K315" s="58"/>
      <c r="L315" s="58"/>
      <c r="M315" s="58"/>
      <c r="N315" s="65">
        <v>0.08</v>
      </c>
      <c r="O315" s="65">
        <v>0.08</v>
      </c>
      <c r="P315" s="65">
        <v>0.07</v>
      </c>
      <c r="Q315" s="65">
        <v>0.07</v>
      </c>
      <c r="R315" s="65">
        <v>0.06</v>
      </c>
      <c r="S315" s="65">
        <v>0.06</v>
      </c>
      <c r="T315" s="65">
        <v>0.05</v>
      </c>
      <c r="U315" s="65">
        <v>0.05</v>
      </c>
      <c r="V315" s="65">
        <v>0.05</v>
      </c>
      <c r="W315" s="65">
        <v>0.04</v>
      </c>
      <c r="X315" s="65">
        <v>0.04</v>
      </c>
      <c r="Y315" s="65">
        <v>0.04</v>
      </c>
      <c r="Z315" s="65">
        <v>0.04</v>
      </c>
      <c r="AA315" s="65">
        <v>0.03</v>
      </c>
      <c r="AB315" s="65">
        <v>0.03</v>
      </c>
      <c r="AC315" s="65">
        <v>0.03</v>
      </c>
      <c r="AD315" s="65">
        <v>0.03</v>
      </c>
      <c r="CX315" s="52">
        <f t="shared" ref="CX315:DJ315" si="299">ROUND($CX33*E315,0)</f>
        <v>0</v>
      </c>
      <c r="CY315" s="52">
        <f t="shared" si="299"/>
        <v>0</v>
      </c>
      <c r="CZ315" s="52">
        <f t="shared" si="299"/>
        <v>0</v>
      </c>
      <c r="DA315" s="52">
        <f t="shared" si="299"/>
        <v>0</v>
      </c>
      <c r="DB315" s="52">
        <f t="shared" si="299"/>
        <v>0</v>
      </c>
      <c r="DC315" s="52">
        <f t="shared" si="299"/>
        <v>0</v>
      </c>
      <c r="DD315" s="52">
        <f t="shared" si="299"/>
        <v>0</v>
      </c>
      <c r="DE315" s="52">
        <f t="shared" si="299"/>
        <v>0</v>
      </c>
      <c r="DF315" s="52">
        <f t="shared" si="299"/>
        <v>0</v>
      </c>
      <c r="DG315" s="52">
        <f t="shared" si="299"/>
        <v>1</v>
      </c>
      <c r="DH315" s="52">
        <f t="shared" si="299"/>
        <v>1</v>
      </c>
      <c r="DI315" s="52">
        <f t="shared" si="299"/>
        <v>1</v>
      </c>
      <c r="DJ315" s="52">
        <f t="shared" si="299"/>
        <v>1</v>
      </c>
    </row>
    <row r="316" ht="15.75" customHeight="1">
      <c r="B316" s="52" t="s">
        <v>1792</v>
      </c>
      <c r="C316" s="52">
        <v>41.0</v>
      </c>
      <c r="D316" s="52">
        <v>0.0</v>
      </c>
      <c r="E316" s="65">
        <v>0.07</v>
      </c>
      <c r="F316" s="65">
        <v>0.07</v>
      </c>
      <c r="G316" s="65">
        <v>0.07</v>
      </c>
      <c r="H316" s="65">
        <v>0.07</v>
      </c>
      <c r="I316" s="65">
        <v>0.07</v>
      </c>
      <c r="J316" s="65">
        <v>0.07</v>
      </c>
      <c r="K316" s="65">
        <v>0.07</v>
      </c>
      <c r="L316" s="65">
        <v>0.07</v>
      </c>
      <c r="M316" s="65">
        <v>0.07</v>
      </c>
      <c r="N316" s="65">
        <v>0.03</v>
      </c>
      <c r="O316" s="65">
        <v>0.03</v>
      </c>
      <c r="P316" s="65">
        <v>0.03</v>
      </c>
      <c r="Q316" s="65">
        <v>0.03</v>
      </c>
      <c r="R316" s="65">
        <v>0.03</v>
      </c>
      <c r="S316" s="65">
        <v>0.03</v>
      </c>
      <c r="T316" s="65">
        <v>0.03</v>
      </c>
      <c r="U316" s="65">
        <v>0.02</v>
      </c>
      <c r="V316" s="65">
        <v>0.02</v>
      </c>
      <c r="W316" s="65">
        <v>0.02</v>
      </c>
      <c r="X316" s="65">
        <v>0.02</v>
      </c>
      <c r="Y316" s="65">
        <v>0.02</v>
      </c>
      <c r="Z316" s="65">
        <v>0.02</v>
      </c>
      <c r="AA316" s="65">
        <v>0.02</v>
      </c>
      <c r="AB316" s="65">
        <v>0.02</v>
      </c>
      <c r="AC316" s="58"/>
      <c r="AD316" s="58"/>
      <c r="CY316" s="52">
        <f t="shared" ref="CY316:DJ316" si="300">ROUND($CY27*E316,0)</f>
        <v>7</v>
      </c>
      <c r="CZ316" s="52">
        <f t="shared" si="300"/>
        <v>7</v>
      </c>
      <c r="DA316" s="52">
        <f t="shared" si="300"/>
        <v>7</v>
      </c>
      <c r="DB316" s="52">
        <f t="shared" si="300"/>
        <v>7</v>
      </c>
      <c r="DC316" s="52">
        <f t="shared" si="300"/>
        <v>7</v>
      </c>
      <c r="DD316" s="52">
        <f t="shared" si="300"/>
        <v>7</v>
      </c>
      <c r="DE316" s="52">
        <f t="shared" si="300"/>
        <v>7</v>
      </c>
      <c r="DF316" s="52">
        <f t="shared" si="300"/>
        <v>7</v>
      </c>
      <c r="DG316" s="52">
        <f t="shared" si="300"/>
        <v>7</v>
      </c>
      <c r="DH316" s="52">
        <f t="shared" si="300"/>
        <v>3</v>
      </c>
      <c r="DI316" s="52">
        <f t="shared" si="300"/>
        <v>3</v>
      </c>
      <c r="DJ316" s="52">
        <f t="shared" si="300"/>
        <v>3</v>
      </c>
    </row>
    <row r="317" ht="15.75" customHeight="1">
      <c r="B317" s="52" t="s">
        <v>1792</v>
      </c>
      <c r="C317" s="52">
        <v>41.0</v>
      </c>
      <c r="D317" s="52" t="s">
        <v>1785</v>
      </c>
      <c r="E317" s="65">
        <v>0.02</v>
      </c>
      <c r="F317" s="65">
        <v>0.02</v>
      </c>
      <c r="G317" s="65">
        <v>0.02</v>
      </c>
      <c r="H317" s="65">
        <v>0.02</v>
      </c>
      <c r="I317" s="65">
        <v>0.08</v>
      </c>
      <c r="J317" s="65">
        <v>0.08</v>
      </c>
      <c r="K317" s="65">
        <v>0.07</v>
      </c>
      <c r="L317" s="65">
        <v>0.07</v>
      </c>
      <c r="M317" s="65">
        <v>0.06</v>
      </c>
      <c r="N317" s="65">
        <v>0.06</v>
      </c>
      <c r="O317" s="65">
        <v>0.05</v>
      </c>
      <c r="P317" s="65">
        <v>0.05</v>
      </c>
      <c r="Q317" s="65">
        <v>0.05</v>
      </c>
      <c r="R317" s="65">
        <v>0.04</v>
      </c>
      <c r="S317" s="65">
        <v>0.04</v>
      </c>
      <c r="T317" s="65">
        <v>0.04</v>
      </c>
      <c r="U317" s="65">
        <v>0.04</v>
      </c>
      <c r="V317" s="65">
        <v>0.03</v>
      </c>
      <c r="W317" s="65">
        <v>0.03</v>
      </c>
      <c r="X317" s="65">
        <v>0.03</v>
      </c>
      <c r="Y317" s="65">
        <v>0.03</v>
      </c>
      <c r="Z317" s="65">
        <v>0.03</v>
      </c>
      <c r="AA317" s="65">
        <v>0.02</v>
      </c>
      <c r="AB317" s="65">
        <v>0.02</v>
      </c>
      <c r="AC317" s="58"/>
      <c r="AD317" s="58"/>
      <c r="CY317" s="52">
        <f t="shared" ref="CY317:DJ317" si="301">ROUND($CY28*E317,0)</f>
        <v>0</v>
      </c>
      <c r="CZ317" s="52">
        <f t="shared" si="301"/>
        <v>0</v>
      </c>
      <c r="DA317" s="52">
        <f t="shared" si="301"/>
        <v>0</v>
      </c>
      <c r="DB317" s="52">
        <f t="shared" si="301"/>
        <v>0</v>
      </c>
      <c r="DC317" s="52">
        <f t="shared" si="301"/>
        <v>1</v>
      </c>
      <c r="DD317" s="52">
        <f t="shared" si="301"/>
        <v>1</v>
      </c>
      <c r="DE317" s="52">
        <f t="shared" si="301"/>
        <v>1</v>
      </c>
      <c r="DF317" s="52">
        <f t="shared" si="301"/>
        <v>1</v>
      </c>
      <c r="DG317" s="52">
        <f t="shared" si="301"/>
        <v>1</v>
      </c>
      <c r="DH317" s="52">
        <f t="shared" si="301"/>
        <v>1</v>
      </c>
      <c r="DI317" s="52">
        <f t="shared" si="301"/>
        <v>1</v>
      </c>
      <c r="DJ317" s="52">
        <f t="shared" si="301"/>
        <v>1</v>
      </c>
    </row>
    <row r="318" ht="15.75" customHeight="1">
      <c r="B318" s="52" t="s">
        <v>1792</v>
      </c>
      <c r="C318" s="52">
        <v>41.0</v>
      </c>
      <c r="D318" s="52" t="s">
        <v>1786</v>
      </c>
      <c r="E318" s="58"/>
      <c r="F318" s="58"/>
      <c r="G318" s="58"/>
      <c r="H318" s="65">
        <v>0.08</v>
      </c>
      <c r="I318" s="65">
        <v>0.08</v>
      </c>
      <c r="J318" s="65">
        <v>0.07</v>
      </c>
      <c r="K318" s="65">
        <v>0.07</v>
      </c>
      <c r="L318" s="65">
        <v>0.06</v>
      </c>
      <c r="M318" s="65">
        <v>0.06</v>
      </c>
      <c r="N318" s="65">
        <v>0.05</v>
      </c>
      <c r="O318" s="65">
        <v>0.05</v>
      </c>
      <c r="P318" s="65">
        <v>0.05</v>
      </c>
      <c r="Q318" s="65">
        <v>0.04</v>
      </c>
      <c r="R318" s="65">
        <v>0.04</v>
      </c>
      <c r="S318" s="65">
        <v>0.04</v>
      </c>
      <c r="T318" s="65">
        <v>0.04</v>
      </c>
      <c r="U318" s="65">
        <v>0.03</v>
      </c>
      <c r="V318" s="65">
        <v>0.03</v>
      </c>
      <c r="W318" s="65">
        <v>0.03</v>
      </c>
      <c r="X318" s="65">
        <v>0.03</v>
      </c>
      <c r="Y318" s="65">
        <v>0.03</v>
      </c>
      <c r="Z318" s="65">
        <v>0.02</v>
      </c>
      <c r="AA318" s="65">
        <v>0.02</v>
      </c>
      <c r="AB318" s="65">
        <v>0.03</v>
      </c>
      <c r="AC318" s="65">
        <v>0.03</v>
      </c>
      <c r="AD318" s="65">
        <v>0.02</v>
      </c>
      <c r="CY318" s="52">
        <f t="shared" ref="CY318:DJ318" si="302">ROUND($CY29*E318,0)</f>
        <v>0</v>
      </c>
      <c r="CZ318" s="52">
        <f t="shared" si="302"/>
        <v>0</v>
      </c>
      <c r="DA318" s="52">
        <f t="shared" si="302"/>
        <v>0</v>
      </c>
      <c r="DB318" s="52">
        <f t="shared" si="302"/>
        <v>1</v>
      </c>
      <c r="DC318" s="52">
        <f t="shared" si="302"/>
        <v>1</v>
      </c>
      <c r="DD318" s="52">
        <f t="shared" si="302"/>
        <v>1</v>
      </c>
      <c r="DE318" s="52">
        <f t="shared" si="302"/>
        <v>1</v>
      </c>
      <c r="DF318" s="52">
        <f t="shared" si="302"/>
        <v>1</v>
      </c>
      <c r="DG318" s="52">
        <f t="shared" si="302"/>
        <v>1</v>
      </c>
      <c r="DH318" s="52">
        <f t="shared" si="302"/>
        <v>1</v>
      </c>
      <c r="DI318" s="52">
        <f t="shared" si="302"/>
        <v>1</v>
      </c>
      <c r="DJ318" s="52">
        <f t="shared" si="302"/>
        <v>1</v>
      </c>
    </row>
    <row r="319" ht="15.75" customHeight="1">
      <c r="B319" s="52" t="s">
        <v>1792</v>
      </c>
      <c r="C319" s="52">
        <v>41.0</v>
      </c>
      <c r="D319" s="52" t="s">
        <v>1787</v>
      </c>
      <c r="E319" s="58"/>
      <c r="F319" s="58"/>
      <c r="G319" s="58"/>
      <c r="H319" s="58"/>
      <c r="I319" s="58"/>
      <c r="J319" s="65">
        <v>0.08</v>
      </c>
      <c r="K319" s="65">
        <v>0.08</v>
      </c>
      <c r="L319" s="65">
        <v>0.07</v>
      </c>
      <c r="M319" s="65">
        <v>0.07</v>
      </c>
      <c r="N319" s="65">
        <v>0.06</v>
      </c>
      <c r="O319" s="65">
        <v>0.06</v>
      </c>
      <c r="P319" s="65">
        <v>0.05</v>
      </c>
      <c r="Q319" s="65">
        <v>0.05</v>
      </c>
      <c r="R319" s="65">
        <v>0.05</v>
      </c>
      <c r="S319" s="65">
        <v>0.04</v>
      </c>
      <c r="T319" s="65">
        <v>0.04</v>
      </c>
      <c r="U319" s="65">
        <v>0.04</v>
      </c>
      <c r="V319" s="65">
        <v>0.04</v>
      </c>
      <c r="W319" s="65">
        <v>0.03</v>
      </c>
      <c r="X319" s="65">
        <v>0.03</v>
      </c>
      <c r="Y319" s="65">
        <v>0.03</v>
      </c>
      <c r="Z319" s="65">
        <v>0.03</v>
      </c>
      <c r="AA319" s="65">
        <v>0.03</v>
      </c>
      <c r="AB319" s="65">
        <v>0.02</v>
      </c>
      <c r="AC319" s="65">
        <v>0.02</v>
      </c>
      <c r="AD319" s="65">
        <v>0.03</v>
      </c>
      <c r="CY319" s="52">
        <f t="shared" ref="CY319:DJ319" si="303">ROUND($CY30*E319,0)</f>
        <v>0</v>
      </c>
      <c r="CZ319" s="52">
        <f t="shared" si="303"/>
        <v>0</v>
      </c>
      <c r="DA319" s="52">
        <f t="shared" si="303"/>
        <v>0</v>
      </c>
      <c r="DB319" s="52">
        <f t="shared" si="303"/>
        <v>0</v>
      </c>
      <c r="DC319" s="52">
        <f t="shared" si="303"/>
        <v>0</v>
      </c>
      <c r="DD319" s="52">
        <f t="shared" si="303"/>
        <v>0</v>
      </c>
      <c r="DE319" s="52">
        <f t="shared" si="303"/>
        <v>0</v>
      </c>
      <c r="DF319" s="52">
        <f t="shared" si="303"/>
        <v>0</v>
      </c>
      <c r="DG319" s="52">
        <f t="shared" si="303"/>
        <v>0</v>
      </c>
      <c r="DH319" s="52">
        <f t="shared" si="303"/>
        <v>0</v>
      </c>
      <c r="DI319" s="52">
        <f t="shared" si="303"/>
        <v>0</v>
      </c>
      <c r="DJ319" s="52">
        <f t="shared" si="303"/>
        <v>0</v>
      </c>
    </row>
    <row r="320" ht="15.75" customHeight="1">
      <c r="B320" s="52" t="s">
        <v>1792</v>
      </c>
      <c r="C320" s="52">
        <v>41.0</v>
      </c>
      <c r="D320" s="52" t="s">
        <v>1788</v>
      </c>
      <c r="E320" s="58"/>
      <c r="F320" s="58"/>
      <c r="G320" s="58"/>
      <c r="H320" s="58"/>
      <c r="I320" s="58"/>
      <c r="J320" s="58"/>
      <c r="K320" s="65">
        <v>0.08</v>
      </c>
      <c r="L320" s="65">
        <v>0.08</v>
      </c>
      <c r="M320" s="65">
        <v>0.07</v>
      </c>
      <c r="N320" s="65">
        <v>0.07</v>
      </c>
      <c r="O320" s="65">
        <v>0.06</v>
      </c>
      <c r="P320" s="65">
        <v>0.06</v>
      </c>
      <c r="Q320" s="65">
        <v>0.05</v>
      </c>
      <c r="R320" s="65">
        <v>0.05</v>
      </c>
      <c r="S320" s="65">
        <v>0.05</v>
      </c>
      <c r="T320" s="65">
        <v>0.04</v>
      </c>
      <c r="U320" s="65">
        <v>0.04</v>
      </c>
      <c r="V320" s="65">
        <v>0.04</v>
      </c>
      <c r="W320" s="65">
        <v>0.04</v>
      </c>
      <c r="X320" s="65">
        <v>0.03</v>
      </c>
      <c r="Y320" s="65">
        <v>0.03</v>
      </c>
      <c r="Z320" s="65">
        <v>0.03</v>
      </c>
      <c r="AA320" s="65">
        <v>0.03</v>
      </c>
      <c r="AB320" s="65">
        <v>0.03</v>
      </c>
      <c r="AC320" s="65">
        <v>0.02</v>
      </c>
      <c r="AD320" s="65">
        <v>0.02</v>
      </c>
      <c r="CY320" s="52">
        <f t="shared" ref="CY320:DJ320" si="304">ROUND($CY31*E320,0)</f>
        <v>0</v>
      </c>
      <c r="CZ320" s="52">
        <f t="shared" si="304"/>
        <v>0</v>
      </c>
      <c r="DA320" s="52">
        <f t="shared" si="304"/>
        <v>0</v>
      </c>
      <c r="DB320" s="52">
        <f t="shared" si="304"/>
        <v>0</v>
      </c>
      <c r="DC320" s="52">
        <f t="shared" si="304"/>
        <v>0</v>
      </c>
      <c r="DD320" s="52">
        <f t="shared" si="304"/>
        <v>0</v>
      </c>
      <c r="DE320" s="52">
        <f t="shared" si="304"/>
        <v>0</v>
      </c>
      <c r="DF320" s="52">
        <f t="shared" si="304"/>
        <v>0</v>
      </c>
      <c r="DG320" s="52">
        <f t="shared" si="304"/>
        <v>0</v>
      </c>
      <c r="DH320" s="52">
        <f t="shared" si="304"/>
        <v>0</v>
      </c>
      <c r="DI320" s="52">
        <f t="shared" si="304"/>
        <v>0</v>
      </c>
      <c r="DJ320" s="52">
        <f t="shared" si="304"/>
        <v>0</v>
      </c>
    </row>
    <row r="321" ht="15.75" customHeight="1">
      <c r="B321" s="52" t="s">
        <v>1792</v>
      </c>
      <c r="C321" s="52">
        <v>41.0</v>
      </c>
      <c r="D321" s="52" t="s">
        <v>1789</v>
      </c>
      <c r="E321" s="58"/>
      <c r="F321" s="58"/>
      <c r="G321" s="58"/>
      <c r="H321" s="58"/>
      <c r="I321" s="58"/>
      <c r="J321" s="58"/>
      <c r="K321" s="58"/>
      <c r="L321" s="65">
        <v>0.08</v>
      </c>
      <c r="M321" s="65">
        <v>0.08</v>
      </c>
      <c r="N321" s="65">
        <v>0.07</v>
      </c>
      <c r="O321" s="65">
        <v>0.07</v>
      </c>
      <c r="P321" s="65">
        <v>0.06</v>
      </c>
      <c r="Q321" s="65">
        <v>0.06</v>
      </c>
      <c r="R321" s="65">
        <v>0.05</v>
      </c>
      <c r="S321" s="65">
        <v>0.05</v>
      </c>
      <c r="T321" s="65">
        <v>0.05</v>
      </c>
      <c r="U321" s="65">
        <v>0.04</v>
      </c>
      <c r="V321" s="65">
        <v>0.04</v>
      </c>
      <c r="W321" s="65">
        <v>0.04</v>
      </c>
      <c r="X321" s="65">
        <v>0.04</v>
      </c>
      <c r="Y321" s="65">
        <v>0.03</v>
      </c>
      <c r="Z321" s="65">
        <v>0.03</v>
      </c>
      <c r="AA321" s="65">
        <v>0.03</v>
      </c>
      <c r="AB321" s="65">
        <v>0.03</v>
      </c>
      <c r="AC321" s="65">
        <v>0.03</v>
      </c>
      <c r="AD321" s="65">
        <v>0.02</v>
      </c>
      <c r="CY321" s="52">
        <f t="shared" ref="CY321:DJ321" si="305">ROUND($CY32*E321,0)</f>
        <v>0</v>
      </c>
      <c r="CZ321" s="52">
        <f t="shared" si="305"/>
        <v>0</v>
      </c>
      <c r="DA321" s="52">
        <f t="shared" si="305"/>
        <v>0</v>
      </c>
      <c r="DB321" s="52">
        <f t="shared" si="305"/>
        <v>0</v>
      </c>
      <c r="DC321" s="52">
        <f t="shared" si="305"/>
        <v>0</v>
      </c>
      <c r="DD321" s="52">
        <f t="shared" si="305"/>
        <v>0</v>
      </c>
      <c r="DE321" s="52">
        <f t="shared" si="305"/>
        <v>0</v>
      </c>
      <c r="DF321" s="52">
        <f t="shared" si="305"/>
        <v>0</v>
      </c>
      <c r="DG321" s="52">
        <f t="shared" si="305"/>
        <v>0</v>
      </c>
      <c r="DH321" s="52">
        <f t="shared" si="305"/>
        <v>0</v>
      </c>
      <c r="DI321" s="52">
        <f t="shared" si="305"/>
        <v>0</v>
      </c>
      <c r="DJ321" s="52">
        <f t="shared" si="305"/>
        <v>0</v>
      </c>
    </row>
    <row r="322" ht="15.75" customHeight="1">
      <c r="B322" s="52" t="s">
        <v>1792</v>
      </c>
      <c r="C322" s="52">
        <v>41.0</v>
      </c>
      <c r="D322" s="52" t="s">
        <v>1790</v>
      </c>
      <c r="E322" s="58"/>
      <c r="F322" s="58"/>
      <c r="G322" s="58"/>
      <c r="H322" s="58"/>
      <c r="I322" s="58"/>
      <c r="J322" s="58"/>
      <c r="K322" s="58"/>
      <c r="L322" s="58"/>
      <c r="M322" s="58"/>
      <c r="N322" s="65">
        <v>0.08</v>
      </c>
      <c r="O322" s="65">
        <v>0.08</v>
      </c>
      <c r="P322" s="65">
        <v>0.07</v>
      </c>
      <c r="Q322" s="65">
        <v>0.07</v>
      </c>
      <c r="R322" s="65">
        <v>0.06</v>
      </c>
      <c r="S322" s="65">
        <v>0.06</v>
      </c>
      <c r="T322" s="65">
        <v>0.05</v>
      </c>
      <c r="U322" s="65">
        <v>0.05</v>
      </c>
      <c r="V322" s="65">
        <v>0.05</v>
      </c>
      <c r="W322" s="65">
        <v>0.04</v>
      </c>
      <c r="X322" s="65">
        <v>0.04</v>
      </c>
      <c r="Y322" s="65">
        <v>0.04</v>
      </c>
      <c r="Z322" s="65">
        <v>0.04</v>
      </c>
      <c r="AA322" s="65">
        <v>0.03</v>
      </c>
      <c r="AB322" s="65">
        <v>0.03</v>
      </c>
      <c r="AC322" s="65">
        <v>0.03</v>
      </c>
      <c r="AD322" s="65">
        <v>0.03</v>
      </c>
      <c r="CY322" s="52">
        <f t="shared" ref="CY322:DJ322" si="306">ROUND($CY33*E322,0)</f>
        <v>0</v>
      </c>
      <c r="CZ322" s="52">
        <f t="shared" si="306"/>
        <v>0</v>
      </c>
      <c r="DA322" s="52">
        <f t="shared" si="306"/>
        <v>0</v>
      </c>
      <c r="DB322" s="52">
        <f t="shared" si="306"/>
        <v>0</v>
      </c>
      <c r="DC322" s="52">
        <f t="shared" si="306"/>
        <v>0</v>
      </c>
      <c r="DD322" s="52">
        <f t="shared" si="306"/>
        <v>0</v>
      </c>
      <c r="DE322" s="52">
        <f t="shared" si="306"/>
        <v>0</v>
      </c>
      <c r="DF322" s="52">
        <f t="shared" si="306"/>
        <v>0</v>
      </c>
      <c r="DG322" s="52">
        <f t="shared" si="306"/>
        <v>0</v>
      </c>
      <c r="DH322" s="52">
        <f t="shared" si="306"/>
        <v>1</v>
      </c>
      <c r="DI322" s="52">
        <f t="shared" si="306"/>
        <v>1</v>
      </c>
      <c r="DJ322" s="52">
        <f t="shared" si="306"/>
        <v>1</v>
      </c>
    </row>
    <row r="323" ht="15.75" customHeight="1">
      <c r="B323" s="52" t="s">
        <v>1792</v>
      </c>
      <c r="C323" s="52">
        <v>42.0</v>
      </c>
      <c r="D323" s="52">
        <v>0.0</v>
      </c>
      <c r="E323" s="65">
        <v>0.08</v>
      </c>
      <c r="F323" s="65">
        <v>0.08</v>
      </c>
      <c r="G323" s="65">
        <v>0.07</v>
      </c>
      <c r="H323" s="65">
        <v>0.07</v>
      </c>
      <c r="I323" s="65">
        <v>0.06</v>
      </c>
      <c r="J323" s="65">
        <v>0.06</v>
      </c>
      <c r="K323" s="65">
        <v>0.05</v>
      </c>
      <c r="L323" s="65">
        <v>0.05</v>
      </c>
      <c r="M323" s="65">
        <v>0.05</v>
      </c>
      <c r="N323" s="65">
        <v>0.04</v>
      </c>
      <c r="O323" s="65">
        <v>0.04</v>
      </c>
      <c r="P323" s="65">
        <v>0.04</v>
      </c>
      <c r="Q323" s="65">
        <v>0.04</v>
      </c>
      <c r="R323" s="65">
        <v>0.03</v>
      </c>
      <c r="S323" s="65">
        <v>0.03</v>
      </c>
      <c r="T323" s="65">
        <v>0.03</v>
      </c>
      <c r="U323" s="65">
        <v>0.03</v>
      </c>
      <c r="V323" s="65">
        <v>0.03</v>
      </c>
      <c r="W323" s="65">
        <v>0.02</v>
      </c>
      <c r="X323" s="65">
        <v>0.02</v>
      </c>
      <c r="Y323" s="65">
        <v>0.02</v>
      </c>
      <c r="Z323" s="65">
        <v>0.02</v>
      </c>
      <c r="AA323" s="65">
        <v>0.02</v>
      </c>
      <c r="AB323" s="65">
        <v>0.02</v>
      </c>
      <c r="AC323" s="58"/>
      <c r="AD323" s="58"/>
      <c r="CZ323" s="52">
        <f t="shared" ref="CZ323:DJ323" si="307">ROUND($CZ27*E323,0)</f>
        <v>31</v>
      </c>
      <c r="DA323" s="52">
        <f t="shared" si="307"/>
        <v>31</v>
      </c>
      <c r="DB323" s="52">
        <f t="shared" si="307"/>
        <v>27</v>
      </c>
      <c r="DC323" s="52">
        <f t="shared" si="307"/>
        <v>27</v>
      </c>
      <c r="DD323" s="52">
        <f t="shared" si="307"/>
        <v>24</v>
      </c>
      <c r="DE323" s="52">
        <f t="shared" si="307"/>
        <v>24</v>
      </c>
      <c r="DF323" s="52">
        <f t="shared" si="307"/>
        <v>20</v>
      </c>
      <c r="DG323" s="52">
        <f t="shared" si="307"/>
        <v>20</v>
      </c>
      <c r="DH323" s="52">
        <f t="shared" si="307"/>
        <v>20</v>
      </c>
      <c r="DI323" s="52">
        <f t="shared" si="307"/>
        <v>16</v>
      </c>
      <c r="DJ323" s="52">
        <f t="shared" si="307"/>
        <v>16</v>
      </c>
    </row>
    <row r="324" ht="15.75" customHeight="1">
      <c r="B324" s="52" t="s">
        <v>1792</v>
      </c>
      <c r="C324" s="52">
        <v>42.0</v>
      </c>
      <c r="D324" s="52" t="s">
        <v>1785</v>
      </c>
      <c r="E324" s="65">
        <v>0.02</v>
      </c>
      <c r="F324" s="65">
        <v>0.02</v>
      </c>
      <c r="G324" s="65">
        <v>0.02</v>
      </c>
      <c r="H324" s="65">
        <v>0.02</v>
      </c>
      <c r="I324" s="65">
        <v>0.08</v>
      </c>
      <c r="J324" s="65">
        <v>0.08</v>
      </c>
      <c r="K324" s="65">
        <v>0.07</v>
      </c>
      <c r="L324" s="65">
        <v>0.07</v>
      </c>
      <c r="M324" s="65">
        <v>0.06</v>
      </c>
      <c r="N324" s="65">
        <v>0.06</v>
      </c>
      <c r="O324" s="65">
        <v>0.05</v>
      </c>
      <c r="P324" s="65">
        <v>0.05</v>
      </c>
      <c r="Q324" s="65">
        <v>0.05</v>
      </c>
      <c r="R324" s="65">
        <v>0.04</v>
      </c>
      <c r="S324" s="65">
        <v>0.04</v>
      </c>
      <c r="T324" s="65">
        <v>0.04</v>
      </c>
      <c r="U324" s="65">
        <v>0.04</v>
      </c>
      <c r="V324" s="65">
        <v>0.03</v>
      </c>
      <c r="W324" s="65">
        <v>0.03</v>
      </c>
      <c r="X324" s="65">
        <v>0.03</v>
      </c>
      <c r="Y324" s="65">
        <v>0.03</v>
      </c>
      <c r="Z324" s="65">
        <v>0.03</v>
      </c>
      <c r="AA324" s="65">
        <v>0.02</v>
      </c>
      <c r="AB324" s="65">
        <v>0.02</v>
      </c>
      <c r="AC324" s="58"/>
      <c r="AD324" s="58"/>
      <c r="CZ324" s="52">
        <f t="shared" ref="CZ324:DJ324" si="308">ROUND($CZ28*E324,0)</f>
        <v>1</v>
      </c>
      <c r="DA324" s="52">
        <f t="shared" si="308"/>
        <v>1</v>
      </c>
      <c r="DB324" s="52">
        <f t="shared" si="308"/>
        <v>1</v>
      </c>
      <c r="DC324" s="52">
        <f t="shared" si="308"/>
        <v>1</v>
      </c>
      <c r="DD324" s="52">
        <f t="shared" si="308"/>
        <v>3</v>
      </c>
      <c r="DE324" s="52">
        <f t="shared" si="308"/>
        <v>3</v>
      </c>
      <c r="DF324" s="52">
        <f t="shared" si="308"/>
        <v>3</v>
      </c>
      <c r="DG324" s="52">
        <f t="shared" si="308"/>
        <v>3</v>
      </c>
      <c r="DH324" s="52">
        <f t="shared" si="308"/>
        <v>2</v>
      </c>
      <c r="DI324" s="52">
        <f t="shared" si="308"/>
        <v>2</v>
      </c>
      <c r="DJ324" s="52">
        <f t="shared" si="308"/>
        <v>2</v>
      </c>
    </row>
    <row r="325" ht="15.75" customHeight="1">
      <c r="B325" s="52" t="s">
        <v>1792</v>
      </c>
      <c r="C325" s="52">
        <v>42.0</v>
      </c>
      <c r="D325" s="52" t="s">
        <v>1786</v>
      </c>
      <c r="E325" s="58"/>
      <c r="F325" s="58"/>
      <c r="G325" s="58"/>
      <c r="H325" s="65">
        <v>0.08</v>
      </c>
      <c r="I325" s="65">
        <v>0.08</v>
      </c>
      <c r="J325" s="65">
        <v>0.07</v>
      </c>
      <c r="K325" s="65">
        <v>0.07</v>
      </c>
      <c r="L325" s="65">
        <v>0.06</v>
      </c>
      <c r="M325" s="65">
        <v>0.06</v>
      </c>
      <c r="N325" s="65">
        <v>0.05</v>
      </c>
      <c r="O325" s="65">
        <v>0.05</v>
      </c>
      <c r="P325" s="65">
        <v>0.05</v>
      </c>
      <c r="Q325" s="65">
        <v>0.04</v>
      </c>
      <c r="R325" s="65">
        <v>0.04</v>
      </c>
      <c r="S325" s="65">
        <v>0.04</v>
      </c>
      <c r="T325" s="65">
        <v>0.04</v>
      </c>
      <c r="U325" s="65">
        <v>0.03</v>
      </c>
      <c r="V325" s="65">
        <v>0.03</v>
      </c>
      <c r="W325" s="65">
        <v>0.03</v>
      </c>
      <c r="X325" s="65">
        <v>0.03</v>
      </c>
      <c r="Y325" s="65">
        <v>0.03</v>
      </c>
      <c r="Z325" s="65">
        <v>0.02</v>
      </c>
      <c r="AA325" s="65">
        <v>0.02</v>
      </c>
      <c r="AB325" s="65">
        <v>0.03</v>
      </c>
      <c r="AC325" s="65">
        <v>0.03</v>
      </c>
      <c r="AD325" s="65">
        <v>0.02</v>
      </c>
      <c r="CZ325" s="52">
        <f t="shared" ref="CZ325:DJ325" si="309">ROUND($CZ29*E325,0)</f>
        <v>0</v>
      </c>
      <c r="DA325" s="52">
        <f t="shared" si="309"/>
        <v>0</v>
      </c>
      <c r="DB325" s="52">
        <f t="shared" si="309"/>
        <v>0</v>
      </c>
      <c r="DC325" s="52">
        <f t="shared" si="309"/>
        <v>6</v>
      </c>
      <c r="DD325" s="52">
        <f t="shared" si="309"/>
        <v>6</v>
      </c>
      <c r="DE325" s="52">
        <f t="shared" si="309"/>
        <v>5</v>
      </c>
      <c r="DF325" s="52">
        <f t="shared" si="309"/>
        <v>5</v>
      </c>
      <c r="DG325" s="52">
        <f t="shared" si="309"/>
        <v>4</v>
      </c>
      <c r="DH325" s="52">
        <f t="shared" si="309"/>
        <v>4</v>
      </c>
      <c r="DI325" s="52">
        <f t="shared" si="309"/>
        <v>4</v>
      </c>
      <c r="DJ325" s="52">
        <f t="shared" si="309"/>
        <v>4</v>
      </c>
    </row>
    <row r="326" ht="15.75" customHeight="1">
      <c r="B326" s="52" t="s">
        <v>1792</v>
      </c>
      <c r="C326" s="52">
        <v>42.0</v>
      </c>
      <c r="D326" s="52" t="s">
        <v>1787</v>
      </c>
      <c r="E326" s="58"/>
      <c r="F326" s="58"/>
      <c r="G326" s="58"/>
      <c r="H326" s="58"/>
      <c r="I326" s="58"/>
      <c r="J326" s="65">
        <v>0.08</v>
      </c>
      <c r="K326" s="65">
        <v>0.08</v>
      </c>
      <c r="L326" s="65">
        <v>0.07</v>
      </c>
      <c r="M326" s="65">
        <v>0.07</v>
      </c>
      <c r="N326" s="65">
        <v>0.06</v>
      </c>
      <c r="O326" s="65">
        <v>0.06</v>
      </c>
      <c r="P326" s="65">
        <v>0.05</v>
      </c>
      <c r="Q326" s="65">
        <v>0.05</v>
      </c>
      <c r="R326" s="65">
        <v>0.05</v>
      </c>
      <c r="S326" s="65">
        <v>0.04</v>
      </c>
      <c r="T326" s="65">
        <v>0.04</v>
      </c>
      <c r="U326" s="65">
        <v>0.04</v>
      </c>
      <c r="V326" s="65">
        <v>0.04</v>
      </c>
      <c r="W326" s="65">
        <v>0.03</v>
      </c>
      <c r="X326" s="65">
        <v>0.03</v>
      </c>
      <c r="Y326" s="65">
        <v>0.03</v>
      </c>
      <c r="Z326" s="65">
        <v>0.03</v>
      </c>
      <c r="AA326" s="65">
        <v>0.03</v>
      </c>
      <c r="AB326" s="65">
        <v>0.02</v>
      </c>
      <c r="AC326" s="65">
        <v>0.02</v>
      </c>
      <c r="AD326" s="65">
        <v>0.03</v>
      </c>
      <c r="CZ326" s="52">
        <f t="shared" ref="CZ326:DJ326" si="310">ROUND($CZ30*E326,0)</f>
        <v>0</v>
      </c>
      <c r="DA326" s="52">
        <f t="shared" si="310"/>
        <v>0</v>
      </c>
      <c r="DB326" s="52">
        <f t="shared" si="310"/>
        <v>0</v>
      </c>
      <c r="DC326" s="52">
        <f t="shared" si="310"/>
        <v>0</v>
      </c>
      <c r="DD326" s="52">
        <f t="shared" si="310"/>
        <v>0</v>
      </c>
      <c r="DE326" s="52">
        <f t="shared" si="310"/>
        <v>1</v>
      </c>
      <c r="DF326" s="52">
        <f t="shared" si="310"/>
        <v>1</v>
      </c>
      <c r="DG326" s="52">
        <f t="shared" si="310"/>
        <v>1</v>
      </c>
      <c r="DH326" s="52">
        <f t="shared" si="310"/>
        <v>1</v>
      </c>
      <c r="DI326" s="52">
        <f t="shared" si="310"/>
        <v>1</v>
      </c>
      <c r="DJ326" s="52">
        <f t="shared" si="310"/>
        <v>1</v>
      </c>
    </row>
    <row r="327" ht="15.75" customHeight="1">
      <c r="B327" s="52" t="s">
        <v>1792</v>
      </c>
      <c r="C327" s="52">
        <v>42.0</v>
      </c>
      <c r="D327" s="52" t="s">
        <v>1788</v>
      </c>
      <c r="E327" s="58"/>
      <c r="F327" s="58"/>
      <c r="G327" s="58"/>
      <c r="H327" s="58"/>
      <c r="I327" s="58"/>
      <c r="J327" s="58"/>
      <c r="K327" s="65">
        <v>0.08</v>
      </c>
      <c r="L327" s="65">
        <v>0.08</v>
      </c>
      <c r="M327" s="65">
        <v>0.07</v>
      </c>
      <c r="N327" s="65">
        <v>0.07</v>
      </c>
      <c r="O327" s="65">
        <v>0.06</v>
      </c>
      <c r="P327" s="65">
        <v>0.06</v>
      </c>
      <c r="Q327" s="65">
        <v>0.05</v>
      </c>
      <c r="R327" s="65">
        <v>0.05</v>
      </c>
      <c r="S327" s="65">
        <v>0.05</v>
      </c>
      <c r="T327" s="65">
        <v>0.04</v>
      </c>
      <c r="U327" s="65">
        <v>0.04</v>
      </c>
      <c r="V327" s="65">
        <v>0.04</v>
      </c>
      <c r="W327" s="65">
        <v>0.04</v>
      </c>
      <c r="X327" s="65">
        <v>0.03</v>
      </c>
      <c r="Y327" s="65">
        <v>0.03</v>
      </c>
      <c r="Z327" s="65">
        <v>0.03</v>
      </c>
      <c r="AA327" s="65">
        <v>0.03</v>
      </c>
      <c r="AB327" s="65">
        <v>0.03</v>
      </c>
      <c r="AC327" s="65">
        <v>0.02</v>
      </c>
      <c r="AD327" s="65">
        <v>0.02</v>
      </c>
      <c r="CZ327" s="52">
        <f t="shared" ref="CZ327:DJ327" si="311">ROUND($CZ31*E327,0)</f>
        <v>0</v>
      </c>
      <c r="DA327" s="52">
        <f t="shared" si="311"/>
        <v>0</v>
      </c>
      <c r="DB327" s="52">
        <f t="shared" si="311"/>
        <v>0</v>
      </c>
      <c r="DC327" s="52">
        <f t="shared" si="311"/>
        <v>0</v>
      </c>
      <c r="DD327" s="52">
        <f t="shared" si="311"/>
        <v>0</v>
      </c>
      <c r="DE327" s="52">
        <f t="shared" si="311"/>
        <v>0</v>
      </c>
      <c r="DF327" s="52">
        <f t="shared" si="311"/>
        <v>1</v>
      </c>
      <c r="DG327" s="52">
        <f t="shared" si="311"/>
        <v>1</v>
      </c>
      <c r="DH327" s="52">
        <f t="shared" si="311"/>
        <v>1</v>
      </c>
      <c r="DI327" s="52">
        <f t="shared" si="311"/>
        <v>1</v>
      </c>
      <c r="DJ327" s="52">
        <f t="shared" si="311"/>
        <v>1</v>
      </c>
    </row>
    <row r="328" ht="15.75" customHeight="1">
      <c r="B328" s="52" t="s">
        <v>1792</v>
      </c>
      <c r="C328" s="52">
        <v>42.0</v>
      </c>
      <c r="D328" s="52" t="s">
        <v>1789</v>
      </c>
      <c r="E328" s="58"/>
      <c r="F328" s="58"/>
      <c r="G328" s="58"/>
      <c r="H328" s="58"/>
      <c r="I328" s="58"/>
      <c r="J328" s="58"/>
      <c r="K328" s="58"/>
      <c r="L328" s="65">
        <v>0.08</v>
      </c>
      <c r="M328" s="65">
        <v>0.08</v>
      </c>
      <c r="N328" s="65">
        <v>0.07</v>
      </c>
      <c r="O328" s="65">
        <v>0.07</v>
      </c>
      <c r="P328" s="65">
        <v>0.06</v>
      </c>
      <c r="Q328" s="65">
        <v>0.06</v>
      </c>
      <c r="R328" s="65">
        <v>0.05</v>
      </c>
      <c r="S328" s="65">
        <v>0.05</v>
      </c>
      <c r="T328" s="65">
        <v>0.05</v>
      </c>
      <c r="U328" s="65">
        <v>0.04</v>
      </c>
      <c r="V328" s="65">
        <v>0.04</v>
      </c>
      <c r="W328" s="65">
        <v>0.04</v>
      </c>
      <c r="X328" s="65">
        <v>0.04</v>
      </c>
      <c r="Y328" s="65">
        <v>0.03</v>
      </c>
      <c r="Z328" s="65">
        <v>0.03</v>
      </c>
      <c r="AA328" s="65">
        <v>0.03</v>
      </c>
      <c r="AB328" s="65">
        <v>0.03</v>
      </c>
      <c r="AC328" s="65">
        <v>0.03</v>
      </c>
      <c r="AD328" s="65">
        <v>0.02</v>
      </c>
      <c r="CZ328" s="52">
        <f t="shared" ref="CZ328:DJ328" si="312">ROUND($CZ32*E328,0)</f>
        <v>0</v>
      </c>
      <c r="DA328" s="52">
        <f t="shared" si="312"/>
        <v>0</v>
      </c>
      <c r="DB328" s="52">
        <f t="shared" si="312"/>
        <v>0</v>
      </c>
      <c r="DC328" s="52">
        <f t="shared" si="312"/>
        <v>0</v>
      </c>
      <c r="DD328" s="52">
        <f t="shared" si="312"/>
        <v>0</v>
      </c>
      <c r="DE328" s="52">
        <f t="shared" si="312"/>
        <v>0</v>
      </c>
      <c r="DF328" s="52">
        <f t="shared" si="312"/>
        <v>0</v>
      </c>
      <c r="DG328" s="52">
        <f t="shared" si="312"/>
        <v>2</v>
      </c>
      <c r="DH328" s="52">
        <f t="shared" si="312"/>
        <v>2</v>
      </c>
      <c r="DI328" s="52">
        <f t="shared" si="312"/>
        <v>2</v>
      </c>
      <c r="DJ328" s="52">
        <f t="shared" si="312"/>
        <v>2</v>
      </c>
    </row>
    <row r="329" ht="15.75" customHeight="1">
      <c r="B329" s="52" t="s">
        <v>1792</v>
      </c>
      <c r="C329" s="52">
        <v>42.0</v>
      </c>
      <c r="D329" s="52" t="s">
        <v>1790</v>
      </c>
      <c r="E329" s="58"/>
      <c r="F329" s="58"/>
      <c r="G329" s="58"/>
      <c r="H329" s="58"/>
      <c r="I329" s="58"/>
      <c r="J329" s="58"/>
      <c r="K329" s="58"/>
      <c r="L329" s="58"/>
      <c r="M329" s="58"/>
      <c r="N329" s="65">
        <v>0.08</v>
      </c>
      <c r="O329" s="65">
        <v>0.08</v>
      </c>
      <c r="P329" s="65">
        <v>0.07</v>
      </c>
      <c r="Q329" s="65">
        <v>0.07</v>
      </c>
      <c r="R329" s="65">
        <v>0.06</v>
      </c>
      <c r="S329" s="65">
        <v>0.06</v>
      </c>
      <c r="T329" s="65">
        <v>0.05</v>
      </c>
      <c r="U329" s="65">
        <v>0.05</v>
      </c>
      <c r="V329" s="65">
        <v>0.05</v>
      </c>
      <c r="W329" s="65">
        <v>0.04</v>
      </c>
      <c r="X329" s="65">
        <v>0.04</v>
      </c>
      <c r="Y329" s="65">
        <v>0.04</v>
      </c>
      <c r="Z329" s="65">
        <v>0.04</v>
      </c>
      <c r="AA329" s="65">
        <v>0.03</v>
      </c>
      <c r="AB329" s="65">
        <v>0.03</v>
      </c>
      <c r="AC329" s="65">
        <v>0.03</v>
      </c>
      <c r="AD329" s="65">
        <v>0.03</v>
      </c>
      <c r="CZ329" s="52">
        <f t="shared" ref="CZ329:DJ329" si="313">ROUND($CZ33*E329,0)</f>
        <v>0</v>
      </c>
      <c r="DA329" s="52">
        <f t="shared" si="313"/>
        <v>0</v>
      </c>
      <c r="DB329" s="52">
        <f t="shared" si="313"/>
        <v>0</v>
      </c>
      <c r="DC329" s="52">
        <f t="shared" si="313"/>
        <v>0</v>
      </c>
      <c r="DD329" s="52">
        <f t="shared" si="313"/>
        <v>0</v>
      </c>
      <c r="DE329" s="52">
        <f t="shared" si="313"/>
        <v>0</v>
      </c>
      <c r="DF329" s="52">
        <f t="shared" si="313"/>
        <v>0</v>
      </c>
      <c r="DG329" s="52">
        <f t="shared" si="313"/>
        <v>0</v>
      </c>
      <c r="DH329" s="52">
        <f t="shared" si="313"/>
        <v>0</v>
      </c>
      <c r="DI329" s="52">
        <f t="shared" si="313"/>
        <v>3</v>
      </c>
      <c r="DJ329" s="52">
        <f t="shared" si="313"/>
        <v>3</v>
      </c>
    </row>
    <row r="330" ht="15.75" customHeight="1">
      <c r="B330" s="52" t="s">
        <v>1792</v>
      </c>
      <c r="C330" s="52">
        <v>43.0</v>
      </c>
      <c r="D330" s="52">
        <v>0.0</v>
      </c>
      <c r="E330" s="65">
        <v>0.07</v>
      </c>
      <c r="F330" s="65">
        <v>0.07</v>
      </c>
      <c r="G330" s="65">
        <v>0.07</v>
      </c>
      <c r="H330" s="65">
        <v>0.07</v>
      </c>
      <c r="I330" s="65">
        <v>0.07</v>
      </c>
      <c r="J330" s="65">
        <v>0.07</v>
      </c>
      <c r="K330" s="65">
        <v>0.07</v>
      </c>
      <c r="L330" s="65">
        <v>0.07</v>
      </c>
      <c r="M330" s="65">
        <v>0.07</v>
      </c>
      <c r="N330" s="65">
        <v>0.03</v>
      </c>
      <c r="O330" s="65">
        <v>0.03</v>
      </c>
      <c r="P330" s="65">
        <v>0.03</v>
      </c>
      <c r="Q330" s="65">
        <v>0.03</v>
      </c>
      <c r="R330" s="65">
        <v>0.03</v>
      </c>
      <c r="S330" s="65">
        <v>0.03</v>
      </c>
      <c r="T330" s="65">
        <v>0.03</v>
      </c>
      <c r="U330" s="65">
        <v>0.02</v>
      </c>
      <c r="V330" s="65">
        <v>0.02</v>
      </c>
      <c r="W330" s="65">
        <v>0.02</v>
      </c>
      <c r="X330" s="65">
        <v>0.02</v>
      </c>
      <c r="Y330" s="65">
        <v>0.02</v>
      </c>
      <c r="Z330" s="65">
        <v>0.02</v>
      </c>
      <c r="AA330" s="65">
        <v>0.02</v>
      </c>
      <c r="AB330" s="65">
        <v>0.02</v>
      </c>
      <c r="AC330" s="58"/>
      <c r="AD330" s="58"/>
      <c r="DA330" s="52">
        <f t="shared" ref="DA330:DJ330" si="314">ROUND($DA27*E330,0)</f>
        <v>7</v>
      </c>
      <c r="DB330" s="52">
        <f t="shared" si="314"/>
        <v>7</v>
      </c>
      <c r="DC330" s="52">
        <f t="shared" si="314"/>
        <v>7</v>
      </c>
      <c r="DD330" s="52">
        <f t="shared" si="314"/>
        <v>7</v>
      </c>
      <c r="DE330" s="52">
        <f t="shared" si="314"/>
        <v>7</v>
      </c>
      <c r="DF330" s="52">
        <f t="shared" si="314"/>
        <v>7</v>
      </c>
      <c r="DG330" s="52">
        <f t="shared" si="314"/>
        <v>7</v>
      </c>
      <c r="DH330" s="52">
        <f t="shared" si="314"/>
        <v>7</v>
      </c>
      <c r="DI330" s="52">
        <f t="shared" si="314"/>
        <v>7</v>
      </c>
      <c r="DJ330" s="52">
        <f t="shared" si="314"/>
        <v>3</v>
      </c>
    </row>
    <row r="331" ht="15.75" customHeight="1">
      <c r="B331" s="52" t="s">
        <v>1792</v>
      </c>
      <c r="C331" s="52">
        <v>43.0</v>
      </c>
      <c r="D331" s="52" t="s">
        <v>1785</v>
      </c>
      <c r="E331" s="65">
        <v>0.02</v>
      </c>
      <c r="F331" s="65">
        <v>0.02</v>
      </c>
      <c r="G331" s="65">
        <v>0.02</v>
      </c>
      <c r="H331" s="65">
        <v>0.02</v>
      </c>
      <c r="I331" s="65">
        <v>0.08</v>
      </c>
      <c r="J331" s="65">
        <v>0.08</v>
      </c>
      <c r="K331" s="65">
        <v>0.07</v>
      </c>
      <c r="L331" s="65">
        <v>0.07</v>
      </c>
      <c r="M331" s="65">
        <v>0.06</v>
      </c>
      <c r="N331" s="65">
        <v>0.06</v>
      </c>
      <c r="O331" s="65">
        <v>0.05</v>
      </c>
      <c r="P331" s="65">
        <v>0.05</v>
      </c>
      <c r="Q331" s="65">
        <v>0.05</v>
      </c>
      <c r="R331" s="65">
        <v>0.04</v>
      </c>
      <c r="S331" s="65">
        <v>0.04</v>
      </c>
      <c r="T331" s="65">
        <v>0.04</v>
      </c>
      <c r="U331" s="65">
        <v>0.04</v>
      </c>
      <c r="V331" s="65">
        <v>0.03</v>
      </c>
      <c r="W331" s="65">
        <v>0.03</v>
      </c>
      <c r="X331" s="65">
        <v>0.03</v>
      </c>
      <c r="Y331" s="65">
        <v>0.03</v>
      </c>
      <c r="Z331" s="65">
        <v>0.03</v>
      </c>
      <c r="AA331" s="65">
        <v>0.02</v>
      </c>
      <c r="AB331" s="65">
        <v>0.02</v>
      </c>
      <c r="AC331" s="58"/>
      <c r="AD331" s="58"/>
      <c r="DA331" s="52">
        <f t="shared" ref="DA331:DJ331" si="315">ROUND($DA28*E331,0)</f>
        <v>0</v>
      </c>
      <c r="DB331" s="52">
        <f t="shared" si="315"/>
        <v>0</v>
      </c>
      <c r="DC331" s="52">
        <f t="shared" si="315"/>
        <v>0</v>
      </c>
      <c r="DD331" s="52">
        <f t="shared" si="315"/>
        <v>0</v>
      </c>
      <c r="DE331" s="52">
        <f t="shared" si="315"/>
        <v>1</v>
      </c>
      <c r="DF331" s="52">
        <f t="shared" si="315"/>
        <v>1</v>
      </c>
      <c r="DG331" s="52">
        <f t="shared" si="315"/>
        <v>1</v>
      </c>
      <c r="DH331" s="52">
        <f t="shared" si="315"/>
        <v>1</v>
      </c>
      <c r="DI331" s="52">
        <f t="shared" si="315"/>
        <v>1</v>
      </c>
      <c r="DJ331" s="52">
        <f t="shared" si="315"/>
        <v>1</v>
      </c>
    </row>
    <row r="332" ht="15.75" customHeight="1">
      <c r="B332" s="52" t="s">
        <v>1792</v>
      </c>
      <c r="C332" s="52">
        <v>43.0</v>
      </c>
      <c r="D332" s="52" t="s">
        <v>1786</v>
      </c>
      <c r="E332" s="58"/>
      <c r="F332" s="58"/>
      <c r="G332" s="58"/>
      <c r="H332" s="65">
        <v>0.08</v>
      </c>
      <c r="I332" s="65">
        <v>0.08</v>
      </c>
      <c r="J332" s="65">
        <v>0.07</v>
      </c>
      <c r="K332" s="65">
        <v>0.07</v>
      </c>
      <c r="L332" s="65">
        <v>0.06</v>
      </c>
      <c r="M332" s="65">
        <v>0.06</v>
      </c>
      <c r="N332" s="65">
        <v>0.05</v>
      </c>
      <c r="O332" s="65">
        <v>0.05</v>
      </c>
      <c r="P332" s="65">
        <v>0.05</v>
      </c>
      <c r="Q332" s="65">
        <v>0.04</v>
      </c>
      <c r="R332" s="65">
        <v>0.04</v>
      </c>
      <c r="S332" s="65">
        <v>0.04</v>
      </c>
      <c r="T332" s="65">
        <v>0.04</v>
      </c>
      <c r="U332" s="65">
        <v>0.03</v>
      </c>
      <c r="V332" s="65">
        <v>0.03</v>
      </c>
      <c r="W332" s="65">
        <v>0.03</v>
      </c>
      <c r="X332" s="65">
        <v>0.03</v>
      </c>
      <c r="Y332" s="65">
        <v>0.03</v>
      </c>
      <c r="Z332" s="65">
        <v>0.02</v>
      </c>
      <c r="AA332" s="65">
        <v>0.02</v>
      </c>
      <c r="AB332" s="65">
        <v>0.03</v>
      </c>
      <c r="AC332" s="65">
        <v>0.03</v>
      </c>
      <c r="AD332" s="65">
        <v>0.02</v>
      </c>
      <c r="DA332" s="52">
        <f t="shared" ref="DA332:DJ332" si="316">ROUND($DA29*E332,0)</f>
        <v>0</v>
      </c>
      <c r="DB332" s="52">
        <f t="shared" si="316"/>
        <v>0</v>
      </c>
      <c r="DC332" s="52">
        <f t="shared" si="316"/>
        <v>0</v>
      </c>
      <c r="DD332" s="52">
        <f t="shared" si="316"/>
        <v>1</v>
      </c>
      <c r="DE332" s="52">
        <f t="shared" si="316"/>
        <v>1</v>
      </c>
      <c r="DF332" s="52">
        <f t="shared" si="316"/>
        <v>1</v>
      </c>
      <c r="DG332" s="52">
        <f t="shared" si="316"/>
        <v>1</v>
      </c>
      <c r="DH332" s="52">
        <f t="shared" si="316"/>
        <v>1</v>
      </c>
      <c r="DI332" s="52">
        <f t="shared" si="316"/>
        <v>1</v>
      </c>
      <c r="DJ332" s="52">
        <f t="shared" si="316"/>
        <v>1</v>
      </c>
    </row>
    <row r="333" ht="15.75" customHeight="1">
      <c r="B333" s="52" t="s">
        <v>1792</v>
      </c>
      <c r="C333" s="52">
        <v>43.0</v>
      </c>
      <c r="D333" s="52" t="s">
        <v>1787</v>
      </c>
      <c r="E333" s="58"/>
      <c r="F333" s="58"/>
      <c r="G333" s="58"/>
      <c r="H333" s="58"/>
      <c r="I333" s="58"/>
      <c r="J333" s="65">
        <v>0.08</v>
      </c>
      <c r="K333" s="65">
        <v>0.08</v>
      </c>
      <c r="L333" s="65">
        <v>0.07</v>
      </c>
      <c r="M333" s="65">
        <v>0.07</v>
      </c>
      <c r="N333" s="65">
        <v>0.06</v>
      </c>
      <c r="O333" s="65">
        <v>0.06</v>
      </c>
      <c r="P333" s="65">
        <v>0.05</v>
      </c>
      <c r="Q333" s="65">
        <v>0.05</v>
      </c>
      <c r="R333" s="65">
        <v>0.05</v>
      </c>
      <c r="S333" s="65">
        <v>0.04</v>
      </c>
      <c r="T333" s="65">
        <v>0.04</v>
      </c>
      <c r="U333" s="65">
        <v>0.04</v>
      </c>
      <c r="V333" s="65">
        <v>0.04</v>
      </c>
      <c r="W333" s="65">
        <v>0.03</v>
      </c>
      <c r="X333" s="65">
        <v>0.03</v>
      </c>
      <c r="Y333" s="65">
        <v>0.03</v>
      </c>
      <c r="Z333" s="65">
        <v>0.03</v>
      </c>
      <c r="AA333" s="65">
        <v>0.03</v>
      </c>
      <c r="AB333" s="65">
        <v>0.02</v>
      </c>
      <c r="AC333" s="65">
        <v>0.02</v>
      </c>
      <c r="AD333" s="65">
        <v>0.03</v>
      </c>
      <c r="DA333" s="52">
        <f t="shared" ref="DA333:DJ333" si="317">ROUND($DA30*E333,0)</f>
        <v>0</v>
      </c>
      <c r="DB333" s="52">
        <f t="shared" si="317"/>
        <v>0</v>
      </c>
      <c r="DC333" s="52">
        <f t="shared" si="317"/>
        <v>0</v>
      </c>
      <c r="DD333" s="52">
        <f t="shared" si="317"/>
        <v>0</v>
      </c>
      <c r="DE333" s="52">
        <f t="shared" si="317"/>
        <v>0</v>
      </c>
      <c r="DF333" s="52">
        <f t="shared" si="317"/>
        <v>0</v>
      </c>
      <c r="DG333" s="52">
        <f t="shared" si="317"/>
        <v>0</v>
      </c>
      <c r="DH333" s="52">
        <f t="shared" si="317"/>
        <v>0</v>
      </c>
      <c r="DI333" s="52">
        <f t="shared" si="317"/>
        <v>0</v>
      </c>
      <c r="DJ333" s="52">
        <f t="shared" si="317"/>
        <v>0</v>
      </c>
    </row>
    <row r="334" ht="15.75" customHeight="1">
      <c r="B334" s="52" t="s">
        <v>1792</v>
      </c>
      <c r="C334" s="52">
        <v>43.0</v>
      </c>
      <c r="D334" s="52" t="s">
        <v>1788</v>
      </c>
      <c r="E334" s="58"/>
      <c r="F334" s="58"/>
      <c r="G334" s="58"/>
      <c r="H334" s="58"/>
      <c r="I334" s="58"/>
      <c r="J334" s="58"/>
      <c r="K334" s="65">
        <v>0.08</v>
      </c>
      <c r="L334" s="65">
        <v>0.08</v>
      </c>
      <c r="M334" s="65">
        <v>0.07</v>
      </c>
      <c r="N334" s="65">
        <v>0.07</v>
      </c>
      <c r="O334" s="65">
        <v>0.06</v>
      </c>
      <c r="P334" s="65">
        <v>0.06</v>
      </c>
      <c r="Q334" s="65">
        <v>0.05</v>
      </c>
      <c r="R334" s="65">
        <v>0.05</v>
      </c>
      <c r="S334" s="65">
        <v>0.05</v>
      </c>
      <c r="T334" s="65">
        <v>0.04</v>
      </c>
      <c r="U334" s="65">
        <v>0.04</v>
      </c>
      <c r="V334" s="65">
        <v>0.04</v>
      </c>
      <c r="W334" s="65">
        <v>0.04</v>
      </c>
      <c r="X334" s="65">
        <v>0.03</v>
      </c>
      <c r="Y334" s="65">
        <v>0.03</v>
      </c>
      <c r="Z334" s="65">
        <v>0.03</v>
      </c>
      <c r="AA334" s="65">
        <v>0.03</v>
      </c>
      <c r="AB334" s="65">
        <v>0.03</v>
      </c>
      <c r="AC334" s="65">
        <v>0.02</v>
      </c>
      <c r="AD334" s="65">
        <v>0.02</v>
      </c>
      <c r="DA334" s="52">
        <f t="shared" ref="DA334:DJ334" si="318">ROUND($DA31*E334,0)</f>
        <v>0</v>
      </c>
      <c r="DB334" s="52">
        <f t="shared" si="318"/>
        <v>0</v>
      </c>
      <c r="DC334" s="52">
        <f t="shared" si="318"/>
        <v>0</v>
      </c>
      <c r="DD334" s="52">
        <f t="shared" si="318"/>
        <v>0</v>
      </c>
      <c r="DE334" s="52">
        <f t="shared" si="318"/>
        <v>0</v>
      </c>
      <c r="DF334" s="52">
        <f t="shared" si="318"/>
        <v>0</v>
      </c>
      <c r="DG334" s="52">
        <f t="shared" si="318"/>
        <v>0</v>
      </c>
      <c r="DH334" s="52">
        <f t="shared" si="318"/>
        <v>0</v>
      </c>
      <c r="DI334" s="52">
        <f t="shared" si="318"/>
        <v>0</v>
      </c>
      <c r="DJ334" s="52">
        <f t="shared" si="318"/>
        <v>0</v>
      </c>
    </row>
    <row r="335" ht="15.75" customHeight="1">
      <c r="B335" s="52" t="s">
        <v>1792</v>
      </c>
      <c r="C335" s="52">
        <v>43.0</v>
      </c>
      <c r="D335" s="52" t="s">
        <v>1789</v>
      </c>
      <c r="E335" s="58"/>
      <c r="F335" s="58"/>
      <c r="G335" s="58"/>
      <c r="H335" s="58"/>
      <c r="I335" s="58"/>
      <c r="J335" s="58"/>
      <c r="K335" s="58"/>
      <c r="L335" s="65">
        <v>0.08</v>
      </c>
      <c r="M335" s="65">
        <v>0.08</v>
      </c>
      <c r="N335" s="65">
        <v>0.07</v>
      </c>
      <c r="O335" s="65">
        <v>0.07</v>
      </c>
      <c r="P335" s="65">
        <v>0.06</v>
      </c>
      <c r="Q335" s="65">
        <v>0.06</v>
      </c>
      <c r="R335" s="65">
        <v>0.05</v>
      </c>
      <c r="S335" s="65">
        <v>0.05</v>
      </c>
      <c r="T335" s="65">
        <v>0.05</v>
      </c>
      <c r="U335" s="65">
        <v>0.04</v>
      </c>
      <c r="V335" s="65">
        <v>0.04</v>
      </c>
      <c r="W335" s="65">
        <v>0.04</v>
      </c>
      <c r="X335" s="65">
        <v>0.04</v>
      </c>
      <c r="Y335" s="65">
        <v>0.03</v>
      </c>
      <c r="Z335" s="65">
        <v>0.03</v>
      </c>
      <c r="AA335" s="65">
        <v>0.03</v>
      </c>
      <c r="AB335" s="65">
        <v>0.03</v>
      </c>
      <c r="AC335" s="65">
        <v>0.03</v>
      </c>
      <c r="AD335" s="65">
        <v>0.02</v>
      </c>
      <c r="DA335" s="52">
        <f t="shared" ref="DA335:DJ335" si="319">ROUND($DA32*E335,0)</f>
        <v>0</v>
      </c>
      <c r="DB335" s="52">
        <f t="shared" si="319"/>
        <v>0</v>
      </c>
      <c r="DC335" s="52">
        <f t="shared" si="319"/>
        <v>0</v>
      </c>
      <c r="DD335" s="52">
        <f t="shared" si="319"/>
        <v>0</v>
      </c>
      <c r="DE335" s="52">
        <f t="shared" si="319"/>
        <v>0</v>
      </c>
      <c r="DF335" s="52">
        <f t="shared" si="319"/>
        <v>0</v>
      </c>
      <c r="DG335" s="52">
        <f t="shared" si="319"/>
        <v>0</v>
      </c>
      <c r="DH335" s="52">
        <f t="shared" si="319"/>
        <v>0</v>
      </c>
      <c r="DI335" s="52">
        <f t="shared" si="319"/>
        <v>0</v>
      </c>
      <c r="DJ335" s="52">
        <f t="shared" si="319"/>
        <v>0</v>
      </c>
    </row>
    <row r="336" ht="15.75" customHeight="1">
      <c r="B336" s="52" t="s">
        <v>1792</v>
      </c>
      <c r="C336" s="52">
        <v>43.0</v>
      </c>
      <c r="D336" s="52" t="s">
        <v>1790</v>
      </c>
      <c r="E336" s="58"/>
      <c r="F336" s="58"/>
      <c r="G336" s="58"/>
      <c r="H336" s="58"/>
      <c r="I336" s="58"/>
      <c r="J336" s="58"/>
      <c r="K336" s="58"/>
      <c r="L336" s="58"/>
      <c r="M336" s="58"/>
      <c r="N336" s="65">
        <v>0.08</v>
      </c>
      <c r="O336" s="65">
        <v>0.08</v>
      </c>
      <c r="P336" s="65">
        <v>0.07</v>
      </c>
      <c r="Q336" s="65">
        <v>0.07</v>
      </c>
      <c r="R336" s="65">
        <v>0.06</v>
      </c>
      <c r="S336" s="65">
        <v>0.06</v>
      </c>
      <c r="T336" s="65">
        <v>0.05</v>
      </c>
      <c r="U336" s="65">
        <v>0.05</v>
      </c>
      <c r="V336" s="65">
        <v>0.05</v>
      </c>
      <c r="W336" s="65">
        <v>0.04</v>
      </c>
      <c r="X336" s="65">
        <v>0.04</v>
      </c>
      <c r="Y336" s="65">
        <v>0.04</v>
      </c>
      <c r="Z336" s="65">
        <v>0.04</v>
      </c>
      <c r="AA336" s="65">
        <v>0.03</v>
      </c>
      <c r="AB336" s="65">
        <v>0.03</v>
      </c>
      <c r="AC336" s="65">
        <v>0.03</v>
      </c>
      <c r="AD336" s="65">
        <v>0.03</v>
      </c>
      <c r="DA336" s="52">
        <f t="shared" ref="DA336:DJ336" si="320">ROUND($DA33*E336,0)</f>
        <v>0</v>
      </c>
      <c r="DB336" s="52">
        <f t="shared" si="320"/>
        <v>0</v>
      </c>
      <c r="DC336" s="52">
        <f t="shared" si="320"/>
        <v>0</v>
      </c>
      <c r="DD336" s="52">
        <f t="shared" si="320"/>
        <v>0</v>
      </c>
      <c r="DE336" s="52">
        <f t="shared" si="320"/>
        <v>0</v>
      </c>
      <c r="DF336" s="52">
        <f t="shared" si="320"/>
        <v>0</v>
      </c>
      <c r="DG336" s="52">
        <f t="shared" si="320"/>
        <v>0</v>
      </c>
      <c r="DH336" s="52">
        <f t="shared" si="320"/>
        <v>0</v>
      </c>
      <c r="DI336" s="52">
        <f t="shared" si="320"/>
        <v>0</v>
      </c>
      <c r="DJ336" s="52">
        <f t="shared" si="320"/>
        <v>1</v>
      </c>
    </row>
    <row r="337" ht="15.75" customHeight="1">
      <c r="B337" s="52" t="s">
        <v>1792</v>
      </c>
      <c r="C337" s="52">
        <v>44.0</v>
      </c>
      <c r="D337" s="52">
        <v>0.0</v>
      </c>
      <c r="E337" s="65">
        <v>0.07</v>
      </c>
      <c r="F337" s="65">
        <v>0.07</v>
      </c>
      <c r="G337" s="65">
        <v>0.07</v>
      </c>
      <c r="H337" s="65">
        <v>0.07</v>
      </c>
      <c r="I337" s="65">
        <v>0.07</v>
      </c>
      <c r="J337" s="65">
        <v>0.07</v>
      </c>
      <c r="K337" s="65">
        <v>0.07</v>
      </c>
      <c r="L337" s="65">
        <v>0.07</v>
      </c>
      <c r="M337" s="65">
        <v>0.07</v>
      </c>
      <c r="N337" s="65">
        <v>0.03</v>
      </c>
      <c r="O337" s="65">
        <v>0.03</v>
      </c>
      <c r="P337" s="65">
        <v>0.03</v>
      </c>
      <c r="Q337" s="65">
        <v>0.03</v>
      </c>
      <c r="R337" s="65">
        <v>0.03</v>
      </c>
      <c r="S337" s="65">
        <v>0.03</v>
      </c>
      <c r="T337" s="65">
        <v>0.03</v>
      </c>
      <c r="U337" s="65">
        <v>0.02</v>
      </c>
      <c r="V337" s="65">
        <v>0.02</v>
      </c>
      <c r="W337" s="65">
        <v>0.02</v>
      </c>
      <c r="X337" s="65">
        <v>0.02</v>
      </c>
      <c r="Y337" s="65">
        <v>0.02</v>
      </c>
      <c r="Z337" s="65">
        <v>0.02</v>
      </c>
      <c r="AA337" s="65">
        <v>0.02</v>
      </c>
      <c r="AB337" s="65">
        <v>0.02</v>
      </c>
      <c r="AC337" s="58"/>
      <c r="AD337" s="58"/>
      <c r="DB337" s="52">
        <f t="shared" ref="DB337:DJ337" si="321">ROUND($DB27*E337,0)</f>
        <v>110</v>
      </c>
      <c r="DC337" s="52">
        <f t="shared" si="321"/>
        <v>110</v>
      </c>
      <c r="DD337" s="52">
        <f t="shared" si="321"/>
        <v>110</v>
      </c>
      <c r="DE337" s="52">
        <f t="shared" si="321"/>
        <v>110</v>
      </c>
      <c r="DF337" s="52">
        <f t="shared" si="321"/>
        <v>110</v>
      </c>
      <c r="DG337" s="52">
        <f t="shared" si="321"/>
        <v>110</v>
      </c>
      <c r="DH337" s="52">
        <f t="shared" si="321"/>
        <v>110</v>
      </c>
      <c r="DI337" s="52">
        <f t="shared" si="321"/>
        <v>110</v>
      </c>
      <c r="DJ337" s="52">
        <f t="shared" si="321"/>
        <v>110</v>
      </c>
    </row>
    <row r="338" ht="15.75" customHeight="1">
      <c r="B338" s="52" t="s">
        <v>1792</v>
      </c>
      <c r="C338" s="52">
        <v>44.0</v>
      </c>
      <c r="D338" s="52" t="s">
        <v>1785</v>
      </c>
      <c r="E338" s="65">
        <v>0.02</v>
      </c>
      <c r="F338" s="65">
        <v>0.02</v>
      </c>
      <c r="G338" s="65">
        <v>0.02</v>
      </c>
      <c r="H338" s="65">
        <v>0.02</v>
      </c>
      <c r="I338" s="65">
        <v>0.08</v>
      </c>
      <c r="J338" s="65">
        <v>0.08</v>
      </c>
      <c r="K338" s="65">
        <v>0.07</v>
      </c>
      <c r="L338" s="65">
        <v>0.07</v>
      </c>
      <c r="M338" s="65">
        <v>0.06</v>
      </c>
      <c r="N338" s="65">
        <v>0.06</v>
      </c>
      <c r="O338" s="65">
        <v>0.05</v>
      </c>
      <c r="P338" s="65">
        <v>0.05</v>
      </c>
      <c r="Q338" s="65">
        <v>0.05</v>
      </c>
      <c r="R338" s="65">
        <v>0.04</v>
      </c>
      <c r="S338" s="65">
        <v>0.04</v>
      </c>
      <c r="T338" s="65">
        <v>0.04</v>
      </c>
      <c r="U338" s="65">
        <v>0.04</v>
      </c>
      <c r="V338" s="65">
        <v>0.03</v>
      </c>
      <c r="W338" s="65">
        <v>0.03</v>
      </c>
      <c r="X338" s="65">
        <v>0.03</v>
      </c>
      <c r="Y338" s="65">
        <v>0.03</v>
      </c>
      <c r="Z338" s="65">
        <v>0.03</v>
      </c>
      <c r="AA338" s="65">
        <v>0.02</v>
      </c>
      <c r="AB338" s="65">
        <v>0.02</v>
      </c>
      <c r="AC338" s="58"/>
      <c r="AD338" s="58"/>
      <c r="DB338" s="52">
        <f t="shared" ref="DB338:DJ338" si="322">ROUND($DB28*E338,0)</f>
        <v>3</v>
      </c>
      <c r="DC338" s="52">
        <f t="shared" si="322"/>
        <v>3</v>
      </c>
      <c r="DD338" s="52">
        <f t="shared" si="322"/>
        <v>3</v>
      </c>
      <c r="DE338" s="52">
        <f t="shared" si="322"/>
        <v>3</v>
      </c>
      <c r="DF338" s="52">
        <f t="shared" si="322"/>
        <v>13</v>
      </c>
      <c r="DG338" s="52">
        <f t="shared" si="322"/>
        <v>13</v>
      </c>
      <c r="DH338" s="52">
        <f t="shared" si="322"/>
        <v>11</v>
      </c>
      <c r="DI338" s="52">
        <f t="shared" si="322"/>
        <v>11</v>
      </c>
      <c r="DJ338" s="52">
        <f t="shared" si="322"/>
        <v>10</v>
      </c>
    </row>
    <row r="339" ht="15.75" customHeight="1">
      <c r="B339" s="52" t="s">
        <v>1792</v>
      </c>
      <c r="C339" s="52">
        <v>44.0</v>
      </c>
      <c r="D339" s="52" t="s">
        <v>1786</v>
      </c>
      <c r="E339" s="58"/>
      <c r="F339" s="58"/>
      <c r="G339" s="58"/>
      <c r="H339" s="65">
        <v>0.08</v>
      </c>
      <c r="I339" s="65">
        <v>0.08</v>
      </c>
      <c r="J339" s="65">
        <v>0.07</v>
      </c>
      <c r="K339" s="65">
        <v>0.07</v>
      </c>
      <c r="L339" s="65">
        <v>0.06</v>
      </c>
      <c r="M339" s="65">
        <v>0.06</v>
      </c>
      <c r="N339" s="65">
        <v>0.05</v>
      </c>
      <c r="O339" s="65">
        <v>0.05</v>
      </c>
      <c r="P339" s="65">
        <v>0.05</v>
      </c>
      <c r="Q339" s="65">
        <v>0.04</v>
      </c>
      <c r="R339" s="65">
        <v>0.04</v>
      </c>
      <c r="S339" s="65">
        <v>0.04</v>
      </c>
      <c r="T339" s="65">
        <v>0.04</v>
      </c>
      <c r="U339" s="65">
        <v>0.03</v>
      </c>
      <c r="V339" s="65">
        <v>0.03</v>
      </c>
      <c r="W339" s="65">
        <v>0.03</v>
      </c>
      <c r="X339" s="65">
        <v>0.03</v>
      </c>
      <c r="Y339" s="65">
        <v>0.03</v>
      </c>
      <c r="Z339" s="65">
        <v>0.02</v>
      </c>
      <c r="AA339" s="65">
        <v>0.02</v>
      </c>
      <c r="AB339" s="65">
        <v>0.03</v>
      </c>
      <c r="AC339" s="65">
        <v>0.03</v>
      </c>
      <c r="AD339" s="65">
        <v>0.02</v>
      </c>
      <c r="DB339" s="52">
        <f t="shared" ref="DB339:DJ339" si="323">ROUND($DB29*E339,0)</f>
        <v>0</v>
      </c>
      <c r="DC339" s="52">
        <f t="shared" si="323"/>
        <v>0</v>
      </c>
      <c r="DD339" s="52">
        <f t="shared" si="323"/>
        <v>0</v>
      </c>
      <c r="DE339" s="52">
        <f t="shared" si="323"/>
        <v>23</v>
      </c>
      <c r="DF339" s="52">
        <f t="shared" si="323"/>
        <v>23</v>
      </c>
      <c r="DG339" s="52">
        <f t="shared" si="323"/>
        <v>20</v>
      </c>
      <c r="DH339" s="52">
        <f t="shared" si="323"/>
        <v>20</v>
      </c>
      <c r="DI339" s="52">
        <f t="shared" si="323"/>
        <v>17</v>
      </c>
      <c r="DJ339" s="52">
        <f t="shared" si="323"/>
        <v>17</v>
      </c>
    </row>
    <row r="340" ht="15.75" customHeight="1">
      <c r="B340" s="52" t="s">
        <v>1792</v>
      </c>
      <c r="C340" s="52">
        <v>44.0</v>
      </c>
      <c r="D340" s="52" t="s">
        <v>1787</v>
      </c>
      <c r="E340" s="58"/>
      <c r="F340" s="58"/>
      <c r="G340" s="58"/>
      <c r="H340" s="58"/>
      <c r="I340" s="58"/>
      <c r="J340" s="65">
        <v>0.08</v>
      </c>
      <c r="K340" s="65">
        <v>0.08</v>
      </c>
      <c r="L340" s="65">
        <v>0.07</v>
      </c>
      <c r="M340" s="65">
        <v>0.07</v>
      </c>
      <c r="N340" s="65">
        <v>0.06</v>
      </c>
      <c r="O340" s="65">
        <v>0.06</v>
      </c>
      <c r="P340" s="65">
        <v>0.05</v>
      </c>
      <c r="Q340" s="65">
        <v>0.05</v>
      </c>
      <c r="R340" s="65">
        <v>0.05</v>
      </c>
      <c r="S340" s="65">
        <v>0.04</v>
      </c>
      <c r="T340" s="65">
        <v>0.04</v>
      </c>
      <c r="U340" s="65">
        <v>0.04</v>
      </c>
      <c r="V340" s="65">
        <v>0.04</v>
      </c>
      <c r="W340" s="65">
        <v>0.03</v>
      </c>
      <c r="X340" s="65">
        <v>0.03</v>
      </c>
      <c r="Y340" s="65">
        <v>0.03</v>
      </c>
      <c r="Z340" s="65">
        <v>0.03</v>
      </c>
      <c r="AA340" s="65">
        <v>0.03</v>
      </c>
      <c r="AB340" s="65">
        <v>0.02</v>
      </c>
      <c r="AC340" s="65">
        <v>0.02</v>
      </c>
      <c r="AD340" s="65">
        <v>0.03</v>
      </c>
      <c r="DB340" s="52">
        <f t="shared" ref="DB340:DJ340" si="324">ROUND($DB30*E340,0)</f>
        <v>0</v>
      </c>
      <c r="DC340" s="52">
        <f t="shared" si="324"/>
        <v>0</v>
      </c>
      <c r="DD340" s="52">
        <f t="shared" si="324"/>
        <v>0</v>
      </c>
      <c r="DE340" s="52">
        <f t="shared" si="324"/>
        <v>0</v>
      </c>
      <c r="DF340" s="52">
        <f t="shared" si="324"/>
        <v>0</v>
      </c>
      <c r="DG340" s="52">
        <f t="shared" si="324"/>
        <v>5</v>
      </c>
      <c r="DH340" s="52">
        <f t="shared" si="324"/>
        <v>5</v>
      </c>
      <c r="DI340" s="52">
        <f t="shared" si="324"/>
        <v>4</v>
      </c>
      <c r="DJ340" s="52">
        <f t="shared" si="324"/>
        <v>4</v>
      </c>
    </row>
    <row r="341" ht="15.75" customHeight="1">
      <c r="B341" s="52" t="s">
        <v>1792</v>
      </c>
      <c r="C341" s="52">
        <v>44.0</v>
      </c>
      <c r="D341" s="52" t="s">
        <v>1788</v>
      </c>
      <c r="E341" s="58"/>
      <c r="F341" s="58"/>
      <c r="G341" s="58"/>
      <c r="H341" s="58"/>
      <c r="I341" s="58"/>
      <c r="J341" s="58"/>
      <c r="K341" s="65">
        <v>0.08</v>
      </c>
      <c r="L341" s="65">
        <v>0.08</v>
      </c>
      <c r="M341" s="65">
        <v>0.07</v>
      </c>
      <c r="N341" s="65">
        <v>0.07</v>
      </c>
      <c r="O341" s="65">
        <v>0.06</v>
      </c>
      <c r="P341" s="65">
        <v>0.06</v>
      </c>
      <c r="Q341" s="65">
        <v>0.05</v>
      </c>
      <c r="R341" s="65">
        <v>0.05</v>
      </c>
      <c r="S341" s="65">
        <v>0.05</v>
      </c>
      <c r="T341" s="65">
        <v>0.04</v>
      </c>
      <c r="U341" s="65">
        <v>0.04</v>
      </c>
      <c r="V341" s="65">
        <v>0.04</v>
      </c>
      <c r="W341" s="65">
        <v>0.04</v>
      </c>
      <c r="X341" s="65">
        <v>0.03</v>
      </c>
      <c r="Y341" s="65">
        <v>0.03</v>
      </c>
      <c r="Z341" s="65">
        <v>0.03</v>
      </c>
      <c r="AA341" s="65">
        <v>0.03</v>
      </c>
      <c r="AB341" s="65">
        <v>0.03</v>
      </c>
      <c r="AC341" s="65">
        <v>0.02</v>
      </c>
      <c r="AD341" s="65">
        <v>0.02</v>
      </c>
      <c r="DB341" s="52">
        <f t="shared" ref="DB341:DJ341" si="325">ROUND($DB31*E341,0)</f>
        <v>0</v>
      </c>
      <c r="DC341" s="52">
        <f t="shared" si="325"/>
        <v>0</v>
      </c>
      <c r="DD341" s="52">
        <f t="shared" si="325"/>
        <v>0</v>
      </c>
      <c r="DE341" s="52">
        <f t="shared" si="325"/>
        <v>0</v>
      </c>
      <c r="DF341" s="52">
        <f t="shared" si="325"/>
        <v>0</v>
      </c>
      <c r="DG341" s="52">
        <f t="shared" si="325"/>
        <v>0</v>
      </c>
      <c r="DH341" s="52">
        <f t="shared" si="325"/>
        <v>4</v>
      </c>
      <c r="DI341" s="52">
        <f t="shared" si="325"/>
        <v>4</v>
      </c>
      <c r="DJ341" s="52">
        <f t="shared" si="325"/>
        <v>3</v>
      </c>
    </row>
    <row r="342" ht="15.75" customHeight="1">
      <c r="B342" s="52" t="s">
        <v>1792</v>
      </c>
      <c r="C342" s="52">
        <v>44.0</v>
      </c>
      <c r="D342" s="52" t="s">
        <v>1789</v>
      </c>
      <c r="E342" s="58"/>
      <c r="F342" s="58"/>
      <c r="G342" s="58"/>
      <c r="H342" s="58"/>
      <c r="I342" s="58"/>
      <c r="J342" s="58"/>
      <c r="K342" s="58"/>
      <c r="L342" s="65">
        <v>0.08</v>
      </c>
      <c r="M342" s="65">
        <v>0.08</v>
      </c>
      <c r="N342" s="65">
        <v>0.07</v>
      </c>
      <c r="O342" s="65">
        <v>0.07</v>
      </c>
      <c r="P342" s="65">
        <v>0.06</v>
      </c>
      <c r="Q342" s="65">
        <v>0.06</v>
      </c>
      <c r="R342" s="65">
        <v>0.05</v>
      </c>
      <c r="S342" s="65">
        <v>0.05</v>
      </c>
      <c r="T342" s="65">
        <v>0.05</v>
      </c>
      <c r="U342" s="65">
        <v>0.04</v>
      </c>
      <c r="V342" s="65">
        <v>0.04</v>
      </c>
      <c r="W342" s="65">
        <v>0.04</v>
      </c>
      <c r="X342" s="65">
        <v>0.04</v>
      </c>
      <c r="Y342" s="65">
        <v>0.03</v>
      </c>
      <c r="Z342" s="65">
        <v>0.03</v>
      </c>
      <c r="AA342" s="65">
        <v>0.03</v>
      </c>
      <c r="AB342" s="65">
        <v>0.03</v>
      </c>
      <c r="AC342" s="65">
        <v>0.03</v>
      </c>
      <c r="AD342" s="65">
        <v>0.02</v>
      </c>
      <c r="DB342" s="52">
        <f t="shared" ref="DB342:DJ342" si="326">ROUND($DB32*E342,0)</f>
        <v>0</v>
      </c>
      <c r="DC342" s="52">
        <f t="shared" si="326"/>
        <v>0</v>
      </c>
      <c r="DD342" s="52">
        <f t="shared" si="326"/>
        <v>0</v>
      </c>
      <c r="DE342" s="52">
        <f t="shared" si="326"/>
        <v>0</v>
      </c>
      <c r="DF342" s="52">
        <f t="shared" si="326"/>
        <v>0</v>
      </c>
      <c r="DG342" s="52">
        <f t="shared" si="326"/>
        <v>0</v>
      </c>
      <c r="DH342" s="52">
        <f t="shared" si="326"/>
        <v>0</v>
      </c>
      <c r="DI342" s="52">
        <f t="shared" si="326"/>
        <v>8</v>
      </c>
      <c r="DJ342" s="52">
        <f t="shared" si="326"/>
        <v>8</v>
      </c>
    </row>
    <row r="343" ht="15.75" customHeight="1">
      <c r="B343" s="52" t="s">
        <v>1792</v>
      </c>
      <c r="C343" s="52">
        <v>44.0</v>
      </c>
      <c r="D343" s="52" t="s">
        <v>1790</v>
      </c>
      <c r="E343" s="58"/>
      <c r="F343" s="58"/>
      <c r="G343" s="58"/>
      <c r="H343" s="58"/>
      <c r="I343" s="58"/>
      <c r="J343" s="58"/>
      <c r="K343" s="58"/>
      <c r="L343" s="58"/>
      <c r="M343" s="58"/>
      <c r="N343" s="65">
        <v>0.08</v>
      </c>
      <c r="O343" s="65">
        <v>0.08</v>
      </c>
      <c r="P343" s="65">
        <v>0.07</v>
      </c>
      <c r="Q343" s="65">
        <v>0.07</v>
      </c>
      <c r="R343" s="65">
        <v>0.06</v>
      </c>
      <c r="S343" s="65">
        <v>0.06</v>
      </c>
      <c r="T343" s="65">
        <v>0.05</v>
      </c>
      <c r="U343" s="65">
        <v>0.05</v>
      </c>
      <c r="V343" s="65">
        <v>0.05</v>
      </c>
      <c r="W343" s="65">
        <v>0.04</v>
      </c>
      <c r="X343" s="65">
        <v>0.04</v>
      </c>
      <c r="Y343" s="65">
        <v>0.04</v>
      </c>
      <c r="Z343" s="65">
        <v>0.04</v>
      </c>
      <c r="AA343" s="65">
        <v>0.03</v>
      </c>
      <c r="AB343" s="65">
        <v>0.03</v>
      </c>
      <c r="AC343" s="65">
        <v>0.03</v>
      </c>
      <c r="AD343" s="65">
        <v>0.03</v>
      </c>
      <c r="DB343" s="52">
        <f t="shared" ref="DB343:DJ343" si="327">ROUND($DB33*E343,0)</f>
        <v>0</v>
      </c>
      <c r="DC343" s="52">
        <f t="shared" si="327"/>
        <v>0</v>
      </c>
      <c r="DD343" s="52">
        <f t="shared" si="327"/>
        <v>0</v>
      </c>
      <c r="DE343" s="52">
        <f t="shared" si="327"/>
        <v>0</v>
      </c>
      <c r="DF343" s="52">
        <f t="shared" si="327"/>
        <v>0</v>
      </c>
      <c r="DG343" s="52">
        <f t="shared" si="327"/>
        <v>0</v>
      </c>
      <c r="DH343" s="52">
        <f t="shared" si="327"/>
        <v>0</v>
      </c>
      <c r="DI343" s="52">
        <f t="shared" si="327"/>
        <v>0</v>
      </c>
      <c r="DJ343" s="52">
        <f t="shared" si="327"/>
        <v>0</v>
      </c>
    </row>
    <row r="344" ht="15.75" customHeight="1">
      <c r="B344" s="52" t="s">
        <v>1792</v>
      </c>
      <c r="C344" s="52">
        <v>45.0</v>
      </c>
      <c r="D344" s="52">
        <v>0.0</v>
      </c>
      <c r="E344" s="65">
        <v>0.07</v>
      </c>
      <c r="F344" s="65">
        <v>0.07</v>
      </c>
      <c r="G344" s="65">
        <v>0.07</v>
      </c>
      <c r="H344" s="65">
        <v>0.07</v>
      </c>
      <c r="I344" s="65">
        <v>0.07</v>
      </c>
      <c r="J344" s="65">
        <v>0.07</v>
      </c>
      <c r="K344" s="65">
        <v>0.07</v>
      </c>
      <c r="L344" s="65">
        <v>0.07</v>
      </c>
      <c r="M344" s="65">
        <v>0.07</v>
      </c>
      <c r="N344" s="65">
        <v>0.03</v>
      </c>
      <c r="O344" s="65">
        <v>0.03</v>
      </c>
      <c r="P344" s="65">
        <v>0.03</v>
      </c>
      <c r="Q344" s="65">
        <v>0.03</v>
      </c>
      <c r="R344" s="65">
        <v>0.03</v>
      </c>
      <c r="S344" s="65">
        <v>0.03</v>
      </c>
      <c r="T344" s="65">
        <v>0.03</v>
      </c>
      <c r="U344" s="65">
        <v>0.02</v>
      </c>
      <c r="V344" s="65">
        <v>0.02</v>
      </c>
      <c r="W344" s="65">
        <v>0.02</v>
      </c>
      <c r="X344" s="65">
        <v>0.02</v>
      </c>
      <c r="Y344" s="65">
        <v>0.02</v>
      </c>
      <c r="Z344" s="65">
        <v>0.02</v>
      </c>
      <c r="AA344" s="65">
        <v>0.02</v>
      </c>
      <c r="AB344" s="65">
        <v>0.02</v>
      </c>
      <c r="AC344" s="58"/>
      <c r="AD344" s="58"/>
      <c r="DC344" s="52">
        <f t="shared" ref="DC344:DJ344" si="328">ROUND($DC27*E344,0)</f>
        <v>14</v>
      </c>
      <c r="DD344" s="52">
        <f t="shared" si="328"/>
        <v>14</v>
      </c>
      <c r="DE344" s="52">
        <f t="shared" si="328"/>
        <v>14</v>
      </c>
      <c r="DF344" s="52">
        <f t="shared" si="328"/>
        <v>14</v>
      </c>
      <c r="DG344" s="52">
        <f t="shared" si="328"/>
        <v>14</v>
      </c>
      <c r="DH344" s="52">
        <f t="shared" si="328"/>
        <v>14</v>
      </c>
      <c r="DI344" s="52">
        <f t="shared" si="328"/>
        <v>14</v>
      </c>
      <c r="DJ344" s="52">
        <f t="shared" si="328"/>
        <v>14</v>
      </c>
    </row>
    <row r="345" ht="15.75" customHeight="1">
      <c r="B345" s="52" t="s">
        <v>1792</v>
      </c>
      <c r="C345" s="52">
        <v>45.0</v>
      </c>
      <c r="D345" s="52" t="s">
        <v>1785</v>
      </c>
      <c r="E345" s="65">
        <v>0.02</v>
      </c>
      <c r="F345" s="65">
        <v>0.02</v>
      </c>
      <c r="G345" s="65">
        <v>0.02</v>
      </c>
      <c r="H345" s="65">
        <v>0.02</v>
      </c>
      <c r="I345" s="65">
        <v>0.08</v>
      </c>
      <c r="J345" s="65">
        <v>0.08</v>
      </c>
      <c r="K345" s="65">
        <v>0.07</v>
      </c>
      <c r="L345" s="65">
        <v>0.07</v>
      </c>
      <c r="M345" s="65">
        <v>0.06</v>
      </c>
      <c r="N345" s="65">
        <v>0.06</v>
      </c>
      <c r="O345" s="65">
        <v>0.05</v>
      </c>
      <c r="P345" s="65">
        <v>0.05</v>
      </c>
      <c r="Q345" s="65">
        <v>0.05</v>
      </c>
      <c r="R345" s="65">
        <v>0.04</v>
      </c>
      <c r="S345" s="65">
        <v>0.04</v>
      </c>
      <c r="T345" s="65">
        <v>0.04</v>
      </c>
      <c r="U345" s="65">
        <v>0.04</v>
      </c>
      <c r="V345" s="65">
        <v>0.03</v>
      </c>
      <c r="W345" s="65">
        <v>0.03</v>
      </c>
      <c r="X345" s="65">
        <v>0.03</v>
      </c>
      <c r="Y345" s="65">
        <v>0.03</v>
      </c>
      <c r="Z345" s="65">
        <v>0.03</v>
      </c>
      <c r="AA345" s="65">
        <v>0.02</v>
      </c>
      <c r="AB345" s="65">
        <v>0.02</v>
      </c>
      <c r="AC345" s="58"/>
      <c r="AD345" s="58"/>
      <c r="DC345" s="52">
        <f t="shared" ref="DC345:DJ345" si="329">ROUND($DC28*E345,0)</f>
        <v>0</v>
      </c>
      <c r="DD345" s="52">
        <f t="shared" si="329"/>
        <v>0</v>
      </c>
      <c r="DE345" s="52">
        <f t="shared" si="329"/>
        <v>0</v>
      </c>
      <c r="DF345" s="52">
        <f t="shared" si="329"/>
        <v>0</v>
      </c>
      <c r="DG345" s="52">
        <f t="shared" si="329"/>
        <v>2</v>
      </c>
      <c r="DH345" s="52">
        <f t="shared" si="329"/>
        <v>2</v>
      </c>
      <c r="DI345" s="52">
        <f t="shared" si="329"/>
        <v>1</v>
      </c>
      <c r="DJ345" s="52">
        <f t="shared" si="329"/>
        <v>1</v>
      </c>
    </row>
    <row r="346" ht="15.75" customHeight="1">
      <c r="B346" s="52" t="s">
        <v>1792</v>
      </c>
      <c r="C346" s="52">
        <v>45.0</v>
      </c>
      <c r="D346" s="52" t="s">
        <v>1786</v>
      </c>
      <c r="E346" s="58"/>
      <c r="F346" s="58"/>
      <c r="G346" s="58"/>
      <c r="H346" s="65">
        <v>0.08</v>
      </c>
      <c r="I346" s="65">
        <v>0.08</v>
      </c>
      <c r="J346" s="65">
        <v>0.07</v>
      </c>
      <c r="K346" s="65">
        <v>0.07</v>
      </c>
      <c r="L346" s="65">
        <v>0.06</v>
      </c>
      <c r="M346" s="65">
        <v>0.06</v>
      </c>
      <c r="N346" s="65">
        <v>0.05</v>
      </c>
      <c r="O346" s="65">
        <v>0.05</v>
      </c>
      <c r="P346" s="65">
        <v>0.05</v>
      </c>
      <c r="Q346" s="65">
        <v>0.04</v>
      </c>
      <c r="R346" s="65">
        <v>0.04</v>
      </c>
      <c r="S346" s="65">
        <v>0.04</v>
      </c>
      <c r="T346" s="65">
        <v>0.04</v>
      </c>
      <c r="U346" s="65">
        <v>0.03</v>
      </c>
      <c r="V346" s="65">
        <v>0.03</v>
      </c>
      <c r="W346" s="65">
        <v>0.03</v>
      </c>
      <c r="X346" s="65">
        <v>0.03</v>
      </c>
      <c r="Y346" s="65">
        <v>0.03</v>
      </c>
      <c r="Z346" s="65">
        <v>0.02</v>
      </c>
      <c r="AA346" s="65">
        <v>0.02</v>
      </c>
      <c r="AB346" s="65">
        <v>0.03</v>
      </c>
      <c r="AC346" s="65">
        <v>0.03</v>
      </c>
      <c r="AD346" s="65">
        <v>0.02</v>
      </c>
      <c r="DC346" s="52">
        <f t="shared" ref="DC346:DJ346" si="330">ROUND($DC29*E346,0)</f>
        <v>0</v>
      </c>
      <c r="DD346" s="52">
        <f t="shared" si="330"/>
        <v>0</v>
      </c>
      <c r="DE346" s="52">
        <f t="shared" si="330"/>
        <v>0</v>
      </c>
      <c r="DF346" s="52">
        <f t="shared" si="330"/>
        <v>3</v>
      </c>
      <c r="DG346" s="52">
        <f t="shared" si="330"/>
        <v>3</v>
      </c>
      <c r="DH346" s="52">
        <f t="shared" si="330"/>
        <v>3</v>
      </c>
      <c r="DI346" s="52">
        <f t="shared" si="330"/>
        <v>3</v>
      </c>
      <c r="DJ346" s="52">
        <f t="shared" si="330"/>
        <v>2</v>
      </c>
    </row>
    <row r="347" ht="15.75" customHeight="1">
      <c r="B347" s="52" t="s">
        <v>1792</v>
      </c>
      <c r="C347" s="52">
        <v>45.0</v>
      </c>
      <c r="D347" s="52" t="s">
        <v>1787</v>
      </c>
      <c r="E347" s="58"/>
      <c r="F347" s="58"/>
      <c r="G347" s="58"/>
      <c r="H347" s="58"/>
      <c r="I347" s="58"/>
      <c r="J347" s="65">
        <v>0.08</v>
      </c>
      <c r="K347" s="65">
        <v>0.08</v>
      </c>
      <c r="L347" s="65">
        <v>0.07</v>
      </c>
      <c r="M347" s="65">
        <v>0.07</v>
      </c>
      <c r="N347" s="65">
        <v>0.06</v>
      </c>
      <c r="O347" s="65">
        <v>0.06</v>
      </c>
      <c r="P347" s="65">
        <v>0.05</v>
      </c>
      <c r="Q347" s="65">
        <v>0.05</v>
      </c>
      <c r="R347" s="65">
        <v>0.05</v>
      </c>
      <c r="S347" s="65">
        <v>0.04</v>
      </c>
      <c r="T347" s="65">
        <v>0.04</v>
      </c>
      <c r="U347" s="65">
        <v>0.04</v>
      </c>
      <c r="V347" s="65">
        <v>0.04</v>
      </c>
      <c r="W347" s="65">
        <v>0.03</v>
      </c>
      <c r="X347" s="65">
        <v>0.03</v>
      </c>
      <c r="Y347" s="65">
        <v>0.03</v>
      </c>
      <c r="Z347" s="65">
        <v>0.03</v>
      </c>
      <c r="AA347" s="65">
        <v>0.03</v>
      </c>
      <c r="AB347" s="65">
        <v>0.02</v>
      </c>
      <c r="AC347" s="65">
        <v>0.02</v>
      </c>
      <c r="AD347" s="65">
        <v>0.03</v>
      </c>
      <c r="DC347" s="52">
        <f t="shared" ref="DC347:DJ347" si="331">ROUND($DC30*E347,0)</f>
        <v>0</v>
      </c>
      <c r="DD347" s="52">
        <f t="shared" si="331"/>
        <v>0</v>
      </c>
      <c r="DE347" s="52">
        <f t="shared" si="331"/>
        <v>0</v>
      </c>
      <c r="DF347" s="52">
        <f t="shared" si="331"/>
        <v>0</v>
      </c>
      <c r="DG347" s="52">
        <f t="shared" si="331"/>
        <v>0</v>
      </c>
      <c r="DH347" s="52">
        <f t="shared" si="331"/>
        <v>1</v>
      </c>
      <c r="DI347" s="52">
        <f t="shared" si="331"/>
        <v>1</v>
      </c>
      <c r="DJ347" s="52">
        <f t="shared" si="331"/>
        <v>0</v>
      </c>
    </row>
    <row r="348" ht="15.75" customHeight="1">
      <c r="B348" s="52" t="s">
        <v>1792</v>
      </c>
      <c r="C348" s="52">
        <v>45.0</v>
      </c>
      <c r="D348" s="52" t="s">
        <v>1788</v>
      </c>
      <c r="E348" s="58"/>
      <c r="F348" s="58"/>
      <c r="G348" s="58"/>
      <c r="H348" s="58"/>
      <c r="I348" s="58"/>
      <c r="J348" s="58"/>
      <c r="K348" s="65">
        <v>0.08</v>
      </c>
      <c r="L348" s="65">
        <v>0.08</v>
      </c>
      <c r="M348" s="65">
        <v>0.07</v>
      </c>
      <c r="N348" s="65">
        <v>0.07</v>
      </c>
      <c r="O348" s="65">
        <v>0.06</v>
      </c>
      <c r="P348" s="65">
        <v>0.06</v>
      </c>
      <c r="Q348" s="65">
        <v>0.05</v>
      </c>
      <c r="R348" s="65">
        <v>0.05</v>
      </c>
      <c r="S348" s="65">
        <v>0.05</v>
      </c>
      <c r="T348" s="65">
        <v>0.04</v>
      </c>
      <c r="U348" s="65">
        <v>0.04</v>
      </c>
      <c r="V348" s="65">
        <v>0.04</v>
      </c>
      <c r="W348" s="65">
        <v>0.04</v>
      </c>
      <c r="X348" s="65">
        <v>0.03</v>
      </c>
      <c r="Y348" s="65">
        <v>0.03</v>
      </c>
      <c r="Z348" s="65">
        <v>0.03</v>
      </c>
      <c r="AA348" s="65">
        <v>0.03</v>
      </c>
      <c r="AB348" s="65">
        <v>0.03</v>
      </c>
      <c r="AC348" s="65">
        <v>0.02</v>
      </c>
      <c r="AD348" s="65">
        <v>0.02</v>
      </c>
      <c r="DC348" s="52">
        <f t="shared" ref="DC348:DJ348" si="332">ROUND($DC31*E348,0)</f>
        <v>0</v>
      </c>
      <c r="DD348" s="52">
        <f t="shared" si="332"/>
        <v>0</v>
      </c>
      <c r="DE348" s="52">
        <f t="shared" si="332"/>
        <v>0</v>
      </c>
      <c r="DF348" s="52">
        <f t="shared" si="332"/>
        <v>0</v>
      </c>
      <c r="DG348" s="52">
        <f t="shared" si="332"/>
        <v>0</v>
      </c>
      <c r="DH348" s="52">
        <f t="shared" si="332"/>
        <v>0</v>
      </c>
      <c r="DI348" s="52">
        <f t="shared" si="332"/>
        <v>0</v>
      </c>
      <c r="DJ348" s="52">
        <f t="shared" si="332"/>
        <v>0</v>
      </c>
    </row>
    <row r="349" ht="15.75" customHeight="1">
      <c r="B349" s="52" t="s">
        <v>1792</v>
      </c>
      <c r="C349" s="52">
        <v>45.0</v>
      </c>
      <c r="D349" s="52" t="s">
        <v>1789</v>
      </c>
      <c r="E349" s="58"/>
      <c r="F349" s="58"/>
      <c r="G349" s="58"/>
      <c r="H349" s="58"/>
      <c r="I349" s="58"/>
      <c r="J349" s="58"/>
      <c r="K349" s="58"/>
      <c r="L349" s="65">
        <v>0.08</v>
      </c>
      <c r="M349" s="65">
        <v>0.08</v>
      </c>
      <c r="N349" s="65">
        <v>0.07</v>
      </c>
      <c r="O349" s="65">
        <v>0.07</v>
      </c>
      <c r="P349" s="65">
        <v>0.06</v>
      </c>
      <c r="Q349" s="65">
        <v>0.06</v>
      </c>
      <c r="R349" s="65">
        <v>0.05</v>
      </c>
      <c r="S349" s="65">
        <v>0.05</v>
      </c>
      <c r="T349" s="65">
        <v>0.05</v>
      </c>
      <c r="U349" s="65">
        <v>0.04</v>
      </c>
      <c r="V349" s="65">
        <v>0.04</v>
      </c>
      <c r="W349" s="65">
        <v>0.04</v>
      </c>
      <c r="X349" s="65">
        <v>0.04</v>
      </c>
      <c r="Y349" s="65">
        <v>0.03</v>
      </c>
      <c r="Z349" s="65">
        <v>0.03</v>
      </c>
      <c r="AA349" s="65">
        <v>0.03</v>
      </c>
      <c r="AB349" s="65">
        <v>0.03</v>
      </c>
      <c r="AC349" s="65">
        <v>0.03</v>
      </c>
      <c r="AD349" s="65">
        <v>0.02</v>
      </c>
      <c r="DC349" s="52">
        <f t="shared" ref="DC349:DJ349" si="333">ROUND($DC32*E349,0)</f>
        <v>0</v>
      </c>
      <c r="DD349" s="52">
        <f t="shared" si="333"/>
        <v>0</v>
      </c>
      <c r="DE349" s="52">
        <f t="shared" si="333"/>
        <v>0</v>
      </c>
      <c r="DF349" s="52">
        <f t="shared" si="333"/>
        <v>0</v>
      </c>
      <c r="DG349" s="52">
        <f t="shared" si="333"/>
        <v>0</v>
      </c>
      <c r="DH349" s="52">
        <f t="shared" si="333"/>
        <v>0</v>
      </c>
      <c r="DI349" s="52">
        <f t="shared" si="333"/>
        <v>0</v>
      </c>
      <c r="DJ349" s="52">
        <f t="shared" si="333"/>
        <v>1</v>
      </c>
    </row>
    <row r="350" ht="15.75" customHeight="1">
      <c r="B350" s="52" t="s">
        <v>1792</v>
      </c>
      <c r="C350" s="52">
        <v>45.0</v>
      </c>
      <c r="D350" s="52" t="s">
        <v>1790</v>
      </c>
      <c r="E350" s="58"/>
      <c r="F350" s="58"/>
      <c r="G350" s="58"/>
      <c r="H350" s="58"/>
      <c r="I350" s="58"/>
      <c r="J350" s="58"/>
      <c r="K350" s="58"/>
      <c r="L350" s="58"/>
      <c r="M350" s="58"/>
      <c r="N350" s="65">
        <v>0.08</v>
      </c>
      <c r="O350" s="65">
        <v>0.08</v>
      </c>
      <c r="P350" s="65">
        <v>0.07</v>
      </c>
      <c r="Q350" s="65">
        <v>0.07</v>
      </c>
      <c r="R350" s="65">
        <v>0.06</v>
      </c>
      <c r="S350" s="65">
        <v>0.06</v>
      </c>
      <c r="T350" s="65">
        <v>0.05</v>
      </c>
      <c r="U350" s="65">
        <v>0.05</v>
      </c>
      <c r="V350" s="65">
        <v>0.05</v>
      </c>
      <c r="W350" s="65">
        <v>0.04</v>
      </c>
      <c r="X350" s="65">
        <v>0.04</v>
      </c>
      <c r="Y350" s="65">
        <v>0.04</v>
      </c>
      <c r="Z350" s="65">
        <v>0.04</v>
      </c>
      <c r="AA350" s="65">
        <v>0.03</v>
      </c>
      <c r="AB350" s="65">
        <v>0.03</v>
      </c>
      <c r="AC350" s="65">
        <v>0.03</v>
      </c>
      <c r="AD350" s="65">
        <v>0.03</v>
      </c>
      <c r="DC350" s="52">
        <f t="shared" ref="DC350:DJ350" si="334">ROUND($DC33*E350,0)</f>
        <v>0</v>
      </c>
      <c r="DD350" s="52">
        <f t="shared" si="334"/>
        <v>0</v>
      </c>
      <c r="DE350" s="52">
        <f t="shared" si="334"/>
        <v>0</v>
      </c>
      <c r="DF350" s="52">
        <f t="shared" si="334"/>
        <v>0</v>
      </c>
      <c r="DG350" s="52">
        <f t="shared" si="334"/>
        <v>0</v>
      </c>
      <c r="DH350" s="52">
        <f t="shared" si="334"/>
        <v>0</v>
      </c>
      <c r="DI350" s="52">
        <f t="shared" si="334"/>
        <v>0</v>
      </c>
      <c r="DJ350" s="52">
        <f t="shared" si="334"/>
        <v>0</v>
      </c>
    </row>
    <row r="351" ht="15.75" customHeight="1">
      <c r="B351" s="52" t="s">
        <v>1792</v>
      </c>
      <c r="C351" s="52">
        <v>46.0</v>
      </c>
      <c r="D351" s="52">
        <v>0.0</v>
      </c>
      <c r="E351" s="65">
        <v>0.07</v>
      </c>
      <c r="F351" s="65">
        <v>0.07</v>
      </c>
      <c r="G351" s="65">
        <v>0.07</v>
      </c>
      <c r="H351" s="65">
        <v>0.07</v>
      </c>
      <c r="I351" s="65">
        <v>0.07</v>
      </c>
      <c r="J351" s="65">
        <v>0.07</v>
      </c>
      <c r="K351" s="65">
        <v>0.07</v>
      </c>
      <c r="L351" s="65">
        <v>0.07</v>
      </c>
      <c r="M351" s="65">
        <v>0.07</v>
      </c>
      <c r="N351" s="65">
        <v>0.03</v>
      </c>
      <c r="O351" s="65">
        <v>0.03</v>
      </c>
      <c r="P351" s="65">
        <v>0.03</v>
      </c>
      <c r="Q351" s="65">
        <v>0.03</v>
      </c>
      <c r="R351" s="65">
        <v>0.03</v>
      </c>
      <c r="S351" s="65">
        <v>0.03</v>
      </c>
      <c r="T351" s="65">
        <v>0.03</v>
      </c>
      <c r="U351" s="65">
        <v>0.02</v>
      </c>
      <c r="V351" s="65">
        <v>0.02</v>
      </c>
      <c r="W351" s="65">
        <v>0.02</v>
      </c>
      <c r="X351" s="65">
        <v>0.02</v>
      </c>
      <c r="Y351" s="65">
        <v>0.02</v>
      </c>
      <c r="Z351" s="65">
        <v>0.02</v>
      </c>
      <c r="AA351" s="65">
        <v>0.02</v>
      </c>
      <c r="AB351" s="65">
        <v>0.02</v>
      </c>
      <c r="AC351" s="58"/>
      <c r="AD351" s="58"/>
      <c r="DD351" s="52">
        <f t="shared" ref="DD351:DJ351" si="335">ROUND($DD27*E351,0)</f>
        <v>7</v>
      </c>
      <c r="DE351" s="52">
        <f t="shared" si="335"/>
        <v>7</v>
      </c>
      <c r="DF351" s="52">
        <f t="shared" si="335"/>
        <v>7</v>
      </c>
      <c r="DG351" s="52">
        <f t="shared" si="335"/>
        <v>7</v>
      </c>
      <c r="DH351" s="52">
        <f t="shared" si="335"/>
        <v>7</v>
      </c>
      <c r="DI351" s="52">
        <f t="shared" si="335"/>
        <v>7</v>
      </c>
      <c r="DJ351" s="52">
        <f t="shared" si="335"/>
        <v>7</v>
      </c>
    </row>
    <row r="352" ht="15.75" customHeight="1">
      <c r="B352" s="52" t="s">
        <v>1792</v>
      </c>
      <c r="C352" s="52">
        <v>46.0</v>
      </c>
      <c r="D352" s="52" t="s">
        <v>1785</v>
      </c>
      <c r="E352" s="65">
        <v>0.02</v>
      </c>
      <c r="F352" s="65">
        <v>0.02</v>
      </c>
      <c r="G352" s="65">
        <v>0.02</v>
      </c>
      <c r="H352" s="65">
        <v>0.02</v>
      </c>
      <c r="I352" s="65">
        <v>0.08</v>
      </c>
      <c r="J352" s="65">
        <v>0.08</v>
      </c>
      <c r="K352" s="65">
        <v>0.07</v>
      </c>
      <c r="L352" s="65">
        <v>0.07</v>
      </c>
      <c r="M352" s="65">
        <v>0.06</v>
      </c>
      <c r="N352" s="65">
        <v>0.06</v>
      </c>
      <c r="O352" s="65">
        <v>0.05</v>
      </c>
      <c r="P352" s="65">
        <v>0.05</v>
      </c>
      <c r="Q352" s="65">
        <v>0.05</v>
      </c>
      <c r="R352" s="65">
        <v>0.04</v>
      </c>
      <c r="S352" s="65">
        <v>0.04</v>
      </c>
      <c r="T352" s="65">
        <v>0.04</v>
      </c>
      <c r="U352" s="65">
        <v>0.04</v>
      </c>
      <c r="V352" s="65">
        <v>0.03</v>
      </c>
      <c r="W352" s="65">
        <v>0.03</v>
      </c>
      <c r="X352" s="65">
        <v>0.03</v>
      </c>
      <c r="Y352" s="65">
        <v>0.03</v>
      </c>
      <c r="Z352" s="65">
        <v>0.03</v>
      </c>
      <c r="AA352" s="65">
        <v>0.02</v>
      </c>
      <c r="AB352" s="65">
        <v>0.02</v>
      </c>
      <c r="AC352" s="58"/>
      <c r="AD352" s="58"/>
      <c r="DD352" s="52">
        <f t="shared" ref="DD352:DJ352" si="336">ROUND($DD28*E352,0)</f>
        <v>0</v>
      </c>
      <c r="DE352" s="52">
        <f t="shared" si="336"/>
        <v>0</v>
      </c>
      <c r="DF352" s="52">
        <f t="shared" si="336"/>
        <v>0</v>
      </c>
      <c r="DG352" s="52">
        <f t="shared" si="336"/>
        <v>0</v>
      </c>
      <c r="DH352" s="52">
        <f t="shared" si="336"/>
        <v>1</v>
      </c>
      <c r="DI352" s="52">
        <f t="shared" si="336"/>
        <v>1</v>
      </c>
      <c r="DJ352" s="52">
        <f t="shared" si="336"/>
        <v>1</v>
      </c>
    </row>
    <row r="353" ht="15.75" customHeight="1">
      <c r="B353" s="52" t="s">
        <v>1792</v>
      </c>
      <c r="C353" s="52">
        <v>46.0</v>
      </c>
      <c r="D353" s="52" t="s">
        <v>1786</v>
      </c>
      <c r="E353" s="58"/>
      <c r="F353" s="58"/>
      <c r="G353" s="58"/>
      <c r="H353" s="65">
        <v>0.08</v>
      </c>
      <c r="I353" s="65">
        <v>0.08</v>
      </c>
      <c r="J353" s="65">
        <v>0.07</v>
      </c>
      <c r="K353" s="65">
        <v>0.07</v>
      </c>
      <c r="L353" s="65">
        <v>0.06</v>
      </c>
      <c r="M353" s="65">
        <v>0.06</v>
      </c>
      <c r="N353" s="65">
        <v>0.05</v>
      </c>
      <c r="O353" s="65">
        <v>0.05</v>
      </c>
      <c r="P353" s="65">
        <v>0.05</v>
      </c>
      <c r="Q353" s="65">
        <v>0.04</v>
      </c>
      <c r="R353" s="65">
        <v>0.04</v>
      </c>
      <c r="S353" s="65">
        <v>0.04</v>
      </c>
      <c r="T353" s="65">
        <v>0.04</v>
      </c>
      <c r="U353" s="65">
        <v>0.03</v>
      </c>
      <c r="V353" s="65">
        <v>0.03</v>
      </c>
      <c r="W353" s="65">
        <v>0.03</v>
      </c>
      <c r="X353" s="65">
        <v>0.03</v>
      </c>
      <c r="Y353" s="65">
        <v>0.03</v>
      </c>
      <c r="Z353" s="65">
        <v>0.02</v>
      </c>
      <c r="AA353" s="65">
        <v>0.02</v>
      </c>
      <c r="AB353" s="65">
        <v>0.03</v>
      </c>
      <c r="AC353" s="65">
        <v>0.03</v>
      </c>
      <c r="AD353" s="65">
        <v>0.02</v>
      </c>
      <c r="DD353" s="52">
        <f t="shared" ref="DD353:DJ353" si="337">ROUND($DD29*E353,0)</f>
        <v>0</v>
      </c>
      <c r="DE353" s="52">
        <f t="shared" si="337"/>
        <v>0</v>
      </c>
      <c r="DF353" s="52">
        <f t="shared" si="337"/>
        <v>0</v>
      </c>
      <c r="DG353" s="52">
        <f t="shared" si="337"/>
        <v>1</v>
      </c>
      <c r="DH353" s="52">
        <f t="shared" si="337"/>
        <v>1</v>
      </c>
      <c r="DI353" s="52">
        <f t="shared" si="337"/>
        <v>1</v>
      </c>
      <c r="DJ353" s="52">
        <f t="shared" si="337"/>
        <v>1</v>
      </c>
    </row>
    <row r="354" ht="15.75" customHeight="1">
      <c r="B354" s="52" t="s">
        <v>1792</v>
      </c>
      <c r="C354" s="52">
        <v>46.0</v>
      </c>
      <c r="D354" s="52" t="s">
        <v>1787</v>
      </c>
      <c r="E354" s="58"/>
      <c r="F354" s="58"/>
      <c r="G354" s="58"/>
      <c r="H354" s="58"/>
      <c r="I354" s="58"/>
      <c r="J354" s="65">
        <v>0.08</v>
      </c>
      <c r="K354" s="65">
        <v>0.08</v>
      </c>
      <c r="L354" s="65">
        <v>0.07</v>
      </c>
      <c r="M354" s="65">
        <v>0.07</v>
      </c>
      <c r="N354" s="65">
        <v>0.06</v>
      </c>
      <c r="O354" s="65">
        <v>0.06</v>
      </c>
      <c r="P354" s="65">
        <v>0.05</v>
      </c>
      <c r="Q354" s="65">
        <v>0.05</v>
      </c>
      <c r="R354" s="65">
        <v>0.05</v>
      </c>
      <c r="S354" s="65">
        <v>0.04</v>
      </c>
      <c r="T354" s="65">
        <v>0.04</v>
      </c>
      <c r="U354" s="65">
        <v>0.04</v>
      </c>
      <c r="V354" s="65">
        <v>0.04</v>
      </c>
      <c r="W354" s="65">
        <v>0.03</v>
      </c>
      <c r="X354" s="65">
        <v>0.03</v>
      </c>
      <c r="Y354" s="65">
        <v>0.03</v>
      </c>
      <c r="Z354" s="65">
        <v>0.03</v>
      </c>
      <c r="AA354" s="65">
        <v>0.03</v>
      </c>
      <c r="AB354" s="65">
        <v>0.02</v>
      </c>
      <c r="AC354" s="65">
        <v>0.02</v>
      </c>
      <c r="AD354" s="65">
        <v>0.03</v>
      </c>
      <c r="DD354" s="52">
        <f t="shared" ref="DD354:DJ354" si="338">ROUND($DD30*E354,0)</f>
        <v>0</v>
      </c>
      <c r="DE354" s="52">
        <f t="shared" si="338"/>
        <v>0</v>
      </c>
      <c r="DF354" s="52">
        <f t="shared" si="338"/>
        <v>0</v>
      </c>
      <c r="DG354" s="52">
        <f t="shared" si="338"/>
        <v>0</v>
      </c>
      <c r="DH354" s="52">
        <f t="shared" si="338"/>
        <v>0</v>
      </c>
      <c r="DI354" s="52">
        <f t="shared" si="338"/>
        <v>0</v>
      </c>
      <c r="DJ354" s="52">
        <f t="shared" si="338"/>
        <v>0</v>
      </c>
    </row>
    <row r="355" ht="15.75" customHeight="1">
      <c r="B355" s="52" t="s">
        <v>1792</v>
      </c>
      <c r="C355" s="52">
        <v>46.0</v>
      </c>
      <c r="D355" s="52" t="s">
        <v>1788</v>
      </c>
      <c r="E355" s="58"/>
      <c r="F355" s="58"/>
      <c r="G355" s="58"/>
      <c r="H355" s="58"/>
      <c r="I355" s="58"/>
      <c r="J355" s="58"/>
      <c r="K355" s="65">
        <v>0.08</v>
      </c>
      <c r="L355" s="65">
        <v>0.08</v>
      </c>
      <c r="M355" s="65">
        <v>0.07</v>
      </c>
      <c r="N355" s="65">
        <v>0.07</v>
      </c>
      <c r="O355" s="65">
        <v>0.06</v>
      </c>
      <c r="P355" s="65">
        <v>0.06</v>
      </c>
      <c r="Q355" s="65">
        <v>0.05</v>
      </c>
      <c r="R355" s="65">
        <v>0.05</v>
      </c>
      <c r="S355" s="65">
        <v>0.05</v>
      </c>
      <c r="T355" s="65">
        <v>0.04</v>
      </c>
      <c r="U355" s="65">
        <v>0.04</v>
      </c>
      <c r="V355" s="65">
        <v>0.04</v>
      </c>
      <c r="W355" s="65">
        <v>0.04</v>
      </c>
      <c r="X355" s="65">
        <v>0.03</v>
      </c>
      <c r="Y355" s="65">
        <v>0.03</v>
      </c>
      <c r="Z355" s="65">
        <v>0.03</v>
      </c>
      <c r="AA355" s="65">
        <v>0.03</v>
      </c>
      <c r="AB355" s="65">
        <v>0.03</v>
      </c>
      <c r="AC355" s="65">
        <v>0.02</v>
      </c>
      <c r="AD355" s="65">
        <v>0.02</v>
      </c>
      <c r="DD355" s="52">
        <f t="shared" ref="DD355:DJ355" si="339">ROUND($DD31*E355,0)</f>
        <v>0</v>
      </c>
      <c r="DE355" s="52">
        <f t="shared" si="339"/>
        <v>0</v>
      </c>
      <c r="DF355" s="52">
        <f t="shared" si="339"/>
        <v>0</v>
      </c>
      <c r="DG355" s="52">
        <f t="shared" si="339"/>
        <v>0</v>
      </c>
      <c r="DH355" s="52">
        <f t="shared" si="339"/>
        <v>0</v>
      </c>
      <c r="DI355" s="52">
        <f t="shared" si="339"/>
        <v>0</v>
      </c>
      <c r="DJ355" s="52">
        <f t="shared" si="339"/>
        <v>0</v>
      </c>
    </row>
    <row r="356" ht="15.75" customHeight="1">
      <c r="B356" s="52" t="s">
        <v>1792</v>
      </c>
      <c r="C356" s="52">
        <v>46.0</v>
      </c>
      <c r="D356" s="52" t="s">
        <v>1789</v>
      </c>
      <c r="E356" s="58"/>
      <c r="F356" s="58"/>
      <c r="G356" s="58"/>
      <c r="H356" s="58"/>
      <c r="I356" s="58"/>
      <c r="J356" s="58"/>
      <c r="K356" s="58"/>
      <c r="L356" s="65">
        <v>0.08</v>
      </c>
      <c r="M356" s="65">
        <v>0.08</v>
      </c>
      <c r="N356" s="65">
        <v>0.07</v>
      </c>
      <c r="O356" s="65">
        <v>0.07</v>
      </c>
      <c r="P356" s="65">
        <v>0.06</v>
      </c>
      <c r="Q356" s="65">
        <v>0.06</v>
      </c>
      <c r="R356" s="65">
        <v>0.05</v>
      </c>
      <c r="S356" s="65">
        <v>0.05</v>
      </c>
      <c r="T356" s="65">
        <v>0.05</v>
      </c>
      <c r="U356" s="65">
        <v>0.04</v>
      </c>
      <c r="V356" s="65">
        <v>0.04</v>
      </c>
      <c r="W356" s="65">
        <v>0.04</v>
      </c>
      <c r="X356" s="65">
        <v>0.04</v>
      </c>
      <c r="Y356" s="65">
        <v>0.03</v>
      </c>
      <c r="Z356" s="65">
        <v>0.03</v>
      </c>
      <c r="AA356" s="65">
        <v>0.03</v>
      </c>
      <c r="AB356" s="65">
        <v>0.03</v>
      </c>
      <c r="AC356" s="65">
        <v>0.03</v>
      </c>
      <c r="AD356" s="65">
        <v>0.02</v>
      </c>
      <c r="DD356" s="52">
        <f t="shared" ref="DD356:DJ356" si="340">ROUND($DD32*E356,0)</f>
        <v>0</v>
      </c>
      <c r="DE356" s="52">
        <f t="shared" si="340"/>
        <v>0</v>
      </c>
      <c r="DF356" s="52">
        <f t="shared" si="340"/>
        <v>0</v>
      </c>
      <c r="DG356" s="52">
        <f t="shared" si="340"/>
        <v>0</v>
      </c>
      <c r="DH356" s="52">
        <f t="shared" si="340"/>
        <v>0</v>
      </c>
      <c r="DI356" s="52">
        <f t="shared" si="340"/>
        <v>0</v>
      </c>
      <c r="DJ356" s="52">
        <f t="shared" si="340"/>
        <v>0</v>
      </c>
    </row>
    <row r="357" ht="15.75" customHeight="1">
      <c r="B357" s="52" t="s">
        <v>1792</v>
      </c>
      <c r="C357" s="52">
        <v>46.0</v>
      </c>
      <c r="D357" s="52" t="s">
        <v>1790</v>
      </c>
      <c r="E357" s="58"/>
      <c r="F357" s="58"/>
      <c r="G357" s="58"/>
      <c r="H357" s="58"/>
      <c r="I357" s="58"/>
      <c r="J357" s="58"/>
      <c r="K357" s="58"/>
      <c r="L357" s="58"/>
      <c r="M357" s="58"/>
      <c r="N357" s="65">
        <v>0.08</v>
      </c>
      <c r="O357" s="65">
        <v>0.08</v>
      </c>
      <c r="P357" s="65">
        <v>0.07</v>
      </c>
      <c r="Q357" s="65">
        <v>0.07</v>
      </c>
      <c r="R357" s="65">
        <v>0.06</v>
      </c>
      <c r="S357" s="65">
        <v>0.06</v>
      </c>
      <c r="T357" s="65">
        <v>0.05</v>
      </c>
      <c r="U357" s="65">
        <v>0.05</v>
      </c>
      <c r="V357" s="65">
        <v>0.05</v>
      </c>
      <c r="W357" s="65">
        <v>0.04</v>
      </c>
      <c r="X357" s="65">
        <v>0.04</v>
      </c>
      <c r="Y357" s="65">
        <v>0.04</v>
      </c>
      <c r="Z357" s="65">
        <v>0.04</v>
      </c>
      <c r="AA357" s="65">
        <v>0.03</v>
      </c>
      <c r="AB357" s="65">
        <v>0.03</v>
      </c>
      <c r="AC357" s="65">
        <v>0.03</v>
      </c>
      <c r="AD357" s="65">
        <v>0.03</v>
      </c>
      <c r="DD357" s="52">
        <f t="shared" ref="DD357:DJ357" si="341">ROUND($DD33*E357,0)</f>
        <v>0</v>
      </c>
      <c r="DE357" s="52">
        <f t="shared" si="341"/>
        <v>0</v>
      </c>
      <c r="DF357" s="52">
        <f t="shared" si="341"/>
        <v>0</v>
      </c>
      <c r="DG357" s="52">
        <f t="shared" si="341"/>
        <v>0</v>
      </c>
      <c r="DH357" s="52">
        <f t="shared" si="341"/>
        <v>0</v>
      </c>
      <c r="DI357" s="52">
        <f t="shared" si="341"/>
        <v>0</v>
      </c>
      <c r="DJ357" s="52">
        <f t="shared" si="341"/>
        <v>0</v>
      </c>
    </row>
    <row r="358" ht="15.75" customHeight="1">
      <c r="B358" s="52" t="s">
        <v>1792</v>
      </c>
      <c r="C358" s="52">
        <v>47.0</v>
      </c>
      <c r="D358" s="52">
        <v>0.0</v>
      </c>
      <c r="E358" s="65">
        <v>0.07</v>
      </c>
      <c r="F358" s="65">
        <v>0.07</v>
      </c>
      <c r="G358" s="65">
        <v>0.07</v>
      </c>
      <c r="H358" s="65">
        <v>0.07</v>
      </c>
      <c r="I358" s="65">
        <v>0.07</v>
      </c>
      <c r="J358" s="65">
        <v>0.07</v>
      </c>
      <c r="K358" s="65">
        <v>0.07</v>
      </c>
      <c r="L358" s="65">
        <v>0.07</v>
      </c>
      <c r="M358" s="65">
        <v>0.07</v>
      </c>
      <c r="N358" s="65">
        <v>0.03</v>
      </c>
      <c r="O358" s="65">
        <v>0.03</v>
      </c>
      <c r="P358" s="65">
        <v>0.03</v>
      </c>
      <c r="Q358" s="65">
        <v>0.03</v>
      </c>
      <c r="R358" s="65">
        <v>0.03</v>
      </c>
      <c r="S358" s="65">
        <v>0.03</v>
      </c>
      <c r="T358" s="65">
        <v>0.03</v>
      </c>
      <c r="U358" s="65">
        <v>0.02</v>
      </c>
      <c r="V358" s="65">
        <v>0.02</v>
      </c>
      <c r="W358" s="65">
        <v>0.02</v>
      </c>
      <c r="X358" s="65">
        <v>0.02</v>
      </c>
      <c r="Y358" s="65">
        <v>0.02</v>
      </c>
      <c r="Z358" s="65">
        <v>0.02</v>
      </c>
      <c r="AA358" s="65">
        <v>0.02</v>
      </c>
      <c r="AB358" s="65">
        <v>0.02</v>
      </c>
      <c r="AC358" s="58"/>
      <c r="AD358" s="58"/>
      <c r="DE358" s="52">
        <f t="shared" ref="DE358:DJ358" si="342">ROUND($DE27*E358,0)</f>
        <v>7</v>
      </c>
      <c r="DF358" s="52">
        <f t="shared" si="342"/>
        <v>7</v>
      </c>
      <c r="DG358" s="52">
        <f t="shared" si="342"/>
        <v>7</v>
      </c>
      <c r="DH358" s="52">
        <f t="shared" si="342"/>
        <v>7</v>
      </c>
      <c r="DI358" s="52">
        <f t="shared" si="342"/>
        <v>7</v>
      </c>
      <c r="DJ358" s="52">
        <f t="shared" si="342"/>
        <v>7</v>
      </c>
    </row>
    <row r="359" ht="15.75" customHeight="1">
      <c r="B359" s="52" t="s">
        <v>1792</v>
      </c>
      <c r="C359" s="52">
        <v>47.0</v>
      </c>
      <c r="D359" s="52" t="s">
        <v>1785</v>
      </c>
      <c r="E359" s="65">
        <v>0.02</v>
      </c>
      <c r="F359" s="65">
        <v>0.02</v>
      </c>
      <c r="G359" s="65">
        <v>0.02</v>
      </c>
      <c r="H359" s="65">
        <v>0.02</v>
      </c>
      <c r="I359" s="65">
        <v>0.08</v>
      </c>
      <c r="J359" s="65">
        <v>0.08</v>
      </c>
      <c r="K359" s="65">
        <v>0.07</v>
      </c>
      <c r="L359" s="65">
        <v>0.07</v>
      </c>
      <c r="M359" s="65">
        <v>0.06</v>
      </c>
      <c r="N359" s="65">
        <v>0.06</v>
      </c>
      <c r="O359" s="65">
        <v>0.05</v>
      </c>
      <c r="P359" s="65">
        <v>0.05</v>
      </c>
      <c r="Q359" s="65">
        <v>0.05</v>
      </c>
      <c r="R359" s="65">
        <v>0.04</v>
      </c>
      <c r="S359" s="65">
        <v>0.04</v>
      </c>
      <c r="T359" s="65">
        <v>0.04</v>
      </c>
      <c r="U359" s="65">
        <v>0.04</v>
      </c>
      <c r="V359" s="65">
        <v>0.03</v>
      </c>
      <c r="W359" s="65">
        <v>0.03</v>
      </c>
      <c r="X359" s="65">
        <v>0.03</v>
      </c>
      <c r="Y359" s="65">
        <v>0.03</v>
      </c>
      <c r="Z359" s="65">
        <v>0.03</v>
      </c>
      <c r="AA359" s="65">
        <v>0.02</v>
      </c>
      <c r="AB359" s="65">
        <v>0.02</v>
      </c>
      <c r="AC359" s="58"/>
      <c r="AD359" s="58"/>
      <c r="DE359" s="52">
        <f t="shared" ref="DE359:DJ359" si="343">ROUND($DE28*E359,0)</f>
        <v>0</v>
      </c>
      <c r="DF359" s="52">
        <f t="shared" si="343"/>
        <v>0</v>
      </c>
      <c r="DG359" s="52">
        <f t="shared" si="343"/>
        <v>0</v>
      </c>
      <c r="DH359" s="52">
        <f t="shared" si="343"/>
        <v>0</v>
      </c>
      <c r="DI359" s="52">
        <f t="shared" si="343"/>
        <v>1</v>
      </c>
      <c r="DJ359" s="52">
        <f t="shared" si="343"/>
        <v>1</v>
      </c>
    </row>
    <row r="360" ht="15.75" customHeight="1">
      <c r="B360" s="52" t="s">
        <v>1792</v>
      </c>
      <c r="C360" s="52">
        <v>47.0</v>
      </c>
      <c r="D360" s="52" t="s">
        <v>1786</v>
      </c>
      <c r="E360" s="58"/>
      <c r="F360" s="58"/>
      <c r="G360" s="58"/>
      <c r="H360" s="65">
        <v>0.08</v>
      </c>
      <c r="I360" s="65">
        <v>0.08</v>
      </c>
      <c r="J360" s="65">
        <v>0.07</v>
      </c>
      <c r="K360" s="65">
        <v>0.07</v>
      </c>
      <c r="L360" s="65">
        <v>0.06</v>
      </c>
      <c r="M360" s="65">
        <v>0.06</v>
      </c>
      <c r="N360" s="65">
        <v>0.05</v>
      </c>
      <c r="O360" s="65">
        <v>0.05</v>
      </c>
      <c r="P360" s="65">
        <v>0.05</v>
      </c>
      <c r="Q360" s="65">
        <v>0.04</v>
      </c>
      <c r="R360" s="65">
        <v>0.04</v>
      </c>
      <c r="S360" s="65">
        <v>0.04</v>
      </c>
      <c r="T360" s="65">
        <v>0.04</v>
      </c>
      <c r="U360" s="65">
        <v>0.03</v>
      </c>
      <c r="V360" s="65">
        <v>0.03</v>
      </c>
      <c r="W360" s="65">
        <v>0.03</v>
      </c>
      <c r="X360" s="65">
        <v>0.03</v>
      </c>
      <c r="Y360" s="65">
        <v>0.03</v>
      </c>
      <c r="Z360" s="65">
        <v>0.02</v>
      </c>
      <c r="AA360" s="65">
        <v>0.02</v>
      </c>
      <c r="AB360" s="65">
        <v>0.03</v>
      </c>
      <c r="AC360" s="65">
        <v>0.03</v>
      </c>
      <c r="AD360" s="65">
        <v>0.02</v>
      </c>
      <c r="DE360" s="52">
        <f t="shared" ref="DE360:DJ360" si="344">ROUND($DE29*E360,0)</f>
        <v>0</v>
      </c>
      <c r="DF360" s="52">
        <f t="shared" si="344"/>
        <v>0</v>
      </c>
      <c r="DG360" s="52">
        <f t="shared" si="344"/>
        <v>0</v>
      </c>
      <c r="DH360" s="52">
        <f t="shared" si="344"/>
        <v>1</v>
      </c>
      <c r="DI360" s="52">
        <f t="shared" si="344"/>
        <v>1</v>
      </c>
      <c r="DJ360" s="52">
        <f t="shared" si="344"/>
        <v>1</v>
      </c>
    </row>
    <row r="361" ht="15.75" customHeight="1">
      <c r="B361" s="52" t="s">
        <v>1792</v>
      </c>
      <c r="C361" s="52">
        <v>47.0</v>
      </c>
      <c r="D361" s="52" t="s">
        <v>1787</v>
      </c>
      <c r="E361" s="58"/>
      <c r="F361" s="58"/>
      <c r="G361" s="58"/>
      <c r="H361" s="58"/>
      <c r="I361" s="58"/>
      <c r="J361" s="65">
        <v>0.08</v>
      </c>
      <c r="K361" s="65">
        <v>0.08</v>
      </c>
      <c r="L361" s="65">
        <v>0.07</v>
      </c>
      <c r="M361" s="65">
        <v>0.07</v>
      </c>
      <c r="N361" s="65">
        <v>0.06</v>
      </c>
      <c r="O361" s="65">
        <v>0.06</v>
      </c>
      <c r="P361" s="65">
        <v>0.05</v>
      </c>
      <c r="Q361" s="65">
        <v>0.05</v>
      </c>
      <c r="R361" s="65">
        <v>0.05</v>
      </c>
      <c r="S361" s="65">
        <v>0.04</v>
      </c>
      <c r="T361" s="65">
        <v>0.04</v>
      </c>
      <c r="U361" s="65">
        <v>0.04</v>
      </c>
      <c r="V361" s="65">
        <v>0.04</v>
      </c>
      <c r="W361" s="65">
        <v>0.03</v>
      </c>
      <c r="X361" s="65">
        <v>0.03</v>
      </c>
      <c r="Y361" s="65">
        <v>0.03</v>
      </c>
      <c r="Z361" s="65">
        <v>0.03</v>
      </c>
      <c r="AA361" s="65">
        <v>0.03</v>
      </c>
      <c r="AB361" s="65">
        <v>0.02</v>
      </c>
      <c r="AC361" s="65">
        <v>0.02</v>
      </c>
      <c r="AD361" s="65">
        <v>0.03</v>
      </c>
      <c r="DE361" s="52">
        <f t="shared" ref="DE361:DJ361" si="345">ROUND($DE30*E361,0)</f>
        <v>0</v>
      </c>
      <c r="DF361" s="52">
        <f t="shared" si="345"/>
        <v>0</v>
      </c>
      <c r="DG361" s="52">
        <f t="shared" si="345"/>
        <v>0</v>
      </c>
      <c r="DH361" s="52">
        <f t="shared" si="345"/>
        <v>0</v>
      </c>
      <c r="DI361" s="52">
        <f t="shared" si="345"/>
        <v>0</v>
      </c>
      <c r="DJ361" s="52">
        <f t="shared" si="345"/>
        <v>0</v>
      </c>
    </row>
    <row r="362" ht="15.75" customHeight="1">
      <c r="B362" s="52" t="s">
        <v>1792</v>
      </c>
      <c r="C362" s="52">
        <v>47.0</v>
      </c>
      <c r="D362" s="52" t="s">
        <v>1788</v>
      </c>
      <c r="E362" s="58"/>
      <c r="F362" s="58"/>
      <c r="G362" s="58"/>
      <c r="H362" s="58"/>
      <c r="I362" s="58"/>
      <c r="J362" s="58"/>
      <c r="K362" s="65">
        <v>0.08</v>
      </c>
      <c r="L362" s="65">
        <v>0.08</v>
      </c>
      <c r="M362" s="65">
        <v>0.07</v>
      </c>
      <c r="N362" s="65">
        <v>0.07</v>
      </c>
      <c r="O362" s="65">
        <v>0.06</v>
      </c>
      <c r="P362" s="65">
        <v>0.06</v>
      </c>
      <c r="Q362" s="65">
        <v>0.05</v>
      </c>
      <c r="R362" s="65">
        <v>0.05</v>
      </c>
      <c r="S362" s="65">
        <v>0.05</v>
      </c>
      <c r="T362" s="65">
        <v>0.04</v>
      </c>
      <c r="U362" s="65">
        <v>0.04</v>
      </c>
      <c r="V362" s="65">
        <v>0.04</v>
      </c>
      <c r="W362" s="65">
        <v>0.04</v>
      </c>
      <c r="X362" s="65">
        <v>0.03</v>
      </c>
      <c r="Y362" s="65">
        <v>0.03</v>
      </c>
      <c r="Z362" s="65">
        <v>0.03</v>
      </c>
      <c r="AA362" s="65">
        <v>0.03</v>
      </c>
      <c r="AB362" s="65">
        <v>0.03</v>
      </c>
      <c r="AC362" s="65">
        <v>0.02</v>
      </c>
      <c r="AD362" s="65">
        <v>0.02</v>
      </c>
      <c r="DE362" s="52">
        <f t="shared" ref="DE362:DJ362" si="346">ROUND($DE31*E362,0)</f>
        <v>0</v>
      </c>
      <c r="DF362" s="52">
        <f t="shared" si="346"/>
        <v>0</v>
      </c>
      <c r="DG362" s="52">
        <f t="shared" si="346"/>
        <v>0</v>
      </c>
      <c r="DH362" s="52">
        <f t="shared" si="346"/>
        <v>0</v>
      </c>
      <c r="DI362" s="52">
        <f t="shared" si="346"/>
        <v>0</v>
      </c>
      <c r="DJ362" s="52">
        <f t="shared" si="346"/>
        <v>0</v>
      </c>
    </row>
    <row r="363" ht="15.75" customHeight="1">
      <c r="B363" s="52" t="s">
        <v>1792</v>
      </c>
      <c r="C363" s="52">
        <v>47.0</v>
      </c>
      <c r="D363" s="52" t="s">
        <v>1789</v>
      </c>
      <c r="E363" s="58"/>
      <c r="F363" s="58"/>
      <c r="G363" s="58"/>
      <c r="H363" s="58"/>
      <c r="I363" s="58"/>
      <c r="J363" s="58"/>
      <c r="K363" s="58"/>
      <c r="L363" s="65">
        <v>0.08</v>
      </c>
      <c r="M363" s="65">
        <v>0.08</v>
      </c>
      <c r="N363" s="65">
        <v>0.07</v>
      </c>
      <c r="O363" s="65">
        <v>0.07</v>
      </c>
      <c r="P363" s="65">
        <v>0.06</v>
      </c>
      <c r="Q363" s="65">
        <v>0.06</v>
      </c>
      <c r="R363" s="65">
        <v>0.05</v>
      </c>
      <c r="S363" s="65">
        <v>0.05</v>
      </c>
      <c r="T363" s="65">
        <v>0.05</v>
      </c>
      <c r="U363" s="65">
        <v>0.04</v>
      </c>
      <c r="V363" s="65">
        <v>0.04</v>
      </c>
      <c r="W363" s="65">
        <v>0.04</v>
      </c>
      <c r="X363" s="65">
        <v>0.04</v>
      </c>
      <c r="Y363" s="65">
        <v>0.03</v>
      </c>
      <c r="Z363" s="65">
        <v>0.03</v>
      </c>
      <c r="AA363" s="65">
        <v>0.03</v>
      </c>
      <c r="AB363" s="65">
        <v>0.03</v>
      </c>
      <c r="AC363" s="65">
        <v>0.03</v>
      </c>
      <c r="AD363" s="65">
        <v>0.02</v>
      </c>
      <c r="DE363" s="52">
        <f t="shared" ref="DE363:DJ363" si="347">ROUND($DE32*E363,0)</f>
        <v>0</v>
      </c>
      <c r="DF363" s="52">
        <f t="shared" si="347"/>
        <v>0</v>
      </c>
      <c r="DG363" s="52">
        <f t="shared" si="347"/>
        <v>0</v>
      </c>
      <c r="DH363" s="52">
        <f t="shared" si="347"/>
        <v>0</v>
      </c>
      <c r="DI363" s="52">
        <f t="shared" si="347"/>
        <v>0</v>
      </c>
      <c r="DJ363" s="52">
        <f t="shared" si="347"/>
        <v>0</v>
      </c>
    </row>
    <row r="364" ht="15.75" customHeight="1">
      <c r="B364" s="52" t="s">
        <v>1792</v>
      </c>
      <c r="C364" s="52">
        <v>47.0</v>
      </c>
      <c r="D364" s="52" t="s">
        <v>1790</v>
      </c>
      <c r="E364" s="58"/>
      <c r="F364" s="58"/>
      <c r="G364" s="58"/>
      <c r="H364" s="58"/>
      <c r="I364" s="58"/>
      <c r="J364" s="58"/>
      <c r="K364" s="58"/>
      <c r="L364" s="58"/>
      <c r="M364" s="58"/>
      <c r="N364" s="65">
        <v>0.08</v>
      </c>
      <c r="O364" s="65">
        <v>0.08</v>
      </c>
      <c r="P364" s="65">
        <v>0.07</v>
      </c>
      <c r="Q364" s="65">
        <v>0.07</v>
      </c>
      <c r="R364" s="65">
        <v>0.06</v>
      </c>
      <c r="S364" s="65">
        <v>0.06</v>
      </c>
      <c r="T364" s="65">
        <v>0.05</v>
      </c>
      <c r="U364" s="65">
        <v>0.05</v>
      </c>
      <c r="V364" s="65">
        <v>0.05</v>
      </c>
      <c r="W364" s="65">
        <v>0.04</v>
      </c>
      <c r="X364" s="65">
        <v>0.04</v>
      </c>
      <c r="Y364" s="65">
        <v>0.04</v>
      </c>
      <c r="Z364" s="65">
        <v>0.04</v>
      </c>
      <c r="AA364" s="65">
        <v>0.03</v>
      </c>
      <c r="AB364" s="65">
        <v>0.03</v>
      </c>
      <c r="AC364" s="65">
        <v>0.03</v>
      </c>
      <c r="AD364" s="65">
        <v>0.03</v>
      </c>
      <c r="DE364" s="52">
        <f t="shared" ref="DE364:DJ364" si="348">ROUND($DE33*E364,0)</f>
        <v>0</v>
      </c>
      <c r="DF364" s="52">
        <f t="shared" si="348"/>
        <v>0</v>
      </c>
      <c r="DG364" s="52">
        <f t="shared" si="348"/>
        <v>0</v>
      </c>
      <c r="DH364" s="52">
        <f t="shared" si="348"/>
        <v>0</v>
      </c>
      <c r="DI364" s="52">
        <f t="shared" si="348"/>
        <v>0</v>
      </c>
      <c r="DJ364" s="52">
        <f t="shared" si="348"/>
        <v>0</v>
      </c>
    </row>
    <row r="365" ht="15.75" customHeight="1">
      <c r="B365" s="52" t="s">
        <v>1792</v>
      </c>
      <c r="C365" s="52">
        <v>48.0</v>
      </c>
      <c r="D365" s="52">
        <v>0.0</v>
      </c>
      <c r="E365" s="65">
        <v>0.07</v>
      </c>
      <c r="F365" s="65">
        <v>0.07</v>
      </c>
      <c r="G365" s="65">
        <v>0.07</v>
      </c>
      <c r="H365" s="65">
        <v>0.07</v>
      </c>
      <c r="I365" s="65">
        <v>0.07</v>
      </c>
      <c r="J365" s="65">
        <v>0.07</v>
      </c>
      <c r="K365" s="65">
        <v>0.07</v>
      </c>
      <c r="L365" s="65">
        <v>0.07</v>
      </c>
      <c r="M365" s="65">
        <v>0.07</v>
      </c>
      <c r="N365" s="65">
        <v>0.03</v>
      </c>
      <c r="O365" s="65">
        <v>0.03</v>
      </c>
      <c r="P365" s="65">
        <v>0.03</v>
      </c>
      <c r="Q365" s="65">
        <v>0.03</v>
      </c>
      <c r="R365" s="65">
        <v>0.03</v>
      </c>
      <c r="S365" s="65">
        <v>0.03</v>
      </c>
      <c r="T365" s="65">
        <v>0.03</v>
      </c>
      <c r="U365" s="65">
        <v>0.02</v>
      </c>
      <c r="V365" s="65">
        <v>0.02</v>
      </c>
      <c r="W365" s="65">
        <v>0.02</v>
      </c>
      <c r="X365" s="65">
        <v>0.02</v>
      </c>
      <c r="Y365" s="65">
        <v>0.02</v>
      </c>
      <c r="Z365" s="65">
        <v>0.02</v>
      </c>
      <c r="AA365" s="65">
        <v>0.02</v>
      </c>
      <c r="AB365" s="65">
        <v>0.02</v>
      </c>
      <c r="AC365" s="58"/>
      <c r="AD365" s="58"/>
      <c r="DF365" s="52">
        <f t="shared" ref="DF365:DJ365" si="349">ROUND($DF27*E365,0)</f>
        <v>14</v>
      </c>
      <c r="DG365" s="52">
        <f t="shared" si="349"/>
        <v>14</v>
      </c>
      <c r="DH365" s="52">
        <f t="shared" si="349"/>
        <v>14</v>
      </c>
      <c r="DI365" s="52">
        <f t="shared" si="349"/>
        <v>14</v>
      </c>
      <c r="DJ365" s="52">
        <f t="shared" si="349"/>
        <v>14</v>
      </c>
    </row>
    <row r="366" ht="15.75" customHeight="1">
      <c r="B366" s="52" t="s">
        <v>1792</v>
      </c>
      <c r="C366" s="52">
        <v>48.0</v>
      </c>
      <c r="D366" s="52" t="s">
        <v>1785</v>
      </c>
      <c r="E366" s="65">
        <v>0.02</v>
      </c>
      <c r="F366" s="65">
        <v>0.02</v>
      </c>
      <c r="G366" s="65">
        <v>0.02</v>
      </c>
      <c r="H366" s="65">
        <v>0.02</v>
      </c>
      <c r="I366" s="65">
        <v>0.08</v>
      </c>
      <c r="J366" s="65">
        <v>0.08</v>
      </c>
      <c r="K366" s="65">
        <v>0.07</v>
      </c>
      <c r="L366" s="65">
        <v>0.07</v>
      </c>
      <c r="M366" s="65">
        <v>0.06</v>
      </c>
      <c r="N366" s="65">
        <v>0.06</v>
      </c>
      <c r="O366" s="65">
        <v>0.05</v>
      </c>
      <c r="P366" s="65">
        <v>0.05</v>
      </c>
      <c r="Q366" s="65">
        <v>0.05</v>
      </c>
      <c r="R366" s="65">
        <v>0.04</v>
      </c>
      <c r="S366" s="65">
        <v>0.04</v>
      </c>
      <c r="T366" s="65">
        <v>0.04</v>
      </c>
      <c r="U366" s="65">
        <v>0.04</v>
      </c>
      <c r="V366" s="65">
        <v>0.03</v>
      </c>
      <c r="W366" s="65">
        <v>0.03</v>
      </c>
      <c r="X366" s="65">
        <v>0.03</v>
      </c>
      <c r="Y366" s="65">
        <v>0.03</v>
      </c>
      <c r="Z366" s="65">
        <v>0.03</v>
      </c>
      <c r="AA366" s="65">
        <v>0.02</v>
      </c>
      <c r="AB366" s="65">
        <v>0.02</v>
      </c>
      <c r="AC366" s="58"/>
      <c r="AD366" s="58"/>
      <c r="DF366" s="52">
        <f t="shared" ref="DF366:DJ366" si="350">ROUND($DF28*E366,0)</f>
        <v>0</v>
      </c>
      <c r="DG366" s="52">
        <f t="shared" si="350"/>
        <v>0</v>
      </c>
      <c r="DH366" s="52">
        <f t="shared" si="350"/>
        <v>0</v>
      </c>
      <c r="DI366" s="52">
        <f t="shared" si="350"/>
        <v>0</v>
      </c>
      <c r="DJ366" s="52">
        <f t="shared" si="350"/>
        <v>2</v>
      </c>
    </row>
    <row r="367" ht="15.75" customHeight="1">
      <c r="B367" s="52" t="s">
        <v>1792</v>
      </c>
      <c r="C367" s="52">
        <v>48.0</v>
      </c>
      <c r="D367" s="52" t="s">
        <v>1786</v>
      </c>
      <c r="E367" s="58"/>
      <c r="F367" s="58"/>
      <c r="G367" s="58"/>
      <c r="H367" s="65">
        <v>0.08</v>
      </c>
      <c r="I367" s="65">
        <v>0.08</v>
      </c>
      <c r="J367" s="65">
        <v>0.07</v>
      </c>
      <c r="K367" s="65">
        <v>0.07</v>
      </c>
      <c r="L367" s="65">
        <v>0.06</v>
      </c>
      <c r="M367" s="65">
        <v>0.06</v>
      </c>
      <c r="N367" s="65">
        <v>0.05</v>
      </c>
      <c r="O367" s="65">
        <v>0.05</v>
      </c>
      <c r="P367" s="65">
        <v>0.05</v>
      </c>
      <c r="Q367" s="65">
        <v>0.04</v>
      </c>
      <c r="R367" s="65">
        <v>0.04</v>
      </c>
      <c r="S367" s="65">
        <v>0.04</v>
      </c>
      <c r="T367" s="65">
        <v>0.04</v>
      </c>
      <c r="U367" s="65">
        <v>0.03</v>
      </c>
      <c r="V367" s="65">
        <v>0.03</v>
      </c>
      <c r="W367" s="65">
        <v>0.03</v>
      </c>
      <c r="X367" s="65">
        <v>0.03</v>
      </c>
      <c r="Y367" s="65">
        <v>0.03</v>
      </c>
      <c r="Z367" s="65">
        <v>0.02</v>
      </c>
      <c r="AA367" s="65">
        <v>0.02</v>
      </c>
      <c r="AB367" s="65">
        <v>0.03</v>
      </c>
      <c r="AC367" s="65">
        <v>0.03</v>
      </c>
      <c r="AD367" s="65">
        <v>0.02</v>
      </c>
      <c r="DF367" s="52">
        <f t="shared" ref="DF367:DJ367" si="351">ROUND($DF29*E367,0)</f>
        <v>0</v>
      </c>
      <c r="DG367" s="52">
        <f t="shared" si="351"/>
        <v>0</v>
      </c>
      <c r="DH367" s="52">
        <f t="shared" si="351"/>
        <v>0</v>
      </c>
      <c r="DI367" s="52">
        <f t="shared" si="351"/>
        <v>3</v>
      </c>
      <c r="DJ367" s="52">
        <f t="shared" si="351"/>
        <v>3</v>
      </c>
    </row>
    <row r="368" ht="15.75" customHeight="1">
      <c r="B368" s="52" t="s">
        <v>1792</v>
      </c>
      <c r="C368" s="52">
        <v>48.0</v>
      </c>
      <c r="D368" s="52" t="s">
        <v>1787</v>
      </c>
      <c r="E368" s="58"/>
      <c r="F368" s="58"/>
      <c r="G368" s="58"/>
      <c r="H368" s="58"/>
      <c r="I368" s="58"/>
      <c r="J368" s="65">
        <v>0.08</v>
      </c>
      <c r="K368" s="65">
        <v>0.08</v>
      </c>
      <c r="L368" s="65">
        <v>0.07</v>
      </c>
      <c r="M368" s="65">
        <v>0.07</v>
      </c>
      <c r="N368" s="65">
        <v>0.06</v>
      </c>
      <c r="O368" s="65">
        <v>0.06</v>
      </c>
      <c r="P368" s="65">
        <v>0.05</v>
      </c>
      <c r="Q368" s="65">
        <v>0.05</v>
      </c>
      <c r="R368" s="65">
        <v>0.05</v>
      </c>
      <c r="S368" s="65">
        <v>0.04</v>
      </c>
      <c r="T368" s="65">
        <v>0.04</v>
      </c>
      <c r="U368" s="65">
        <v>0.04</v>
      </c>
      <c r="V368" s="65">
        <v>0.04</v>
      </c>
      <c r="W368" s="65">
        <v>0.03</v>
      </c>
      <c r="X368" s="65">
        <v>0.03</v>
      </c>
      <c r="Y368" s="65">
        <v>0.03</v>
      </c>
      <c r="Z368" s="65">
        <v>0.03</v>
      </c>
      <c r="AA368" s="65">
        <v>0.03</v>
      </c>
      <c r="AB368" s="65">
        <v>0.02</v>
      </c>
      <c r="AC368" s="65">
        <v>0.02</v>
      </c>
      <c r="AD368" s="65">
        <v>0.03</v>
      </c>
      <c r="DF368" s="52">
        <f t="shared" ref="DF368:DJ368" si="352">ROUND($DF30*E368,0)</f>
        <v>0</v>
      </c>
      <c r="DG368" s="52">
        <f t="shared" si="352"/>
        <v>0</v>
      </c>
      <c r="DH368" s="52">
        <f t="shared" si="352"/>
        <v>0</v>
      </c>
      <c r="DI368" s="52">
        <f t="shared" si="352"/>
        <v>0</v>
      </c>
      <c r="DJ368" s="52">
        <f t="shared" si="352"/>
        <v>0</v>
      </c>
    </row>
    <row r="369" ht="15.75" customHeight="1">
      <c r="B369" s="52" t="s">
        <v>1792</v>
      </c>
      <c r="C369" s="52">
        <v>48.0</v>
      </c>
      <c r="D369" s="52" t="s">
        <v>1788</v>
      </c>
      <c r="E369" s="58"/>
      <c r="F369" s="58"/>
      <c r="G369" s="58"/>
      <c r="H369" s="58"/>
      <c r="I369" s="58"/>
      <c r="J369" s="58"/>
      <c r="K369" s="65">
        <v>0.08</v>
      </c>
      <c r="L369" s="65">
        <v>0.08</v>
      </c>
      <c r="M369" s="65">
        <v>0.07</v>
      </c>
      <c r="N369" s="65">
        <v>0.07</v>
      </c>
      <c r="O369" s="65">
        <v>0.06</v>
      </c>
      <c r="P369" s="65">
        <v>0.06</v>
      </c>
      <c r="Q369" s="65">
        <v>0.05</v>
      </c>
      <c r="R369" s="65">
        <v>0.05</v>
      </c>
      <c r="S369" s="65">
        <v>0.05</v>
      </c>
      <c r="T369" s="65">
        <v>0.04</v>
      </c>
      <c r="U369" s="65">
        <v>0.04</v>
      </c>
      <c r="V369" s="65">
        <v>0.04</v>
      </c>
      <c r="W369" s="65">
        <v>0.04</v>
      </c>
      <c r="X369" s="65">
        <v>0.03</v>
      </c>
      <c r="Y369" s="65">
        <v>0.03</v>
      </c>
      <c r="Z369" s="65">
        <v>0.03</v>
      </c>
      <c r="AA369" s="65">
        <v>0.03</v>
      </c>
      <c r="AB369" s="65">
        <v>0.03</v>
      </c>
      <c r="AC369" s="65">
        <v>0.02</v>
      </c>
      <c r="AD369" s="65">
        <v>0.02</v>
      </c>
      <c r="DF369" s="52">
        <f t="shared" ref="DF369:DJ369" si="353">ROUND($DF31*E369,0)</f>
        <v>0</v>
      </c>
      <c r="DG369" s="52">
        <f t="shared" si="353"/>
        <v>0</v>
      </c>
      <c r="DH369" s="52">
        <f t="shared" si="353"/>
        <v>0</v>
      </c>
      <c r="DI369" s="52">
        <f t="shared" si="353"/>
        <v>0</v>
      </c>
      <c r="DJ369" s="52">
        <f t="shared" si="353"/>
        <v>0</v>
      </c>
    </row>
    <row r="370" ht="15.75" customHeight="1">
      <c r="B370" s="52" t="s">
        <v>1792</v>
      </c>
      <c r="C370" s="52">
        <v>48.0</v>
      </c>
      <c r="D370" s="52" t="s">
        <v>1789</v>
      </c>
      <c r="E370" s="58"/>
      <c r="F370" s="58"/>
      <c r="G370" s="58"/>
      <c r="H370" s="58"/>
      <c r="I370" s="58"/>
      <c r="J370" s="58"/>
      <c r="K370" s="58"/>
      <c r="L370" s="65">
        <v>0.08</v>
      </c>
      <c r="M370" s="65">
        <v>0.08</v>
      </c>
      <c r="N370" s="65">
        <v>0.07</v>
      </c>
      <c r="O370" s="65">
        <v>0.07</v>
      </c>
      <c r="P370" s="65">
        <v>0.06</v>
      </c>
      <c r="Q370" s="65">
        <v>0.06</v>
      </c>
      <c r="R370" s="65">
        <v>0.05</v>
      </c>
      <c r="S370" s="65">
        <v>0.05</v>
      </c>
      <c r="T370" s="65">
        <v>0.05</v>
      </c>
      <c r="U370" s="65">
        <v>0.04</v>
      </c>
      <c r="V370" s="65">
        <v>0.04</v>
      </c>
      <c r="W370" s="65">
        <v>0.04</v>
      </c>
      <c r="X370" s="65">
        <v>0.04</v>
      </c>
      <c r="Y370" s="65">
        <v>0.03</v>
      </c>
      <c r="Z370" s="65">
        <v>0.03</v>
      </c>
      <c r="AA370" s="65">
        <v>0.03</v>
      </c>
      <c r="AB370" s="65">
        <v>0.03</v>
      </c>
      <c r="AC370" s="65">
        <v>0.03</v>
      </c>
      <c r="AD370" s="65">
        <v>0.02</v>
      </c>
      <c r="DF370" s="52">
        <f t="shared" ref="DF370:DJ370" si="354">ROUND($DF32*E370,0)</f>
        <v>0</v>
      </c>
      <c r="DG370" s="52">
        <f t="shared" si="354"/>
        <v>0</v>
      </c>
      <c r="DH370" s="52">
        <f t="shared" si="354"/>
        <v>0</v>
      </c>
      <c r="DI370" s="52">
        <f t="shared" si="354"/>
        <v>0</v>
      </c>
      <c r="DJ370" s="52">
        <f t="shared" si="354"/>
        <v>0</v>
      </c>
    </row>
    <row r="371" ht="15.75" customHeight="1">
      <c r="B371" s="52" t="s">
        <v>1792</v>
      </c>
      <c r="C371" s="52">
        <v>48.0</v>
      </c>
      <c r="D371" s="52" t="s">
        <v>1790</v>
      </c>
      <c r="E371" s="58"/>
      <c r="F371" s="58"/>
      <c r="G371" s="58"/>
      <c r="H371" s="58"/>
      <c r="I371" s="58"/>
      <c r="J371" s="58"/>
      <c r="K371" s="58"/>
      <c r="L371" s="58"/>
      <c r="M371" s="58"/>
      <c r="N371" s="65">
        <v>0.08</v>
      </c>
      <c r="O371" s="65">
        <v>0.08</v>
      </c>
      <c r="P371" s="65">
        <v>0.07</v>
      </c>
      <c r="Q371" s="65">
        <v>0.07</v>
      </c>
      <c r="R371" s="65">
        <v>0.06</v>
      </c>
      <c r="S371" s="65">
        <v>0.06</v>
      </c>
      <c r="T371" s="65">
        <v>0.05</v>
      </c>
      <c r="U371" s="65">
        <v>0.05</v>
      </c>
      <c r="V371" s="65">
        <v>0.05</v>
      </c>
      <c r="W371" s="65">
        <v>0.04</v>
      </c>
      <c r="X371" s="65">
        <v>0.04</v>
      </c>
      <c r="Y371" s="65">
        <v>0.04</v>
      </c>
      <c r="Z371" s="65">
        <v>0.04</v>
      </c>
      <c r="AA371" s="65">
        <v>0.03</v>
      </c>
      <c r="AB371" s="65">
        <v>0.03</v>
      </c>
      <c r="AC371" s="65">
        <v>0.03</v>
      </c>
      <c r="AD371" s="65">
        <v>0.03</v>
      </c>
      <c r="DF371" s="52">
        <f t="shared" ref="DF371:DJ371" si="355">ROUND($DF33*E371,0)</f>
        <v>0</v>
      </c>
      <c r="DG371" s="52">
        <f t="shared" si="355"/>
        <v>0</v>
      </c>
      <c r="DH371" s="52">
        <f t="shared" si="355"/>
        <v>0</v>
      </c>
      <c r="DI371" s="52">
        <f t="shared" si="355"/>
        <v>0</v>
      </c>
      <c r="DJ371" s="52">
        <f t="shared" si="355"/>
        <v>0</v>
      </c>
    </row>
    <row r="372" ht="15.75" customHeight="1">
      <c r="B372" s="52" t="s">
        <v>1792</v>
      </c>
      <c r="C372" s="52">
        <v>49.0</v>
      </c>
      <c r="D372" s="52">
        <v>0.0</v>
      </c>
      <c r="E372" s="65">
        <v>0.07</v>
      </c>
      <c r="F372" s="65">
        <v>0.07</v>
      </c>
      <c r="G372" s="65">
        <v>0.07</v>
      </c>
      <c r="H372" s="65">
        <v>0.07</v>
      </c>
      <c r="I372" s="65">
        <v>0.07</v>
      </c>
      <c r="J372" s="65">
        <v>0.07</v>
      </c>
      <c r="K372" s="65">
        <v>0.07</v>
      </c>
      <c r="L372" s="65">
        <v>0.07</v>
      </c>
      <c r="M372" s="65">
        <v>0.07</v>
      </c>
      <c r="N372" s="65">
        <v>0.03</v>
      </c>
      <c r="O372" s="65">
        <v>0.03</v>
      </c>
      <c r="P372" s="65">
        <v>0.03</v>
      </c>
      <c r="Q372" s="65">
        <v>0.03</v>
      </c>
      <c r="R372" s="65">
        <v>0.03</v>
      </c>
      <c r="S372" s="65">
        <v>0.03</v>
      </c>
      <c r="T372" s="65">
        <v>0.03</v>
      </c>
      <c r="U372" s="65">
        <v>0.02</v>
      </c>
      <c r="V372" s="65">
        <v>0.02</v>
      </c>
      <c r="W372" s="65">
        <v>0.02</v>
      </c>
      <c r="X372" s="65">
        <v>0.02</v>
      </c>
      <c r="Y372" s="65">
        <v>0.02</v>
      </c>
      <c r="Z372" s="65">
        <v>0.02</v>
      </c>
      <c r="AA372" s="65">
        <v>0.02</v>
      </c>
      <c r="AB372" s="65">
        <v>0.02</v>
      </c>
      <c r="AC372" s="58"/>
      <c r="AD372" s="58"/>
      <c r="DG372" s="52">
        <f t="shared" ref="DG372:DJ372" si="356">ROUND($DG27*E372,0)</f>
        <v>14</v>
      </c>
      <c r="DH372" s="52">
        <f t="shared" si="356"/>
        <v>14</v>
      </c>
      <c r="DI372" s="52">
        <f t="shared" si="356"/>
        <v>14</v>
      </c>
      <c r="DJ372" s="52">
        <f t="shared" si="356"/>
        <v>14</v>
      </c>
    </row>
    <row r="373" ht="15.75" customHeight="1">
      <c r="B373" s="52" t="s">
        <v>1792</v>
      </c>
      <c r="C373" s="52">
        <v>49.0</v>
      </c>
      <c r="D373" s="52" t="s">
        <v>1785</v>
      </c>
      <c r="E373" s="65">
        <v>0.02</v>
      </c>
      <c r="F373" s="65">
        <v>0.02</v>
      </c>
      <c r="G373" s="65">
        <v>0.02</v>
      </c>
      <c r="H373" s="65">
        <v>0.02</v>
      </c>
      <c r="I373" s="65">
        <v>0.08</v>
      </c>
      <c r="J373" s="65">
        <v>0.08</v>
      </c>
      <c r="K373" s="65">
        <v>0.07</v>
      </c>
      <c r="L373" s="65">
        <v>0.07</v>
      </c>
      <c r="M373" s="65">
        <v>0.06</v>
      </c>
      <c r="N373" s="65">
        <v>0.06</v>
      </c>
      <c r="O373" s="65">
        <v>0.05</v>
      </c>
      <c r="P373" s="65">
        <v>0.05</v>
      </c>
      <c r="Q373" s="65">
        <v>0.05</v>
      </c>
      <c r="R373" s="65">
        <v>0.04</v>
      </c>
      <c r="S373" s="65">
        <v>0.04</v>
      </c>
      <c r="T373" s="65">
        <v>0.04</v>
      </c>
      <c r="U373" s="65">
        <v>0.04</v>
      </c>
      <c r="V373" s="65">
        <v>0.03</v>
      </c>
      <c r="W373" s="65">
        <v>0.03</v>
      </c>
      <c r="X373" s="65">
        <v>0.03</v>
      </c>
      <c r="Y373" s="65">
        <v>0.03</v>
      </c>
      <c r="Z373" s="65">
        <v>0.03</v>
      </c>
      <c r="AA373" s="65">
        <v>0.02</v>
      </c>
      <c r="AB373" s="65">
        <v>0.02</v>
      </c>
      <c r="AC373" s="58"/>
      <c r="AD373" s="58"/>
      <c r="DG373" s="52">
        <f t="shared" ref="DG373:DJ373" si="357">ROUND($DG28*E373,0)</f>
        <v>0</v>
      </c>
      <c r="DH373" s="52">
        <f t="shared" si="357"/>
        <v>0</v>
      </c>
      <c r="DI373" s="52">
        <f t="shared" si="357"/>
        <v>0</v>
      </c>
      <c r="DJ373" s="52">
        <f t="shared" si="357"/>
        <v>0</v>
      </c>
    </row>
    <row r="374" ht="15.75" customHeight="1">
      <c r="B374" s="52" t="s">
        <v>1792</v>
      </c>
      <c r="C374" s="52">
        <v>49.0</v>
      </c>
      <c r="D374" s="52" t="s">
        <v>1786</v>
      </c>
      <c r="E374" s="58"/>
      <c r="F374" s="58"/>
      <c r="G374" s="58"/>
      <c r="H374" s="65">
        <v>0.08</v>
      </c>
      <c r="I374" s="65">
        <v>0.08</v>
      </c>
      <c r="J374" s="65">
        <v>0.07</v>
      </c>
      <c r="K374" s="65">
        <v>0.07</v>
      </c>
      <c r="L374" s="65">
        <v>0.06</v>
      </c>
      <c r="M374" s="65">
        <v>0.06</v>
      </c>
      <c r="N374" s="65">
        <v>0.05</v>
      </c>
      <c r="O374" s="65">
        <v>0.05</v>
      </c>
      <c r="P374" s="65">
        <v>0.05</v>
      </c>
      <c r="Q374" s="65">
        <v>0.04</v>
      </c>
      <c r="R374" s="65">
        <v>0.04</v>
      </c>
      <c r="S374" s="65">
        <v>0.04</v>
      </c>
      <c r="T374" s="65">
        <v>0.04</v>
      </c>
      <c r="U374" s="65">
        <v>0.03</v>
      </c>
      <c r="V374" s="65">
        <v>0.03</v>
      </c>
      <c r="W374" s="65">
        <v>0.03</v>
      </c>
      <c r="X374" s="65">
        <v>0.03</v>
      </c>
      <c r="Y374" s="65">
        <v>0.03</v>
      </c>
      <c r="Z374" s="65">
        <v>0.02</v>
      </c>
      <c r="AA374" s="65">
        <v>0.02</v>
      </c>
      <c r="AB374" s="65">
        <v>0.03</v>
      </c>
      <c r="AC374" s="65">
        <v>0.03</v>
      </c>
      <c r="AD374" s="65">
        <v>0.02</v>
      </c>
      <c r="DG374" s="52">
        <f t="shared" ref="DG374:DJ374" si="358">ROUND($DG29*E374,0)</f>
        <v>0</v>
      </c>
      <c r="DH374" s="52">
        <f t="shared" si="358"/>
        <v>0</v>
      </c>
      <c r="DI374" s="52">
        <f t="shared" si="358"/>
        <v>0</v>
      </c>
      <c r="DJ374" s="52">
        <f t="shared" si="358"/>
        <v>3</v>
      </c>
    </row>
    <row r="375" ht="15.75" customHeight="1">
      <c r="B375" s="52" t="s">
        <v>1792</v>
      </c>
      <c r="C375" s="52">
        <v>49.0</v>
      </c>
      <c r="D375" s="52" t="s">
        <v>1787</v>
      </c>
      <c r="E375" s="58"/>
      <c r="F375" s="58"/>
      <c r="G375" s="58"/>
      <c r="H375" s="58"/>
      <c r="I375" s="58"/>
      <c r="J375" s="65">
        <v>0.08</v>
      </c>
      <c r="K375" s="65">
        <v>0.08</v>
      </c>
      <c r="L375" s="65">
        <v>0.07</v>
      </c>
      <c r="M375" s="65">
        <v>0.07</v>
      </c>
      <c r="N375" s="65">
        <v>0.06</v>
      </c>
      <c r="O375" s="65">
        <v>0.06</v>
      </c>
      <c r="P375" s="65">
        <v>0.05</v>
      </c>
      <c r="Q375" s="65">
        <v>0.05</v>
      </c>
      <c r="R375" s="65">
        <v>0.05</v>
      </c>
      <c r="S375" s="65">
        <v>0.04</v>
      </c>
      <c r="T375" s="65">
        <v>0.04</v>
      </c>
      <c r="U375" s="65">
        <v>0.04</v>
      </c>
      <c r="V375" s="65">
        <v>0.04</v>
      </c>
      <c r="W375" s="65">
        <v>0.03</v>
      </c>
      <c r="X375" s="65">
        <v>0.03</v>
      </c>
      <c r="Y375" s="65">
        <v>0.03</v>
      </c>
      <c r="Z375" s="65">
        <v>0.03</v>
      </c>
      <c r="AA375" s="65">
        <v>0.03</v>
      </c>
      <c r="AB375" s="65">
        <v>0.02</v>
      </c>
      <c r="AC375" s="65">
        <v>0.02</v>
      </c>
      <c r="AD375" s="65">
        <v>0.03</v>
      </c>
      <c r="DG375" s="52">
        <f t="shared" ref="DG375:DJ375" si="359">ROUND($DG30*E375,0)</f>
        <v>0</v>
      </c>
      <c r="DH375" s="52">
        <f t="shared" si="359"/>
        <v>0</v>
      </c>
      <c r="DI375" s="52">
        <f t="shared" si="359"/>
        <v>0</v>
      </c>
      <c r="DJ375" s="52">
        <f t="shared" si="359"/>
        <v>0</v>
      </c>
    </row>
    <row r="376" ht="15.75" customHeight="1">
      <c r="B376" s="52" t="s">
        <v>1792</v>
      </c>
      <c r="C376" s="52">
        <v>49.0</v>
      </c>
      <c r="D376" s="52" t="s">
        <v>1788</v>
      </c>
      <c r="E376" s="58"/>
      <c r="F376" s="58"/>
      <c r="G376" s="58"/>
      <c r="H376" s="58"/>
      <c r="I376" s="58"/>
      <c r="J376" s="58"/>
      <c r="K376" s="65">
        <v>0.08</v>
      </c>
      <c r="L376" s="65">
        <v>0.08</v>
      </c>
      <c r="M376" s="65">
        <v>0.07</v>
      </c>
      <c r="N376" s="65">
        <v>0.07</v>
      </c>
      <c r="O376" s="65">
        <v>0.06</v>
      </c>
      <c r="P376" s="65">
        <v>0.06</v>
      </c>
      <c r="Q376" s="65">
        <v>0.05</v>
      </c>
      <c r="R376" s="65">
        <v>0.05</v>
      </c>
      <c r="S376" s="65">
        <v>0.05</v>
      </c>
      <c r="T376" s="65">
        <v>0.04</v>
      </c>
      <c r="U376" s="65">
        <v>0.04</v>
      </c>
      <c r="V376" s="65">
        <v>0.04</v>
      </c>
      <c r="W376" s="65">
        <v>0.04</v>
      </c>
      <c r="X376" s="65">
        <v>0.03</v>
      </c>
      <c r="Y376" s="65">
        <v>0.03</v>
      </c>
      <c r="Z376" s="65">
        <v>0.03</v>
      </c>
      <c r="AA376" s="65">
        <v>0.03</v>
      </c>
      <c r="AB376" s="65">
        <v>0.03</v>
      </c>
      <c r="AC376" s="65">
        <v>0.02</v>
      </c>
      <c r="AD376" s="65">
        <v>0.02</v>
      </c>
      <c r="DG376" s="52">
        <f t="shared" ref="DG376:DJ376" si="360">ROUND($DG31*E376,0)</f>
        <v>0</v>
      </c>
      <c r="DH376" s="52">
        <f t="shared" si="360"/>
        <v>0</v>
      </c>
      <c r="DI376" s="52">
        <f t="shared" si="360"/>
        <v>0</v>
      </c>
      <c r="DJ376" s="52">
        <f t="shared" si="360"/>
        <v>0</v>
      </c>
    </row>
    <row r="377" ht="15.75" customHeight="1">
      <c r="B377" s="52" t="s">
        <v>1792</v>
      </c>
      <c r="C377" s="52">
        <v>49.0</v>
      </c>
      <c r="D377" s="52" t="s">
        <v>1789</v>
      </c>
      <c r="E377" s="58"/>
      <c r="F377" s="58"/>
      <c r="G377" s="58"/>
      <c r="H377" s="58"/>
      <c r="I377" s="58"/>
      <c r="J377" s="58"/>
      <c r="K377" s="58"/>
      <c r="L377" s="65">
        <v>0.08</v>
      </c>
      <c r="M377" s="65">
        <v>0.08</v>
      </c>
      <c r="N377" s="65">
        <v>0.07</v>
      </c>
      <c r="O377" s="65">
        <v>0.07</v>
      </c>
      <c r="P377" s="65">
        <v>0.06</v>
      </c>
      <c r="Q377" s="65">
        <v>0.06</v>
      </c>
      <c r="R377" s="65">
        <v>0.05</v>
      </c>
      <c r="S377" s="65">
        <v>0.05</v>
      </c>
      <c r="T377" s="65">
        <v>0.05</v>
      </c>
      <c r="U377" s="65">
        <v>0.04</v>
      </c>
      <c r="V377" s="65">
        <v>0.04</v>
      </c>
      <c r="W377" s="65">
        <v>0.04</v>
      </c>
      <c r="X377" s="65">
        <v>0.04</v>
      </c>
      <c r="Y377" s="65">
        <v>0.03</v>
      </c>
      <c r="Z377" s="65">
        <v>0.03</v>
      </c>
      <c r="AA377" s="65">
        <v>0.03</v>
      </c>
      <c r="AB377" s="65">
        <v>0.03</v>
      </c>
      <c r="AC377" s="65">
        <v>0.03</v>
      </c>
      <c r="AD377" s="65">
        <v>0.02</v>
      </c>
      <c r="DG377" s="52">
        <f t="shared" ref="DG377:DJ377" si="361">ROUND($DG32*E377,0)</f>
        <v>0</v>
      </c>
      <c r="DH377" s="52">
        <f t="shared" si="361"/>
        <v>0</v>
      </c>
      <c r="DI377" s="52">
        <f t="shared" si="361"/>
        <v>0</v>
      </c>
      <c r="DJ377" s="52">
        <f t="shared" si="361"/>
        <v>0</v>
      </c>
    </row>
    <row r="378" ht="15.75" customHeight="1">
      <c r="B378" s="52" t="s">
        <v>1792</v>
      </c>
      <c r="C378" s="52">
        <v>49.0</v>
      </c>
      <c r="D378" s="52" t="s">
        <v>1790</v>
      </c>
      <c r="E378" s="58"/>
      <c r="F378" s="58"/>
      <c r="G378" s="58"/>
      <c r="H378" s="58"/>
      <c r="I378" s="58"/>
      <c r="J378" s="58"/>
      <c r="K378" s="58"/>
      <c r="L378" s="58"/>
      <c r="M378" s="58"/>
      <c r="N378" s="65">
        <v>0.08</v>
      </c>
      <c r="O378" s="65">
        <v>0.08</v>
      </c>
      <c r="P378" s="65">
        <v>0.07</v>
      </c>
      <c r="Q378" s="65">
        <v>0.07</v>
      </c>
      <c r="R378" s="65">
        <v>0.06</v>
      </c>
      <c r="S378" s="65">
        <v>0.06</v>
      </c>
      <c r="T378" s="65">
        <v>0.05</v>
      </c>
      <c r="U378" s="65">
        <v>0.05</v>
      </c>
      <c r="V378" s="65">
        <v>0.05</v>
      </c>
      <c r="W378" s="65">
        <v>0.04</v>
      </c>
      <c r="X378" s="65">
        <v>0.04</v>
      </c>
      <c r="Y378" s="65">
        <v>0.04</v>
      </c>
      <c r="Z378" s="65">
        <v>0.04</v>
      </c>
      <c r="AA378" s="65">
        <v>0.03</v>
      </c>
      <c r="AB378" s="65">
        <v>0.03</v>
      </c>
      <c r="AC378" s="65">
        <v>0.03</v>
      </c>
      <c r="AD378" s="65">
        <v>0.03</v>
      </c>
      <c r="DG378" s="52">
        <f t="shared" ref="DG378:DJ378" si="362">ROUND($DG33*E378,0)</f>
        <v>0</v>
      </c>
      <c r="DH378" s="52">
        <f t="shared" si="362"/>
        <v>0</v>
      </c>
      <c r="DI378" s="52">
        <f t="shared" si="362"/>
        <v>0</v>
      </c>
      <c r="DJ378" s="52">
        <f t="shared" si="362"/>
        <v>0</v>
      </c>
    </row>
    <row r="379" ht="15.75" customHeight="1">
      <c r="B379" s="52" t="s">
        <v>1792</v>
      </c>
      <c r="C379" s="52">
        <v>50.0</v>
      </c>
      <c r="D379" s="52">
        <v>0.0</v>
      </c>
      <c r="E379" s="65">
        <v>0.07</v>
      </c>
      <c r="F379" s="65">
        <v>0.07</v>
      </c>
      <c r="G379" s="65">
        <v>0.07</v>
      </c>
      <c r="H379" s="65">
        <v>0.07</v>
      </c>
      <c r="I379" s="65">
        <v>0.07</v>
      </c>
      <c r="J379" s="65">
        <v>0.07</v>
      </c>
      <c r="K379" s="65">
        <v>0.07</v>
      </c>
      <c r="L379" s="65">
        <v>0.07</v>
      </c>
      <c r="M379" s="65">
        <v>0.07</v>
      </c>
      <c r="N379" s="65">
        <v>0.03</v>
      </c>
      <c r="O379" s="65">
        <v>0.03</v>
      </c>
      <c r="P379" s="65">
        <v>0.03</v>
      </c>
      <c r="Q379" s="65">
        <v>0.03</v>
      </c>
      <c r="R379" s="65">
        <v>0.03</v>
      </c>
      <c r="S379" s="65">
        <v>0.03</v>
      </c>
      <c r="T379" s="65">
        <v>0.03</v>
      </c>
      <c r="U379" s="65">
        <v>0.02</v>
      </c>
      <c r="V379" s="65">
        <v>0.02</v>
      </c>
      <c r="W379" s="65">
        <v>0.02</v>
      </c>
      <c r="X379" s="65">
        <v>0.02</v>
      </c>
      <c r="Y379" s="65">
        <v>0.02</v>
      </c>
      <c r="Z379" s="65">
        <v>0.02</v>
      </c>
      <c r="AA379" s="65">
        <v>0.02</v>
      </c>
      <c r="AB379" s="65">
        <v>0.02</v>
      </c>
      <c r="AC379" s="58"/>
      <c r="AD379" s="58"/>
      <c r="DH379" s="52">
        <f t="shared" ref="DH379:DJ379" si="363">ROUND($DH27*E379,0)</f>
        <v>14</v>
      </c>
      <c r="DI379" s="52">
        <f t="shared" si="363"/>
        <v>14</v>
      </c>
      <c r="DJ379" s="52">
        <f t="shared" si="363"/>
        <v>14</v>
      </c>
    </row>
    <row r="380" ht="15.75" customHeight="1">
      <c r="B380" s="52" t="s">
        <v>1792</v>
      </c>
      <c r="C380" s="52">
        <v>50.0</v>
      </c>
      <c r="D380" s="52" t="s">
        <v>1785</v>
      </c>
      <c r="E380" s="65">
        <v>0.02</v>
      </c>
      <c r="F380" s="65">
        <v>0.02</v>
      </c>
      <c r="G380" s="65">
        <v>0.02</v>
      </c>
      <c r="H380" s="65">
        <v>0.02</v>
      </c>
      <c r="I380" s="65">
        <v>0.08</v>
      </c>
      <c r="J380" s="65">
        <v>0.08</v>
      </c>
      <c r="K380" s="65">
        <v>0.07</v>
      </c>
      <c r="L380" s="65">
        <v>0.07</v>
      </c>
      <c r="M380" s="65">
        <v>0.06</v>
      </c>
      <c r="N380" s="65">
        <v>0.06</v>
      </c>
      <c r="O380" s="65">
        <v>0.05</v>
      </c>
      <c r="P380" s="65">
        <v>0.05</v>
      </c>
      <c r="Q380" s="65">
        <v>0.05</v>
      </c>
      <c r="R380" s="65">
        <v>0.04</v>
      </c>
      <c r="S380" s="65">
        <v>0.04</v>
      </c>
      <c r="T380" s="65">
        <v>0.04</v>
      </c>
      <c r="U380" s="65">
        <v>0.04</v>
      </c>
      <c r="V380" s="65">
        <v>0.03</v>
      </c>
      <c r="W380" s="65">
        <v>0.03</v>
      </c>
      <c r="X380" s="65">
        <v>0.03</v>
      </c>
      <c r="Y380" s="65">
        <v>0.03</v>
      </c>
      <c r="Z380" s="65">
        <v>0.03</v>
      </c>
      <c r="AA380" s="65">
        <v>0.02</v>
      </c>
      <c r="AB380" s="65">
        <v>0.02</v>
      </c>
      <c r="AC380" s="58"/>
      <c r="AD380" s="58"/>
      <c r="DH380" s="52">
        <f t="shared" ref="DH380:DJ380" si="364">ROUND($DH28*E380,0)</f>
        <v>0</v>
      </c>
      <c r="DI380" s="52">
        <f t="shared" si="364"/>
        <v>0</v>
      </c>
      <c r="DJ380" s="52">
        <f t="shared" si="364"/>
        <v>0</v>
      </c>
    </row>
    <row r="381" ht="15.75" customHeight="1">
      <c r="B381" s="52" t="s">
        <v>1792</v>
      </c>
      <c r="C381" s="52">
        <v>50.0</v>
      </c>
      <c r="D381" s="52" t="s">
        <v>1786</v>
      </c>
      <c r="E381" s="58"/>
      <c r="F381" s="58"/>
      <c r="G381" s="58"/>
      <c r="H381" s="65">
        <v>0.08</v>
      </c>
      <c r="I381" s="65">
        <v>0.08</v>
      </c>
      <c r="J381" s="65">
        <v>0.07</v>
      </c>
      <c r="K381" s="65">
        <v>0.07</v>
      </c>
      <c r="L381" s="65">
        <v>0.06</v>
      </c>
      <c r="M381" s="65">
        <v>0.06</v>
      </c>
      <c r="N381" s="65">
        <v>0.05</v>
      </c>
      <c r="O381" s="65">
        <v>0.05</v>
      </c>
      <c r="P381" s="65">
        <v>0.05</v>
      </c>
      <c r="Q381" s="65">
        <v>0.04</v>
      </c>
      <c r="R381" s="65">
        <v>0.04</v>
      </c>
      <c r="S381" s="65">
        <v>0.04</v>
      </c>
      <c r="T381" s="65">
        <v>0.04</v>
      </c>
      <c r="U381" s="65">
        <v>0.03</v>
      </c>
      <c r="V381" s="65">
        <v>0.03</v>
      </c>
      <c r="W381" s="65">
        <v>0.03</v>
      </c>
      <c r="X381" s="65">
        <v>0.03</v>
      </c>
      <c r="Y381" s="65">
        <v>0.03</v>
      </c>
      <c r="Z381" s="65">
        <v>0.02</v>
      </c>
      <c r="AA381" s="65">
        <v>0.02</v>
      </c>
      <c r="AB381" s="65">
        <v>0.03</v>
      </c>
      <c r="AC381" s="65">
        <v>0.03</v>
      </c>
      <c r="AD381" s="65">
        <v>0.02</v>
      </c>
      <c r="DH381" s="52">
        <f t="shared" ref="DH381:DJ381" si="365">ROUND($DH29*E381,0)</f>
        <v>0</v>
      </c>
      <c r="DI381" s="52">
        <f t="shared" si="365"/>
        <v>0</v>
      </c>
      <c r="DJ381" s="52">
        <f t="shared" si="365"/>
        <v>0</v>
      </c>
    </row>
    <row r="382" ht="15.75" customHeight="1">
      <c r="B382" s="52" t="s">
        <v>1792</v>
      </c>
      <c r="C382" s="52">
        <v>50.0</v>
      </c>
      <c r="D382" s="52" t="s">
        <v>1787</v>
      </c>
      <c r="E382" s="58"/>
      <c r="F382" s="58"/>
      <c r="G382" s="58"/>
      <c r="H382" s="58"/>
      <c r="I382" s="58"/>
      <c r="J382" s="65">
        <v>0.08</v>
      </c>
      <c r="K382" s="65">
        <v>0.08</v>
      </c>
      <c r="L382" s="65">
        <v>0.07</v>
      </c>
      <c r="M382" s="65">
        <v>0.07</v>
      </c>
      <c r="N382" s="65">
        <v>0.06</v>
      </c>
      <c r="O382" s="65">
        <v>0.06</v>
      </c>
      <c r="P382" s="65">
        <v>0.05</v>
      </c>
      <c r="Q382" s="65">
        <v>0.05</v>
      </c>
      <c r="R382" s="65">
        <v>0.05</v>
      </c>
      <c r="S382" s="65">
        <v>0.04</v>
      </c>
      <c r="T382" s="65">
        <v>0.04</v>
      </c>
      <c r="U382" s="65">
        <v>0.04</v>
      </c>
      <c r="V382" s="65">
        <v>0.04</v>
      </c>
      <c r="W382" s="65">
        <v>0.03</v>
      </c>
      <c r="X382" s="65">
        <v>0.03</v>
      </c>
      <c r="Y382" s="65">
        <v>0.03</v>
      </c>
      <c r="Z382" s="65">
        <v>0.03</v>
      </c>
      <c r="AA382" s="65">
        <v>0.03</v>
      </c>
      <c r="AB382" s="65">
        <v>0.02</v>
      </c>
      <c r="AC382" s="65">
        <v>0.02</v>
      </c>
      <c r="AD382" s="65">
        <v>0.03</v>
      </c>
      <c r="DH382" s="52">
        <f t="shared" ref="DH382:DJ382" si="366">ROUND($DH30*E382,0)</f>
        <v>0</v>
      </c>
      <c r="DI382" s="52">
        <f t="shared" si="366"/>
        <v>0</v>
      </c>
      <c r="DJ382" s="52">
        <f t="shared" si="366"/>
        <v>0</v>
      </c>
    </row>
    <row r="383" ht="15.75" customHeight="1">
      <c r="B383" s="52" t="s">
        <v>1792</v>
      </c>
      <c r="C383" s="52">
        <v>50.0</v>
      </c>
      <c r="D383" s="52" t="s">
        <v>1788</v>
      </c>
      <c r="E383" s="58"/>
      <c r="F383" s="58"/>
      <c r="G383" s="58"/>
      <c r="H383" s="58"/>
      <c r="I383" s="58"/>
      <c r="J383" s="58"/>
      <c r="K383" s="65">
        <v>0.08</v>
      </c>
      <c r="L383" s="65">
        <v>0.08</v>
      </c>
      <c r="M383" s="65">
        <v>0.07</v>
      </c>
      <c r="N383" s="65">
        <v>0.07</v>
      </c>
      <c r="O383" s="65">
        <v>0.06</v>
      </c>
      <c r="P383" s="65">
        <v>0.06</v>
      </c>
      <c r="Q383" s="65">
        <v>0.05</v>
      </c>
      <c r="R383" s="65">
        <v>0.05</v>
      </c>
      <c r="S383" s="65">
        <v>0.05</v>
      </c>
      <c r="T383" s="65">
        <v>0.04</v>
      </c>
      <c r="U383" s="65">
        <v>0.04</v>
      </c>
      <c r="V383" s="65">
        <v>0.04</v>
      </c>
      <c r="W383" s="65">
        <v>0.04</v>
      </c>
      <c r="X383" s="65">
        <v>0.03</v>
      </c>
      <c r="Y383" s="65">
        <v>0.03</v>
      </c>
      <c r="Z383" s="65">
        <v>0.03</v>
      </c>
      <c r="AA383" s="65">
        <v>0.03</v>
      </c>
      <c r="AB383" s="65">
        <v>0.03</v>
      </c>
      <c r="AC383" s="65">
        <v>0.02</v>
      </c>
      <c r="AD383" s="65">
        <v>0.02</v>
      </c>
      <c r="DH383" s="52">
        <f t="shared" ref="DH383:DJ383" si="367">ROUND($DH31*E383,0)</f>
        <v>0</v>
      </c>
      <c r="DI383" s="52">
        <f t="shared" si="367"/>
        <v>0</v>
      </c>
      <c r="DJ383" s="52">
        <f t="shared" si="367"/>
        <v>0</v>
      </c>
    </row>
    <row r="384" ht="15.75" customHeight="1">
      <c r="B384" s="52" t="s">
        <v>1792</v>
      </c>
      <c r="C384" s="52">
        <v>50.0</v>
      </c>
      <c r="D384" s="52" t="s">
        <v>1789</v>
      </c>
      <c r="E384" s="58"/>
      <c r="F384" s="58"/>
      <c r="G384" s="58"/>
      <c r="H384" s="58"/>
      <c r="I384" s="58"/>
      <c r="J384" s="58"/>
      <c r="K384" s="58"/>
      <c r="L384" s="65">
        <v>0.08</v>
      </c>
      <c r="M384" s="65">
        <v>0.08</v>
      </c>
      <c r="N384" s="65">
        <v>0.07</v>
      </c>
      <c r="O384" s="65">
        <v>0.07</v>
      </c>
      <c r="P384" s="65">
        <v>0.06</v>
      </c>
      <c r="Q384" s="65">
        <v>0.06</v>
      </c>
      <c r="R384" s="65">
        <v>0.05</v>
      </c>
      <c r="S384" s="65">
        <v>0.05</v>
      </c>
      <c r="T384" s="65">
        <v>0.05</v>
      </c>
      <c r="U384" s="65">
        <v>0.04</v>
      </c>
      <c r="V384" s="65">
        <v>0.04</v>
      </c>
      <c r="W384" s="65">
        <v>0.04</v>
      </c>
      <c r="X384" s="65">
        <v>0.04</v>
      </c>
      <c r="Y384" s="65">
        <v>0.03</v>
      </c>
      <c r="Z384" s="65">
        <v>0.03</v>
      </c>
      <c r="AA384" s="65">
        <v>0.03</v>
      </c>
      <c r="AB384" s="65">
        <v>0.03</v>
      </c>
      <c r="AC384" s="65">
        <v>0.03</v>
      </c>
      <c r="AD384" s="65">
        <v>0.02</v>
      </c>
      <c r="DH384" s="52">
        <f t="shared" ref="DH384:DJ384" si="368">ROUND($DH32*E384,0)</f>
        <v>0</v>
      </c>
      <c r="DI384" s="52">
        <f t="shared" si="368"/>
        <v>0</v>
      </c>
      <c r="DJ384" s="52">
        <f t="shared" si="368"/>
        <v>0</v>
      </c>
    </row>
    <row r="385" ht="15.75" customHeight="1">
      <c r="B385" s="52" t="s">
        <v>1792</v>
      </c>
      <c r="C385" s="52">
        <v>50.0</v>
      </c>
      <c r="D385" s="52" t="s">
        <v>1790</v>
      </c>
      <c r="E385" s="58"/>
      <c r="F385" s="58"/>
      <c r="G385" s="58"/>
      <c r="H385" s="58"/>
      <c r="I385" s="58"/>
      <c r="J385" s="58"/>
      <c r="K385" s="58"/>
      <c r="L385" s="58"/>
      <c r="M385" s="58"/>
      <c r="N385" s="65">
        <v>0.08</v>
      </c>
      <c r="O385" s="65">
        <v>0.08</v>
      </c>
      <c r="P385" s="65">
        <v>0.07</v>
      </c>
      <c r="Q385" s="65">
        <v>0.07</v>
      </c>
      <c r="R385" s="65">
        <v>0.06</v>
      </c>
      <c r="S385" s="65">
        <v>0.06</v>
      </c>
      <c r="T385" s="65">
        <v>0.05</v>
      </c>
      <c r="U385" s="65">
        <v>0.05</v>
      </c>
      <c r="V385" s="65">
        <v>0.05</v>
      </c>
      <c r="W385" s="65">
        <v>0.04</v>
      </c>
      <c r="X385" s="65">
        <v>0.04</v>
      </c>
      <c r="Y385" s="65">
        <v>0.04</v>
      </c>
      <c r="Z385" s="65">
        <v>0.04</v>
      </c>
      <c r="AA385" s="65">
        <v>0.03</v>
      </c>
      <c r="AB385" s="65">
        <v>0.03</v>
      </c>
      <c r="AC385" s="65">
        <v>0.03</v>
      </c>
      <c r="AD385" s="65">
        <v>0.03</v>
      </c>
      <c r="DH385" s="52">
        <f t="shared" ref="DH385:DJ385" si="369">ROUND($DH33*E385,0)</f>
        <v>0</v>
      </c>
      <c r="DI385" s="52">
        <f t="shared" si="369"/>
        <v>0</v>
      </c>
      <c r="DJ385" s="52">
        <f t="shared" si="369"/>
        <v>0</v>
      </c>
    </row>
    <row r="386" ht="15.75" customHeight="1">
      <c r="B386" s="52" t="s">
        <v>1792</v>
      </c>
      <c r="C386" s="52">
        <v>51.0</v>
      </c>
      <c r="D386" s="52">
        <v>0.0</v>
      </c>
      <c r="E386" s="65">
        <v>0.07</v>
      </c>
      <c r="F386" s="65">
        <v>0.07</v>
      </c>
      <c r="G386" s="65">
        <v>0.07</v>
      </c>
      <c r="H386" s="65">
        <v>0.07</v>
      </c>
      <c r="I386" s="65">
        <v>0.07</v>
      </c>
      <c r="J386" s="65">
        <v>0.07</v>
      </c>
      <c r="K386" s="65">
        <v>0.07</v>
      </c>
      <c r="L386" s="65">
        <v>0.07</v>
      </c>
      <c r="M386" s="65">
        <v>0.07</v>
      </c>
      <c r="N386" s="65">
        <v>0.03</v>
      </c>
      <c r="O386" s="65">
        <v>0.03</v>
      </c>
      <c r="P386" s="65">
        <v>0.03</v>
      </c>
      <c r="Q386" s="65">
        <v>0.03</v>
      </c>
      <c r="R386" s="65">
        <v>0.03</v>
      </c>
      <c r="S386" s="65">
        <v>0.03</v>
      </c>
      <c r="T386" s="65">
        <v>0.03</v>
      </c>
      <c r="U386" s="65">
        <v>0.02</v>
      </c>
      <c r="V386" s="65">
        <v>0.02</v>
      </c>
      <c r="W386" s="65">
        <v>0.02</v>
      </c>
      <c r="X386" s="65">
        <v>0.02</v>
      </c>
      <c r="Y386" s="65">
        <v>0.02</v>
      </c>
      <c r="Z386" s="65">
        <v>0.02</v>
      </c>
      <c r="AA386" s="65">
        <v>0.02</v>
      </c>
      <c r="AB386" s="65">
        <v>0.02</v>
      </c>
      <c r="AC386" s="58"/>
      <c r="AD386" s="58"/>
      <c r="DI386" s="52">
        <f t="shared" ref="DI386:DJ386" si="370">ROUND($DI27*E386,0)</f>
        <v>7</v>
      </c>
      <c r="DJ386" s="52">
        <f t="shared" si="370"/>
        <v>7</v>
      </c>
    </row>
    <row r="387" ht="15.75" customHeight="1">
      <c r="B387" s="52" t="s">
        <v>1792</v>
      </c>
      <c r="C387" s="52">
        <v>51.0</v>
      </c>
      <c r="D387" s="52" t="s">
        <v>1785</v>
      </c>
      <c r="E387" s="65">
        <v>0.02</v>
      </c>
      <c r="F387" s="65">
        <v>0.02</v>
      </c>
      <c r="G387" s="65">
        <v>0.02</v>
      </c>
      <c r="H387" s="65">
        <v>0.02</v>
      </c>
      <c r="I387" s="65">
        <v>0.08</v>
      </c>
      <c r="J387" s="65">
        <v>0.08</v>
      </c>
      <c r="K387" s="65">
        <v>0.07</v>
      </c>
      <c r="L387" s="65">
        <v>0.07</v>
      </c>
      <c r="M387" s="65">
        <v>0.06</v>
      </c>
      <c r="N387" s="65">
        <v>0.06</v>
      </c>
      <c r="O387" s="65">
        <v>0.05</v>
      </c>
      <c r="P387" s="65">
        <v>0.05</v>
      </c>
      <c r="Q387" s="65">
        <v>0.05</v>
      </c>
      <c r="R387" s="65">
        <v>0.04</v>
      </c>
      <c r="S387" s="65">
        <v>0.04</v>
      </c>
      <c r="T387" s="65">
        <v>0.04</v>
      </c>
      <c r="U387" s="65">
        <v>0.04</v>
      </c>
      <c r="V387" s="65">
        <v>0.03</v>
      </c>
      <c r="W387" s="65">
        <v>0.03</v>
      </c>
      <c r="X387" s="65">
        <v>0.03</v>
      </c>
      <c r="Y387" s="65">
        <v>0.03</v>
      </c>
      <c r="Z387" s="65">
        <v>0.03</v>
      </c>
      <c r="AA387" s="65">
        <v>0.02</v>
      </c>
      <c r="AB387" s="65">
        <v>0.02</v>
      </c>
      <c r="AC387" s="58"/>
      <c r="AD387" s="58"/>
      <c r="DI387" s="52">
        <f t="shared" ref="DI387:DJ387" si="371">ROUND($DI28*E387,0)</f>
        <v>0</v>
      </c>
      <c r="DJ387" s="52">
        <f t="shared" si="371"/>
        <v>0</v>
      </c>
    </row>
    <row r="388" ht="15.75" customHeight="1">
      <c r="B388" s="52" t="s">
        <v>1792</v>
      </c>
      <c r="C388" s="52">
        <v>51.0</v>
      </c>
      <c r="D388" s="52" t="s">
        <v>1786</v>
      </c>
      <c r="E388" s="58"/>
      <c r="F388" s="58"/>
      <c r="G388" s="58"/>
      <c r="H388" s="65">
        <v>0.08</v>
      </c>
      <c r="I388" s="65">
        <v>0.08</v>
      </c>
      <c r="J388" s="65">
        <v>0.07</v>
      </c>
      <c r="K388" s="65">
        <v>0.07</v>
      </c>
      <c r="L388" s="65">
        <v>0.06</v>
      </c>
      <c r="M388" s="65">
        <v>0.06</v>
      </c>
      <c r="N388" s="65">
        <v>0.05</v>
      </c>
      <c r="O388" s="65">
        <v>0.05</v>
      </c>
      <c r="P388" s="65">
        <v>0.05</v>
      </c>
      <c r="Q388" s="65">
        <v>0.04</v>
      </c>
      <c r="R388" s="65">
        <v>0.04</v>
      </c>
      <c r="S388" s="65">
        <v>0.04</v>
      </c>
      <c r="T388" s="65">
        <v>0.04</v>
      </c>
      <c r="U388" s="65">
        <v>0.03</v>
      </c>
      <c r="V388" s="65">
        <v>0.03</v>
      </c>
      <c r="W388" s="65">
        <v>0.03</v>
      </c>
      <c r="X388" s="65">
        <v>0.03</v>
      </c>
      <c r="Y388" s="65">
        <v>0.03</v>
      </c>
      <c r="Z388" s="65">
        <v>0.02</v>
      </c>
      <c r="AA388" s="65">
        <v>0.02</v>
      </c>
      <c r="AB388" s="65">
        <v>0.03</v>
      </c>
      <c r="AC388" s="65">
        <v>0.03</v>
      </c>
      <c r="AD388" s="65">
        <v>0.02</v>
      </c>
      <c r="DI388" s="52">
        <f t="shared" ref="DI388:DJ388" si="372">ROUND($DI29*E388,0)</f>
        <v>0</v>
      </c>
      <c r="DJ388" s="52">
        <f t="shared" si="372"/>
        <v>0</v>
      </c>
    </row>
    <row r="389" ht="15.75" customHeight="1">
      <c r="B389" s="52" t="s">
        <v>1792</v>
      </c>
      <c r="C389" s="52">
        <v>51.0</v>
      </c>
      <c r="D389" s="52" t="s">
        <v>1787</v>
      </c>
      <c r="E389" s="58"/>
      <c r="F389" s="58"/>
      <c r="G389" s="58"/>
      <c r="H389" s="58"/>
      <c r="I389" s="58"/>
      <c r="J389" s="65">
        <v>0.08</v>
      </c>
      <c r="K389" s="65">
        <v>0.08</v>
      </c>
      <c r="L389" s="65">
        <v>0.07</v>
      </c>
      <c r="M389" s="65">
        <v>0.07</v>
      </c>
      <c r="N389" s="65">
        <v>0.06</v>
      </c>
      <c r="O389" s="65">
        <v>0.06</v>
      </c>
      <c r="P389" s="65">
        <v>0.05</v>
      </c>
      <c r="Q389" s="65">
        <v>0.05</v>
      </c>
      <c r="R389" s="65">
        <v>0.05</v>
      </c>
      <c r="S389" s="65">
        <v>0.04</v>
      </c>
      <c r="T389" s="65">
        <v>0.04</v>
      </c>
      <c r="U389" s="65">
        <v>0.04</v>
      </c>
      <c r="V389" s="65">
        <v>0.04</v>
      </c>
      <c r="W389" s="65">
        <v>0.03</v>
      </c>
      <c r="X389" s="65">
        <v>0.03</v>
      </c>
      <c r="Y389" s="65">
        <v>0.03</v>
      </c>
      <c r="Z389" s="65">
        <v>0.03</v>
      </c>
      <c r="AA389" s="65">
        <v>0.03</v>
      </c>
      <c r="AB389" s="65">
        <v>0.02</v>
      </c>
      <c r="AC389" s="65">
        <v>0.02</v>
      </c>
      <c r="AD389" s="65">
        <v>0.03</v>
      </c>
      <c r="DI389" s="52">
        <f t="shared" ref="DI389:DJ389" si="373">ROUND($DI30*E389,0)</f>
        <v>0</v>
      </c>
      <c r="DJ389" s="52">
        <f t="shared" si="373"/>
        <v>0</v>
      </c>
    </row>
    <row r="390" ht="15.75" customHeight="1">
      <c r="B390" s="52" t="s">
        <v>1792</v>
      </c>
      <c r="C390" s="52">
        <v>51.0</v>
      </c>
      <c r="D390" s="52" t="s">
        <v>1788</v>
      </c>
      <c r="E390" s="58"/>
      <c r="F390" s="58"/>
      <c r="G390" s="58"/>
      <c r="H390" s="58"/>
      <c r="I390" s="58"/>
      <c r="J390" s="58"/>
      <c r="K390" s="65">
        <v>0.08</v>
      </c>
      <c r="L390" s="65">
        <v>0.08</v>
      </c>
      <c r="M390" s="65">
        <v>0.07</v>
      </c>
      <c r="N390" s="65">
        <v>0.07</v>
      </c>
      <c r="O390" s="65">
        <v>0.06</v>
      </c>
      <c r="P390" s="65">
        <v>0.06</v>
      </c>
      <c r="Q390" s="65">
        <v>0.05</v>
      </c>
      <c r="R390" s="65">
        <v>0.05</v>
      </c>
      <c r="S390" s="65">
        <v>0.05</v>
      </c>
      <c r="T390" s="65">
        <v>0.04</v>
      </c>
      <c r="U390" s="65">
        <v>0.04</v>
      </c>
      <c r="V390" s="65">
        <v>0.04</v>
      </c>
      <c r="W390" s="65">
        <v>0.04</v>
      </c>
      <c r="X390" s="65">
        <v>0.03</v>
      </c>
      <c r="Y390" s="65">
        <v>0.03</v>
      </c>
      <c r="Z390" s="65">
        <v>0.03</v>
      </c>
      <c r="AA390" s="65">
        <v>0.03</v>
      </c>
      <c r="AB390" s="65">
        <v>0.03</v>
      </c>
      <c r="AC390" s="65">
        <v>0.02</v>
      </c>
      <c r="AD390" s="65">
        <v>0.02</v>
      </c>
      <c r="DI390" s="52">
        <f t="shared" ref="DI390:DJ390" si="374">ROUND($DI31*E390,0)</f>
        <v>0</v>
      </c>
      <c r="DJ390" s="52">
        <f t="shared" si="374"/>
        <v>0</v>
      </c>
    </row>
    <row r="391" ht="15.75" customHeight="1">
      <c r="B391" s="52" t="s">
        <v>1792</v>
      </c>
      <c r="C391" s="52">
        <v>51.0</v>
      </c>
      <c r="D391" s="52" t="s">
        <v>1789</v>
      </c>
      <c r="E391" s="58"/>
      <c r="F391" s="58"/>
      <c r="G391" s="58"/>
      <c r="H391" s="58"/>
      <c r="I391" s="58"/>
      <c r="J391" s="58"/>
      <c r="K391" s="58"/>
      <c r="L391" s="65">
        <v>0.08</v>
      </c>
      <c r="M391" s="65">
        <v>0.08</v>
      </c>
      <c r="N391" s="65">
        <v>0.07</v>
      </c>
      <c r="O391" s="65">
        <v>0.07</v>
      </c>
      <c r="P391" s="65">
        <v>0.06</v>
      </c>
      <c r="Q391" s="65">
        <v>0.06</v>
      </c>
      <c r="R391" s="65">
        <v>0.05</v>
      </c>
      <c r="S391" s="65">
        <v>0.05</v>
      </c>
      <c r="T391" s="65">
        <v>0.05</v>
      </c>
      <c r="U391" s="65">
        <v>0.04</v>
      </c>
      <c r="V391" s="65">
        <v>0.04</v>
      </c>
      <c r="W391" s="65">
        <v>0.04</v>
      </c>
      <c r="X391" s="65">
        <v>0.04</v>
      </c>
      <c r="Y391" s="65">
        <v>0.03</v>
      </c>
      <c r="Z391" s="65">
        <v>0.03</v>
      </c>
      <c r="AA391" s="65">
        <v>0.03</v>
      </c>
      <c r="AB391" s="65">
        <v>0.03</v>
      </c>
      <c r="AC391" s="65">
        <v>0.03</v>
      </c>
      <c r="AD391" s="65">
        <v>0.02</v>
      </c>
      <c r="DI391" s="52">
        <f t="shared" ref="DI391:DJ391" si="375">ROUND($DI32*E391,0)</f>
        <v>0</v>
      </c>
      <c r="DJ391" s="52">
        <f t="shared" si="375"/>
        <v>0</v>
      </c>
    </row>
    <row r="392" ht="15.75" customHeight="1">
      <c r="B392" s="52" t="s">
        <v>1792</v>
      </c>
      <c r="C392" s="52">
        <v>51.0</v>
      </c>
      <c r="D392" s="52" t="s">
        <v>1790</v>
      </c>
      <c r="E392" s="58"/>
      <c r="F392" s="58"/>
      <c r="G392" s="58"/>
      <c r="H392" s="58"/>
      <c r="I392" s="58"/>
      <c r="J392" s="58"/>
      <c r="K392" s="58"/>
      <c r="L392" s="58"/>
      <c r="M392" s="58"/>
      <c r="N392" s="65">
        <v>0.08</v>
      </c>
      <c r="O392" s="65">
        <v>0.08</v>
      </c>
      <c r="P392" s="65">
        <v>0.07</v>
      </c>
      <c r="Q392" s="65">
        <v>0.07</v>
      </c>
      <c r="R392" s="65">
        <v>0.06</v>
      </c>
      <c r="S392" s="65">
        <v>0.06</v>
      </c>
      <c r="T392" s="65">
        <v>0.05</v>
      </c>
      <c r="U392" s="65">
        <v>0.05</v>
      </c>
      <c r="V392" s="65">
        <v>0.05</v>
      </c>
      <c r="W392" s="65">
        <v>0.04</v>
      </c>
      <c r="X392" s="65">
        <v>0.04</v>
      </c>
      <c r="Y392" s="65">
        <v>0.04</v>
      </c>
      <c r="Z392" s="65">
        <v>0.04</v>
      </c>
      <c r="AA392" s="65">
        <v>0.03</v>
      </c>
      <c r="AB392" s="65">
        <v>0.03</v>
      </c>
      <c r="AC392" s="65">
        <v>0.03</v>
      </c>
      <c r="AD392" s="65">
        <v>0.03</v>
      </c>
      <c r="DI392" s="52">
        <f t="shared" ref="DI392:DJ392" si="376">ROUND($DI33*E392,0)</f>
        <v>0</v>
      </c>
      <c r="DJ392" s="52">
        <f t="shared" si="376"/>
        <v>0</v>
      </c>
    </row>
    <row r="393" ht="15.75" customHeight="1">
      <c r="B393" s="52" t="s">
        <v>1792</v>
      </c>
      <c r="C393" s="52">
        <v>52.0</v>
      </c>
      <c r="D393" s="52">
        <v>0.0</v>
      </c>
      <c r="E393" s="65">
        <v>0.07</v>
      </c>
      <c r="F393" s="65">
        <v>0.07</v>
      </c>
      <c r="G393" s="65">
        <v>0.07</v>
      </c>
      <c r="H393" s="65">
        <v>0.07</v>
      </c>
      <c r="I393" s="65">
        <v>0.07</v>
      </c>
      <c r="J393" s="65">
        <v>0.07</v>
      </c>
      <c r="K393" s="65">
        <v>0.07</v>
      </c>
      <c r="L393" s="65">
        <v>0.07</v>
      </c>
      <c r="M393" s="65">
        <v>0.07</v>
      </c>
      <c r="N393" s="65">
        <v>0.03</v>
      </c>
      <c r="O393" s="65">
        <v>0.03</v>
      </c>
      <c r="P393" s="65">
        <v>0.03</v>
      </c>
      <c r="Q393" s="65">
        <v>0.03</v>
      </c>
      <c r="R393" s="65">
        <v>0.03</v>
      </c>
      <c r="S393" s="65">
        <v>0.03</v>
      </c>
      <c r="T393" s="65">
        <v>0.03</v>
      </c>
      <c r="U393" s="65">
        <v>0.02</v>
      </c>
      <c r="V393" s="65">
        <v>0.02</v>
      </c>
      <c r="W393" s="65">
        <v>0.02</v>
      </c>
      <c r="X393" s="65">
        <v>0.02</v>
      </c>
      <c r="Y393" s="65">
        <v>0.02</v>
      </c>
      <c r="Z393" s="65">
        <v>0.02</v>
      </c>
      <c r="AA393" s="65">
        <v>0.02</v>
      </c>
      <c r="AB393" s="65">
        <v>0.02</v>
      </c>
      <c r="AC393" s="58"/>
      <c r="AD393" s="58"/>
      <c r="DJ393" s="52">
        <f t="shared" ref="DJ393:DJ399" si="377">ROUND($DJ27*E393,0)</f>
        <v>7</v>
      </c>
    </row>
    <row r="394" ht="15.75" customHeight="1">
      <c r="B394" s="52" t="s">
        <v>1792</v>
      </c>
      <c r="C394" s="52">
        <v>52.0</v>
      </c>
      <c r="D394" s="52" t="s">
        <v>1785</v>
      </c>
      <c r="E394" s="65">
        <v>0.02</v>
      </c>
      <c r="F394" s="65">
        <v>0.02</v>
      </c>
      <c r="G394" s="65">
        <v>0.02</v>
      </c>
      <c r="H394" s="65">
        <v>0.02</v>
      </c>
      <c r="I394" s="65">
        <v>0.08</v>
      </c>
      <c r="J394" s="65">
        <v>0.08</v>
      </c>
      <c r="K394" s="65">
        <v>0.07</v>
      </c>
      <c r="L394" s="65">
        <v>0.07</v>
      </c>
      <c r="M394" s="65">
        <v>0.06</v>
      </c>
      <c r="N394" s="65">
        <v>0.06</v>
      </c>
      <c r="O394" s="65">
        <v>0.05</v>
      </c>
      <c r="P394" s="65">
        <v>0.05</v>
      </c>
      <c r="Q394" s="65">
        <v>0.05</v>
      </c>
      <c r="R394" s="65">
        <v>0.04</v>
      </c>
      <c r="S394" s="65">
        <v>0.04</v>
      </c>
      <c r="T394" s="65">
        <v>0.04</v>
      </c>
      <c r="U394" s="65">
        <v>0.04</v>
      </c>
      <c r="V394" s="65">
        <v>0.03</v>
      </c>
      <c r="W394" s="65">
        <v>0.03</v>
      </c>
      <c r="X394" s="65">
        <v>0.03</v>
      </c>
      <c r="Y394" s="65">
        <v>0.03</v>
      </c>
      <c r="Z394" s="65">
        <v>0.03</v>
      </c>
      <c r="AA394" s="65">
        <v>0.02</v>
      </c>
      <c r="AB394" s="65">
        <v>0.02</v>
      </c>
      <c r="AC394" s="58"/>
      <c r="AD394" s="58"/>
      <c r="DJ394" s="52">
        <f t="shared" si="377"/>
        <v>0</v>
      </c>
    </row>
    <row r="395" ht="15.75" customHeight="1">
      <c r="B395" s="52" t="s">
        <v>1792</v>
      </c>
      <c r="C395" s="52">
        <v>52.0</v>
      </c>
      <c r="D395" s="52" t="s">
        <v>1786</v>
      </c>
      <c r="E395" s="58"/>
      <c r="F395" s="58"/>
      <c r="G395" s="58"/>
      <c r="H395" s="65">
        <v>0.08</v>
      </c>
      <c r="I395" s="65">
        <v>0.08</v>
      </c>
      <c r="J395" s="65">
        <v>0.07</v>
      </c>
      <c r="K395" s="65">
        <v>0.07</v>
      </c>
      <c r="L395" s="65">
        <v>0.06</v>
      </c>
      <c r="M395" s="65">
        <v>0.06</v>
      </c>
      <c r="N395" s="65">
        <v>0.05</v>
      </c>
      <c r="O395" s="65">
        <v>0.05</v>
      </c>
      <c r="P395" s="65">
        <v>0.05</v>
      </c>
      <c r="Q395" s="65">
        <v>0.04</v>
      </c>
      <c r="R395" s="65">
        <v>0.04</v>
      </c>
      <c r="S395" s="65">
        <v>0.04</v>
      </c>
      <c r="T395" s="65">
        <v>0.04</v>
      </c>
      <c r="U395" s="65">
        <v>0.03</v>
      </c>
      <c r="V395" s="65">
        <v>0.03</v>
      </c>
      <c r="W395" s="65">
        <v>0.03</v>
      </c>
      <c r="X395" s="65">
        <v>0.03</v>
      </c>
      <c r="Y395" s="65">
        <v>0.03</v>
      </c>
      <c r="Z395" s="65">
        <v>0.02</v>
      </c>
      <c r="AA395" s="65">
        <v>0.02</v>
      </c>
      <c r="AB395" s="65">
        <v>0.03</v>
      </c>
      <c r="AC395" s="65">
        <v>0.03</v>
      </c>
      <c r="AD395" s="65">
        <v>0.02</v>
      </c>
      <c r="DJ395" s="52">
        <f t="shared" si="377"/>
        <v>0</v>
      </c>
    </row>
    <row r="396" ht="15.75" customHeight="1">
      <c r="B396" s="52" t="s">
        <v>1792</v>
      </c>
      <c r="C396" s="52">
        <v>52.0</v>
      </c>
      <c r="D396" s="52" t="s">
        <v>1787</v>
      </c>
      <c r="E396" s="58"/>
      <c r="F396" s="58"/>
      <c r="G396" s="58"/>
      <c r="H396" s="58"/>
      <c r="I396" s="58"/>
      <c r="J396" s="65">
        <v>0.08</v>
      </c>
      <c r="K396" s="65">
        <v>0.08</v>
      </c>
      <c r="L396" s="65">
        <v>0.07</v>
      </c>
      <c r="M396" s="65">
        <v>0.07</v>
      </c>
      <c r="N396" s="65">
        <v>0.06</v>
      </c>
      <c r="O396" s="65">
        <v>0.06</v>
      </c>
      <c r="P396" s="65">
        <v>0.05</v>
      </c>
      <c r="Q396" s="65">
        <v>0.05</v>
      </c>
      <c r="R396" s="65">
        <v>0.05</v>
      </c>
      <c r="S396" s="65">
        <v>0.04</v>
      </c>
      <c r="T396" s="65">
        <v>0.04</v>
      </c>
      <c r="U396" s="65">
        <v>0.04</v>
      </c>
      <c r="V396" s="65">
        <v>0.04</v>
      </c>
      <c r="W396" s="65">
        <v>0.03</v>
      </c>
      <c r="X396" s="65">
        <v>0.03</v>
      </c>
      <c r="Y396" s="65">
        <v>0.03</v>
      </c>
      <c r="Z396" s="65">
        <v>0.03</v>
      </c>
      <c r="AA396" s="65">
        <v>0.03</v>
      </c>
      <c r="AB396" s="65">
        <v>0.02</v>
      </c>
      <c r="AC396" s="65">
        <v>0.02</v>
      </c>
      <c r="AD396" s="65">
        <v>0.03</v>
      </c>
      <c r="DJ396" s="52">
        <f t="shared" si="377"/>
        <v>0</v>
      </c>
    </row>
    <row r="397" ht="15.75" customHeight="1">
      <c r="B397" s="52" t="s">
        <v>1792</v>
      </c>
      <c r="C397" s="52">
        <v>52.0</v>
      </c>
      <c r="D397" s="52" t="s">
        <v>1788</v>
      </c>
      <c r="E397" s="58"/>
      <c r="F397" s="58"/>
      <c r="G397" s="58"/>
      <c r="H397" s="58"/>
      <c r="I397" s="58"/>
      <c r="J397" s="58"/>
      <c r="K397" s="65">
        <v>0.08</v>
      </c>
      <c r="L397" s="65">
        <v>0.08</v>
      </c>
      <c r="M397" s="65">
        <v>0.07</v>
      </c>
      <c r="N397" s="65">
        <v>0.07</v>
      </c>
      <c r="O397" s="65">
        <v>0.06</v>
      </c>
      <c r="P397" s="65">
        <v>0.06</v>
      </c>
      <c r="Q397" s="65">
        <v>0.05</v>
      </c>
      <c r="R397" s="65">
        <v>0.05</v>
      </c>
      <c r="S397" s="65">
        <v>0.05</v>
      </c>
      <c r="T397" s="65">
        <v>0.04</v>
      </c>
      <c r="U397" s="65">
        <v>0.04</v>
      </c>
      <c r="V397" s="65">
        <v>0.04</v>
      </c>
      <c r="W397" s="65">
        <v>0.04</v>
      </c>
      <c r="X397" s="65">
        <v>0.03</v>
      </c>
      <c r="Y397" s="65">
        <v>0.03</v>
      </c>
      <c r="Z397" s="65">
        <v>0.03</v>
      </c>
      <c r="AA397" s="65">
        <v>0.03</v>
      </c>
      <c r="AB397" s="65">
        <v>0.03</v>
      </c>
      <c r="AC397" s="65">
        <v>0.02</v>
      </c>
      <c r="AD397" s="65">
        <v>0.02</v>
      </c>
      <c r="DJ397" s="52">
        <f t="shared" si="377"/>
        <v>0</v>
      </c>
    </row>
    <row r="398" ht="15.75" customHeight="1">
      <c r="B398" s="52" t="s">
        <v>1792</v>
      </c>
      <c r="C398" s="52">
        <v>52.0</v>
      </c>
      <c r="D398" s="52" t="s">
        <v>1789</v>
      </c>
      <c r="E398" s="58"/>
      <c r="F398" s="58"/>
      <c r="G398" s="58"/>
      <c r="H398" s="58"/>
      <c r="I398" s="58"/>
      <c r="J398" s="58"/>
      <c r="K398" s="58"/>
      <c r="L398" s="65">
        <v>0.08</v>
      </c>
      <c r="M398" s="65">
        <v>0.08</v>
      </c>
      <c r="N398" s="65">
        <v>0.07</v>
      </c>
      <c r="O398" s="65">
        <v>0.07</v>
      </c>
      <c r="P398" s="65">
        <v>0.06</v>
      </c>
      <c r="Q398" s="65">
        <v>0.06</v>
      </c>
      <c r="R398" s="65">
        <v>0.05</v>
      </c>
      <c r="S398" s="65">
        <v>0.05</v>
      </c>
      <c r="T398" s="65">
        <v>0.05</v>
      </c>
      <c r="U398" s="65">
        <v>0.04</v>
      </c>
      <c r="V398" s="65">
        <v>0.04</v>
      </c>
      <c r="W398" s="65">
        <v>0.04</v>
      </c>
      <c r="X398" s="65">
        <v>0.04</v>
      </c>
      <c r="Y398" s="65">
        <v>0.03</v>
      </c>
      <c r="Z398" s="65">
        <v>0.03</v>
      </c>
      <c r="AA398" s="65">
        <v>0.03</v>
      </c>
      <c r="AB398" s="65">
        <v>0.03</v>
      </c>
      <c r="AC398" s="65">
        <v>0.03</v>
      </c>
      <c r="AD398" s="65">
        <v>0.02</v>
      </c>
      <c r="DJ398" s="52">
        <f t="shared" si="377"/>
        <v>0</v>
      </c>
    </row>
    <row r="399" ht="15.75" customHeight="1">
      <c r="B399" s="52" t="s">
        <v>1792</v>
      </c>
      <c r="C399" s="52">
        <v>52.0</v>
      </c>
      <c r="D399" s="52" t="s">
        <v>1790</v>
      </c>
      <c r="E399" s="58"/>
      <c r="F399" s="58"/>
      <c r="G399" s="58"/>
      <c r="H399" s="58"/>
      <c r="I399" s="58"/>
      <c r="J399" s="58"/>
      <c r="K399" s="58"/>
      <c r="L399" s="58"/>
      <c r="M399" s="58"/>
      <c r="N399" s="65">
        <v>0.08</v>
      </c>
      <c r="O399" s="65">
        <v>0.08</v>
      </c>
      <c r="P399" s="65">
        <v>0.07</v>
      </c>
      <c r="Q399" s="65">
        <v>0.07</v>
      </c>
      <c r="R399" s="65">
        <v>0.06</v>
      </c>
      <c r="S399" s="65">
        <v>0.06</v>
      </c>
      <c r="T399" s="65">
        <v>0.05</v>
      </c>
      <c r="U399" s="65">
        <v>0.05</v>
      </c>
      <c r="V399" s="65">
        <v>0.05</v>
      </c>
      <c r="W399" s="65">
        <v>0.04</v>
      </c>
      <c r="X399" s="65">
        <v>0.04</v>
      </c>
      <c r="Y399" s="65">
        <v>0.04</v>
      </c>
      <c r="Z399" s="65">
        <v>0.04</v>
      </c>
      <c r="AA399" s="65">
        <v>0.03</v>
      </c>
      <c r="AB399" s="65">
        <v>0.03</v>
      </c>
      <c r="AC399" s="65">
        <v>0.03</v>
      </c>
      <c r="AD399" s="65">
        <v>0.03</v>
      </c>
      <c r="DJ399" s="52">
        <f t="shared" si="377"/>
        <v>0</v>
      </c>
    </row>
    <row r="400" ht="15.75" customHeight="1">
      <c r="D400" s="63"/>
      <c r="E400" s="56"/>
      <c r="F400" s="56"/>
      <c r="G400" s="56"/>
      <c r="H400" s="56"/>
    </row>
    <row r="401" ht="15.75" customHeight="1">
      <c r="D401" s="63"/>
      <c r="E401" s="56"/>
      <c r="F401" s="56"/>
      <c r="G401" s="56"/>
      <c r="H401" s="56"/>
    </row>
    <row r="402" ht="15.75" customHeight="1">
      <c r="D402" s="63" t="s">
        <v>1793</v>
      </c>
      <c r="E402" s="56"/>
      <c r="F402" s="56"/>
      <c r="G402" s="56"/>
      <c r="H402" s="56"/>
      <c r="I402" s="56"/>
      <c r="J402" s="56"/>
      <c r="BK402" s="52">
        <f t="shared" ref="BK402:DL402" si="378">SUM(BK92:BK401)</f>
        <v>0</v>
      </c>
      <c r="BL402" s="52">
        <f t="shared" si="378"/>
        <v>0</v>
      </c>
      <c r="BM402" s="52">
        <f t="shared" si="378"/>
        <v>0</v>
      </c>
      <c r="BN402" s="52">
        <f t="shared" si="378"/>
        <v>0</v>
      </c>
      <c r="BO402" s="52">
        <f t="shared" si="378"/>
        <v>0</v>
      </c>
      <c r="BP402" s="52">
        <f t="shared" si="378"/>
        <v>0</v>
      </c>
      <c r="BQ402" s="52">
        <f t="shared" si="378"/>
        <v>0</v>
      </c>
      <c r="BR402" s="52">
        <f t="shared" si="378"/>
        <v>0</v>
      </c>
      <c r="BS402" s="52">
        <f t="shared" si="378"/>
        <v>10</v>
      </c>
      <c r="BT402" s="52">
        <f t="shared" si="378"/>
        <v>67</v>
      </c>
      <c r="BU402" s="52">
        <f t="shared" si="378"/>
        <v>67</v>
      </c>
      <c r="BV402" s="52">
        <f t="shared" si="378"/>
        <v>77</v>
      </c>
      <c r="BW402" s="52">
        <f t="shared" si="378"/>
        <v>97</v>
      </c>
      <c r="BX402" s="52">
        <f t="shared" si="378"/>
        <v>129</v>
      </c>
      <c r="BY402" s="52">
        <f t="shared" si="378"/>
        <v>145</v>
      </c>
      <c r="BZ402" s="52">
        <f t="shared" si="378"/>
        <v>172</v>
      </c>
      <c r="CA402" s="52">
        <f t="shared" si="378"/>
        <v>210</v>
      </c>
      <c r="CB402" s="52">
        <f t="shared" si="378"/>
        <v>236</v>
      </c>
      <c r="CC402" s="52">
        <f t="shared" si="378"/>
        <v>220</v>
      </c>
      <c r="CD402" s="52">
        <f t="shared" si="378"/>
        <v>255</v>
      </c>
      <c r="CE402" s="52">
        <f t="shared" si="378"/>
        <v>272</v>
      </c>
      <c r="CF402" s="52">
        <f t="shared" si="378"/>
        <v>283</v>
      </c>
      <c r="CG402" s="52">
        <f t="shared" si="378"/>
        <v>305</v>
      </c>
      <c r="CH402" s="52">
        <f t="shared" si="378"/>
        <v>319</v>
      </c>
      <c r="CI402" s="52">
        <f t="shared" si="378"/>
        <v>323</v>
      </c>
      <c r="CJ402" s="52">
        <f t="shared" si="378"/>
        <v>319</v>
      </c>
      <c r="CK402" s="52">
        <f t="shared" si="378"/>
        <v>423</v>
      </c>
      <c r="CL402" s="52">
        <f t="shared" si="378"/>
        <v>431</v>
      </c>
      <c r="CM402" s="52">
        <f t="shared" si="378"/>
        <v>432</v>
      </c>
      <c r="CN402" s="52">
        <f t="shared" si="378"/>
        <v>449</v>
      </c>
      <c r="CO402" s="52">
        <f t="shared" si="378"/>
        <v>474</v>
      </c>
      <c r="CP402" s="52">
        <f t="shared" si="378"/>
        <v>464</v>
      </c>
      <c r="CQ402" s="52">
        <f t="shared" si="378"/>
        <v>459</v>
      </c>
      <c r="CR402" s="52">
        <f t="shared" si="378"/>
        <v>448</v>
      </c>
      <c r="CS402" s="52">
        <f t="shared" si="378"/>
        <v>446</v>
      </c>
      <c r="CT402" s="52">
        <f t="shared" si="378"/>
        <v>376</v>
      </c>
      <c r="CU402" s="52">
        <f t="shared" si="378"/>
        <v>367</v>
      </c>
      <c r="CV402" s="52">
        <f t="shared" si="378"/>
        <v>360</v>
      </c>
      <c r="CW402" s="52">
        <f t="shared" si="378"/>
        <v>374</v>
      </c>
      <c r="CX402" s="52">
        <f t="shared" si="378"/>
        <v>352</v>
      </c>
      <c r="CY402" s="52">
        <f t="shared" si="378"/>
        <v>338</v>
      </c>
      <c r="CZ402" s="52">
        <f t="shared" si="378"/>
        <v>355</v>
      </c>
      <c r="DA402" s="52">
        <f t="shared" si="378"/>
        <v>329</v>
      </c>
      <c r="DB402" s="52">
        <f t="shared" si="378"/>
        <v>413</v>
      </c>
      <c r="DC402" s="52">
        <f t="shared" si="378"/>
        <v>419</v>
      </c>
      <c r="DD402" s="52">
        <f t="shared" si="378"/>
        <v>411</v>
      </c>
      <c r="DE402" s="52">
        <f t="shared" si="378"/>
        <v>415</v>
      </c>
      <c r="DF402" s="52">
        <f t="shared" si="378"/>
        <v>413</v>
      </c>
      <c r="DG402" s="52">
        <f t="shared" si="378"/>
        <v>418</v>
      </c>
      <c r="DH402" s="52">
        <f t="shared" si="378"/>
        <v>422</v>
      </c>
      <c r="DI402" s="52">
        <f t="shared" si="378"/>
        <v>393</v>
      </c>
      <c r="DJ402" s="52">
        <f t="shared" si="378"/>
        <v>390</v>
      </c>
      <c r="DK402" s="52">
        <f t="shared" si="378"/>
        <v>0</v>
      </c>
      <c r="DL402" s="52">
        <f t="shared" si="378"/>
        <v>0</v>
      </c>
    </row>
    <row r="403" ht="15.75" customHeight="1">
      <c r="D403" s="67"/>
      <c r="E403" s="56"/>
      <c r="F403" s="56"/>
      <c r="G403" s="56"/>
      <c r="H403" s="56"/>
      <c r="I403" s="56"/>
      <c r="J403" s="56"/>
      <c r="K403" s="56"/>
    </row>
    <row r="404" ht="15.75" customHeight="1">
      <c r="D404" s="63" t="s">
        <v>1794</v>
      </c>
      <c r="E404" s="56"/>
      <c r="F404" s="56"/>
      <c r="G404" s="56"/>
      <c r="H404" s="56"/>
      <c r="I404" s="56"/>
      <c r="J404" s="56"/>
      <c r="K404" s="56"/>
      <c r="BT404" s="52" t="str">
        <f t="shared" ref="BT404:DJ404" si="379">'Weekly activation - combined'!M19</f>
        <v>#REF!</v>
      </c>
      <c r="BU404" s="52" t="str">
        <f t="shared" si="379"/>
        <v>#REF!</v>
      </c>
      <c r="BV404" s="52" t="str">
        <f t="shared" si="379"/>
        <v>#REF!</v>
      </c>
      <c r="BW404" s="52" t="str">
        <f t="shared" si="379"/>
        <v>#REF!</v>
      </c>
      <c r="BX404" s="52" t="str">
        <f t="shared" si="379"/>
        <v>#REF!</v>
      </c>
      <c r="BY404" s="52" t="str">
        <f t="shared" si="379"/>
        <v>#REF!</v>
      </c>
      <c r="BZ404" s="52" t="str">
        <f t="shared" si="379"/>
        <v>#REF!</v>
      </c>
      <c r="CA404" s="52" t="str">
        <f t="shared" si="379"/>
        <v>#REF!</v>
      </c>
      <c r="CB404" s="52" t="str">
        <f t="shared" si="379"/>
        <v>#REF!</v>
      </c>
      <c r="CC404" s="52" t="str">
        <f t="shared" si="379"/>
        <v>#REF!</v>
      </c>
      <c r="CD404" s="52" t="str">
        <f t="shared" si="379"/>
        <v>#REF!</v>
      </c>
      <c r="CE404" s="52" t="str">
        <f t="shared" si="379"/>
        <v>#REF!</v>
      </c>
      <c r="CF404" s="52" t="str">
        <f t="shared" si="379"/>
        <v>#REF!</v>
      </c>
      <c r="CG404" s="52" t="str">
        <f t="shared" si="379"/>
        <v>#REF!</v>
      </c>
      <c r="CH404" s="52" t="str">
        <f t="shared" si="379"/>
        <v>#REF!</v>
      </c>
      <c r="CI404" s="52" t="str">
        <f t="shared" si="379"/>
        <v>#REF!</v>
      </c>
      <c r="CJ404" s="52" t="str">
        <f t="shared" si="379"/>
        <v>#REF!</v>
      </c>
      <c r="CK404" s="52" t="str">
        <f t="shared" si="379"/>
        <v>#REF!</v>
      </c>
      <c r="CL404" s="52" t="str">
        <f t="shared" si="379"/>
        <v>#REF!</v>
      </c>
      <c r="CM404" s="52" t="str">
        <f t="shared" si="379"/>
        <v>#REF!</v>
      </c>
      <c r="CN404" s="52" t="str">
        <f t="shared" si="379"/>
        <v>#REF!</v>
      </c>
      <c r="CO404" s="52" t="str">
        <f t="shared" si="379"/>
        <v>#REF!</v>
      </c>
      <c r="CP404" s="52" t="str">
        <f t="shared" si="379"/>
        <v>#REF!</v>
      </c>
      <c r="CQ404" s="52" t="str">
        <f t="shared" si="379"/>
        <v>#REF!</v>
      </c>
      <c r="CR404" s="52" t="str">
        <f t="shared" si="379"/>
        <v>#REF!</v>
      </c>
      <c r="CS404" s="52" t="str">
        <f t="shared" si="379"/>
        <v>#REF!</v>
      </c>
      <c r="CT404" s="52" t="str">
        <f t="shared" si="379"/>
        <v>#REF!</v>
      </c>
      <c r="CU404" s="52" t="str">
        <f t="shared" si="379"/>
        <v>#REF!</v>
      </c>
      <c r="CV404" s="52" t="str">
        <f t="shared" si="379"/>
        <v>#REF!</v>
      </c>
      <c r="CW404" s="52" t="str">
        <f t="shared" si="379"/>
        <v>#REF!</v>
      </c>
      <c r="CX404" s="52" t="str">
        <f t="shared" si="379"/>
        <v>#REF!</v>
      </c>
      <c r="CY404" s="52" t="str">
        <f t="shared" si="379"/>
        <v>#REF!</v>
      </c>
      <c r="CZ404" s="52" t="str">
        <f t="shared" si="379"/>
        <v>#REF!</v>
      </c>
      <c r="DA404" s="52" t="str">
        <f t="shared" si="379"/>
        <v>#REF!</v>
      </c>
      <c r="DB404" s="52" t="str">
        <f t="shared" si="379"/>
        <v>#REF!</v>
      </c>
      <c r="DC404" s="52" t="str">
        <f t="shared" si="379"/>
        <v>#REF!</v>
      </c>
      <c r="DD404" s="52" t="str">
        <f t="shared" si="379"/>
        <v>#REF!</v>
      </c>
      <c r="DE404" s="52" t="str">
        <f t="shared" si="379"/>
        <v>#REF!</v>
      </c>
      <c r="DF404" s="52" t="str">
        <f t="shared" si="379"/>
        <v>#REF!</v>
      </c>
      <c r="DG404" s="52" t="str">
        <f t="shared" si="379"/>
        <v>#REF!</v>
      </c>
      <c r="DH404" s="52" t="str">
        <f t="shared" si="379"/>
        <v>#REF!</v>
      </c>
      <c r="DI404" s="52" t="str">
        <f t="shared" si="379"/>
        <v>#REF!</v>
      </c>
      <c r="DJ404" s="52" t="str">
        <f t="shared" si="379"/>
        <v>#REF!</v>
      </c>
    </row>
    <row r="405" ht="15.75" customHeight="1">
      <c r="D405" s="63"/>
      <c r="E405" s="56"/>
      <c r="F405" s="56"/>
      <c r="G405" s="56"/>
      <c r="H405" s="56"/>
      <c r="I405" s="56"/>
      <c r="J405" s="56"/>
      <c r="K405" s="56"/>
    </row>
    <row r="406" ht="15.75" customHeight="1">
      <c r="D406" s="52" t="s">
        <v>1795</v>
      </c>
      <c r="BT406" s="52" t="str">
        <f t="shared" ref="BT406:DJ406" si="380">BT402-BT404</f>
        <v>#REF!</v>
      </c>
      <c r="BU406" s="52" t="str">
        <f t="shared" si="380"/>
        <v>#REF!</v>
      </c>
      <c r="BV406" s="52" t="str">
        <f t="shared" si="380"/>
        <v>#REF!</v>
      </c>
      <c r="BW406" s="52" t="str">
        <f t="shared" si="380"/>
        <v>#REF!</v>
      </c>
      <c r="BX406" s="52" t="str">
        <f t="shared" si="380"/>
        <v>#REF!</v>
      </c>
      <c r="BY406" s="52" t="str">
        <f t="shared" si="380"/>
        <v>#REF!</v>
      </c>
      <c r="BZ406" s="52" t="str">
        <f t="shared" si="380"/>
        <v>#REF!</v>
      </c>
      <c r="CA406" s="52" t="str">
        <f t="shared" si="380"/>
        <v>#REF!</v>
      </c>
      <c r="CB406" s="52" t="str">
        <f t="shared" si="380"/>
        <v>#REF!</v>
      </c>
      <c r="CC406" s="52" t="str">
        <f t="shared" si="380"/>
        <v>#REF!</v>
      </c>
      <c r="CD406" s="52" t="str">
        <f t="shared" si="380"/>
        <v>#REF!</v>
      </c>
      <c r="CE406" s="52" t="str">
        <f t="shared" si="380"/>
        <v>#REF!</v>
      </c>
      <c r="CF406" s="52" t="str">
        <f t="shared" si="380"/>
        <v>#REF!</v>
      </c>
      <c r="CG406" s="52" t="str">
        <f t="shared" si="380"/>
        <v>#REF!</v>
      </c>
      <c r="CH406" s="52" t="str">
        <f t="shared" si="380"/>
        <v>#REF!</v>
      </c>
      <c r="CI406" s="52" t="str">
        <f t="shared" si="380"/>
        <v>#REF!</v>
      </c>
      <c r="CJ406" s="52" t="str">
        <f t="shared" si="380"/>
        <v>#REF!</v>
      </c>
      <c r="CK406" s="52" t="str">
        <f t="shared" si="380"/>
        <v>#REF!</v>
      </c>
      <c r="CL406" s="52" t="str">
        <f t="shared" si="380"/>
        <v>#REF!</v>
      </c>
      <c r="CM406" s="52" t="str">
        <f t="shared" si="380"/>
        <v>#REF!</v>
      </c>
      <c r="CN406" s="52" t="str">
        <f t="shared" si="380"/>
        <v>#REF!</v>
      </c>
      <c r="CO406" s="52" t="str">
        <f t="shared" si="380"/>
        <v>#REF!</v>
      </c>
      <c r="CP406" s="52" t="str">
        <f t="shared" si="380"/>
        <v>#REF!</v>
      </c>
      <c r="CQ406" s="52" t="str">
        <f t="shared" si="380"/>
        <v>#REF!</v>
      </c>
      <c r="CR406" s="52" t="str">
        <f t="shared" si="380"/>
        <v>#REF!</v>
      </c>
      <c r="CS406" s="52" t="str">
        <f t="shared" si="380"/>
        <v>#REF!</v>
      </c>
      <c r="CT406" s="52" t="str">
        <f t="shared" si="380"/>
        <v>#REF!</v>
      </c>
      <c r="CU406" s="52" t="str">
        <f t="shared" si="380"/>
        <v>#REF!</v>
      </c>
      <c r="CV406" s="52" t="str">
        <f t="shared" si="380"/>
        <v>#REF!</v>
      </c>
      <c r="CW406" s="52" t="str">
        <f t="shared" si="380"/>
        <v>#REF!</v>
      </c>
      <c r="CX406" s="52" t="str">
        <f t="shared" si="380"/>
        <v>#REF!</v>
      </c>
      <c r="CY406" s="52" t="str">
        <f t="shared" si="380"/>
        <v>#REF!</v>
      </c>
      <c r="CZ406" s="52" t="str">
        <f t="shared" si="380"/>
        <v>#REF!</v>
      </c>
      <c r="DA406" s="52" t="str">
        <f t="shared" si="380"/>
        <v>#REF!</v>
      </c>
      <c r="DB406" s="52" t="str">
        <f t="shared" si="380"/>
        <v>#REF!</v>
      </c>
      <c r="DC406" s="52" t="str">
        <f t="shared" si="380"/>
        <v>#REF!</v>
      </c>
      <c r="DD406" s="52" t="str">
        <f t="shared" si="380"/>
        <v>#REF!</v>
      </c>
      <c r="DE406" s="52" t="str">
        <f t="shared" si="380"/>
        <v>#REF!</v>
      </c>
      <c r="DF406" s="52" t="str">
        <f t="shared" si="380"/>
        <v>#REF!</v>
      </c>
      <c r="DG406" s="52" t="str">
        <f t="shared" si="380"/>
        <v>#REF!</v>
      </c>
      <c r="DH406" s="52" t="str">
        <f t="shared" si="380"/>
        <v>#REF!</v>
      </c>
      <c r="DI406" s="52" t="str">
        <f t="shared" si="380"/>
        <v>#REF!</v>
      </c>
      <c r="DJ406" s="52" t="str">
        <f t="shared" si="380"/>
        <v>#REF!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2026-03-25T21:12:06Z</dcterms:created>
</cp:coreProperties>
</file>